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tables/table2.xml" ContentType="application/vnd.openxmlformats-officedocument.spreadsheetml.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16680" windowHeight="7680" activeTab="3"/>
  </bookViews>
  <sheets>
    <sheet name="Sheet1" sheetId="9" r:id="rId1"/>
    <sheet name="Sheet4" sheetId="11" r:id="rId2"/>
    <sheet name="IBM HR Analytics" sheetId="1" r:id="rId3"/>
    <sheet name="Analysis Formulas" sheetId="2" r:id="rId4"/>
    <sheet name="Count of attrition(Department)" sheetId="4" r:id="rId5"/>
    <sheet name="Highest Attrition Percentage" sheetId="6" r:id="rId6"/>
    <sheet name="Sheet2" sheetId="8" r:id="rId7"/>
  </sheets>
  <definedNames>
    <definedName name="_xlnm._FilterDatabase" localSheetId="5" hidden="1">'Highest Attrition Percentage'!$C$3:$C$6</definedName>
    <definedName name="Slicer_Attrition">#N/A</definedName>
    <definedName name="Slicer_Attrition1">#N/A</definedName>
  </definedNames>
  <calcPr calcId="152511"/>
  <pivotCaches>
    <pivotCache cacheId="0" r:id="rId8"/>
    <pivotCache cacheId="6" r:id="rId9"/>
    <pivotCache cacheId="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C7" i="2"/>
  <c r="B7" i="2"/>
  <c r="A7" i="2"/>
  <c r="I5" i="2"/>
  <c r="H5" i="2"/>
  <c r="G5" i="2"/>
  <c r="F5" i="2"/>
  <c r="C4" i="9"/>
  <c r="C5" i="9"/>
  <c r="C4" i="6" l="1"/>
  <c r="C7" i="8"/>
  <c r="C6" i="8"/>
  <c r="C5" i="8"/>
  <c r="C4" i="8"/>
  <c r="AG2" i="1"/>
  <c r="AG3" i="1"/>
  <c r="AG4" i="1"/>
  <c r="AG5" i="1"/>
  <c r="AG6" i="1"/>
  <c r="AG7" i="1"/>
  <c r="AG8" i="1"/>
  <c r="AG9" i="1"/>
  <c r="AG10" i="1"/>
  <c r="AG11" i="1"/>
  <c r="AG12" i="1"/>
  <c r="AG13"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137" i="1"/>
  <c r="AG138" i="1"/>
  <c r="AG139" i="1"/>
  <c r="AG140" i="1"/>
  <c r="AG141" i="1"/>
  <c r="AG142" i="1"/>
  <c r="AG143" i="1"/>
  <c r="AG144" i="1"/>
  <c r="AG145" i="1"/>
  <c r="AG146" i="1"/>
  <c r="AG147" i="1"/>
  <c r="AG148" i="1"/>
  <c r="AG149" i="1"/>
  <c r="AG150" i="1"/>
  <c r="AG151" i="1"/>
  <c r="AG152" i="1"/>
  <c r="AG153" i="1"/>
  <c r="AG154" i="1"/>
  <c r="AG155" i="1"/>
  <c r="AG156" i="1"/>
  <c r="AG157" i="1"/>
  <c r="AG158" i="1"/>
  <c r="AG159" i="1"/>
  <c r="AG160" i="1"/>
  <c r="AG161" i="1"/>
  <c r="AG162" i="1"/>
  <c r="AG163" i="1"/>
  <c r="AG164" i="1"/>
  <c r="AG165" i="1"/>
  <c r="AG166" i="1"/>
  <c r="AG167" i="1"/>
  <c r="AG168" i="1"/>
  <c r="AG169" i="1"/>
  <c r="AG170" i="1"/>
  <c r="AG171" i="1"/>
  <c r="AG172" i="1"/>
  <c r="AG173" i="1"/>
  <c r="AG174" i="1"/>
  <c r="AG175" i="1"/>
  <c r="AG176" i="1"/>
  <c r="AG177" i="1"/>
  <c r="AG178" i="1"/>
  <c r="AG179" i="1"/>
  <c r="AG180" i="1"/>
  <c r="AG181" i="1"/>
  <c r="AG182" i="1"/>
  <c r="AG183" i="1"/>
  <c r="AG184" i="1"/>
  <c r="AG185" i="1"/>
  <c r="AG186" i="1"/>
  <c r="AG187" i="1"/>
  <c r="AG188" i="1"/>
  <c r="AG189" i="1"/>
  <c r="AG190" i="1"/>
  <c r="AG191" i="1"/>
  <c r="AG192" i="1"/>
  <c r="AG193" i="1"/>
  <c r="AG194" i="1"/>
  <c r="AG195" i="1"/>
  <c r="AG196" i="1"/>
  <c r="AG197" i="1"/>
  <c r="AG198" i="1"/>
  <c r="AG199" i="1"/>
  <c r="AG200" i="1"/>
  <c r="AG201" i="1"/>
  <c r="AG202" i="1"/>
  <c r="AG203" i="1"/>
  <c r="AG204" i="1"/>
  <c r="AG205" i="1"/>
  <c r="AG206" i="1"/>
  <c r="AG207" i="1"/>
  <c r="AG208" i="1"/>
  <c r="AG209" i="1"/>
  <c r="AG210" i="1"/>
  <c r="AG211" i="1"/>
  <c r="AG212" i="1"/>
  <c r="AG213" i="1"/>
  <c r="AG214" i="1"/>
  <c r="AG215" i="1"/>
  <c r="AG216" i="1"/>
  <c r="AG217" i="1"/>
  <c r="AG218" i="1"/>
  <c r="AG219" i="1"/>
  <c r="AG220" i="1"/>
  <c r="AG221" i="1"/>
  <c r="AG222" i="1"/>
  <c r="AG223" i="1"/>
  <c r="AG224" i="1"/>
  <c r="AG225" i="1"/>
  <c r="AG226" i="1"/>
  <c r="AG227" i="1"/>
  <c r="AG228" i="1"/>
  <c r="AG229" i="1"/>
  <c r="AG230" i="1"/>
  <c r="AG231" i="1"/>
  <c r="AG232" i="1"/>
  <c r="AG233" i="1"/>
  <c r="AG234" i="1"/>
  <c r="AG235" i="1"/>
  <c r="AG236" i="1"/>
  <c r="AG237" i="1"/>
  <c r="AG238" i="1"/>
  <c r="AG239" i="1"/>
  <c r="AG240" i="1"/>
  <c r="AG241" i="1"/>
  <c r="AG242" i="1"/>
  <c r="AG243" i="1"/>
  <c r="AG244" i="1"/>
  <c r="AG245" i="1"/>
  <c r="AG246" i="1"/>
  <c r="AG247" i="1"/>
  <c r="AG248" i="1"/>
  <c r="AG249" i="1"/>
  <c r="AG250" i="1"/>
  <c r="AG251" i="1"/>
  <c r="AG252" i="1"/>
  <c r="AG253" i="1"/>
  <c r="AG254" i="1"/>
  <c r="AG255" i="1"/>
  <c r="AG256" i="1"/>
  <c r="AG257" i="1"/>
  <c r="AG258" i="1"/>
  <c r="AG259" i="1"/>
  <c r="AG260" i="1"/>
  <c r="AG261" i="1"/>
  <c r="AG262" i="1"/>
  <c r="AG263" i="1"/>
  <c r="AG264" i="1"/>
  <c r="AG265" i="1"/>
  <c r="AG266" i="1"/>
  <c r="AG267" i="1"/>
  <c r="AG268" i="1"/>
  <c r="AG269" i="1"/>
  <c r="AG270" i="1"/>
  <c r="AG271" i="1"/>
  <c r="AG272" i="1"/>
  <c r="AG273" i="1"/>
  <c r="AG274" i="1"/>
  <c r="AG275" i="1"/>
  <c r="AG276" i="1"/>
  <c r="AG277" i="1"/>
  <c r="AG278" i="1"/>
  <c r="AG279" i="1"/>
  <c r="AG280" i="1"/>
  <c r="AG281" i="1"/>
  <c r="AG282" i="1"/>
  <c r="AG283" i="1"/>
  <c r="AG284" i="1"/>
  <c r="AG285" i="1"/>
  <c r="AG286" i="1"/>
  <c r="AG287" i="1"/>
  <c r="AG288" i="1"/>
  <c r="AG289" i="1"/>
  <c r="AG290" i="1"/>
  <c r="AG291" i="1"/>
  <c r="AG292" i="1"/>
  <c r="AG293" i="1"/>
  <c r="AG294" i="1"/>
  <c r="AG295"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G345" i="1"/>
  <c r="AG346" i="1"/>
  <c r="AG347" i="1"/>
  <c r="AG348" i="1"/>
  <c r="AG349" i="1"/>
  <c r="AG350" i="1"/>
  <c r="AG351" i="1"/>
  <c r="AG352" i="1"/>
  <c r="AG353" i="1"/>
  <c r="AG354" i="1"/>
  <c r="AG355" i="1"/>
  <c r="AG356" i="1"/>
  <c r="AG357" i="1"/>
  <c r="AG358" i="1"/>
  <c r="AG359" i="1"/>
  <c r="AG360" i="1"/>
  <c r="AG361" i="1"/>
  <c r="AG362" i="1"/>
  <c r="AG363" i="1"/>
  <c r="AG364" i="1"/>
  <c r="AG365" i="1"/>
  <c r="AG366" i="1"/>
  <c r="AG367" i="1"/>
  <c r="AG368" i="1"/>
  <c r="AG369" i="1"/>
  <c r="AG370" i="1"/>
  <c r="AG371" i="1"/>
  <c r="AG372" i="1"/>
  <c r="AG373" i="1"/>
  <c r="AG374" i="1"/>
  <c r="AG375" i="1"/>
  <c r="AG376" i="1"/>
  <c r="AG377" i="1"/>
  <c r="AG378" i="1"/>
  <c r="AG379" i="1"/>
  <c r="AG380" i="1"/>
  <c r="AG381" i="1"/>
  <c r="AG382" i="1"/>
  <c r="AG383" i="1"/>
  <c r="AG384" i="1"/>
  <c r="AG385" i="1"/>
  <c r="AG386" i="1"/>
  <c r="AG387" i="1"/>
  <c r="AG388" i="1"/>
  <c r="AG389" i="1"/>
  <c r="AG390" i="1"/>
  <c r="AG391" i="1"/>
  <c r="AG392" i="1"/>
  <c r="AG393" i="1"/>
  <c r="AG394" i="1"/>
  <c r="AG395" i="1"/>
  <c r="AG396" i="1"/>
  <c r="AG397" i="1"/>
  <c r="AG398" i="1"/>
  <c r="AG399" i="1"/>
  <c r="AG400" i="1"/>
  <c r="AG401" i="1"/>
  <c r="AG402" i="1"/>
  <c r="AG403" i="1"/>
  <c r="AG404" i="1"/>
  <c r="AG405" i="1"/>
  <c r="AG406" i="1"/>
  <c r="AG407" i="1"/>
  <c r="AG408" i="1"/>
  <c r="AG409" i="1"/>
  <c r="AG410" i="1"/>
  <c r="AG411" i="1"/>
  <c r="AG412" i="1"/>
  <c r="AG413" i="1"/>
  <c r="AG414" i="1"/>
  <c r="AG415" i="1"/>
  <c r="AG416" i="1"/>
  <c r="AG417" i="1"/>
  <c r="AG418" i="1"/>
  <c r="AG419" i="1"/>
  <c r="AG420" i="1"/>
  <c r="AG421" i="1"/>
  <c r="AG422" i="1"/>
  <c r="AG423" i="1"/>
  <c r="AG424" i="1"/>
  <c r="AG425" i="1"/>
  <c r="AG426" i="1"/>
  <c r="AG427" i="1"/>
  <c r="AG428" i="1"/>
  <c r="AG429" i="1"/>
  <c r="AG430" i="1"/>
  <c r="AG431" i="1"/>
  <c r="AG432" i="1"/>
  <c r="AG433" i="1"/>
  <c r="AG434" i="1"/>
  <c r="AG435" i="1"/>
  <c r="AG436" i="1"/>
  <c r="AG437" i="1"/>
  <c r="AG438" i="1"/>
  <c r="AG439" i="1"/>
  <c r="AG440" i="1"/>
  <c r="AG441" i="1"/>
  <c r="AG442" i="1"/>
  <c r="AG443" i="1"/>
  <c r="AG444" i="1"/>
  <c r="AG445" i="1"/>
  <c r="AG446" i="1"/>
  <c r="AG447" i="1"/>
  <c r="AG448" i="1"/>
  <c r="AG449" i="1"/>
  <c r="AG450" i="1"/>
  <c r="AG451" i="1"/>
  <c r="AG452" i="1"/>
  <c r="AG453" i="1"/>
  <c r="AG454" i="1"/>
  <c r="AG455" i="1"/>
  <c r="AG456" i="1"/>
  <c r="AG457" i="1"/>
  <c r="AG458" i="1"/>
  <c r="AG459" i="1"/>
  <c r="AG460" i="1"/>
  <c r="AG461" i="1"/>
  <c r="AG462" i="1"/>
  <c r="AG463" i="1"/>
  <c r="AG464" i="1"/>
  <c r="AG465" i="1"/>
  <c r="AG466" i="1"/>
  <c r="AG467" i="1"/>
  <c r="AG468" i="1"/>
  <c r="AG469" i="1"/>
  <c r="AG470" i="1"/>
  <c r="AG471" i="1"/>
  <c r="AG472" i="1"/>
  <c r="AG473" i="1"/>
  <c r="AG474" i="1"/>
  <c r="AG475" i="1"/>
  <c r="AG476" i="1"/>
  <c r="AG477" i="1"/>
  <c r="AG478" i="1"/>
  <c r="AG479" i="1"/>
  <c r="AG480" i="1"/>
  <c r="AG481" i="1"/>
  <c r="AG482" i="1"/>
  <c r="AG483" i="1"/>
  <c r="AG484" i="1"/>
  <c r="AG485" i="1"/>
  <c r="AG486" i="1"/>
  <c r="AG487" i="1"/>
  <c r="AG488" i="1"/>
  <c r="AG489" i="1"/>
  <c r="AG490" i="1"/>
  <c r="AG491" i="1"/>
  <c r="AG492" i="1"/>
  <c r="AG493" i="1"/>
  <c r="AG494" i="1"/>
  <c r="AG495" i="1"/>
  <c r="AG496" i="1"/>
  <c r="AG497" i="1"/>
  <c r="AG498" i="1"/>
  <c r="AG499" i="1"/>
  <c r="AG500" i="1"/>
  <c r="AG501" i="1"/>
  <c r="AG502" i="1"/>
  <c r="AG503" i="1"/>
  <c r="AG504" i="1"/>
  <c r="AG505" i="1"/>
  <c r="AG506" i="1"/>
  <c r="AG507" i="1"/>
  <c r="AG508" i="1"/>
  <c r="AG509" i="1"/>
  <c r="AG510" i="1"/>
  <c r="AG511" i="1"/>
  <c r="AG512" i="1"/>
  <c r="AG513" i="1"/>
  <c r="AG514" i="1"/>
  <c r="AG515" i="1"/>
  <c r="AG516" i="1"/>
  <c r="AG517" i="1"/>
  <c r="AG518" i="1"/>
  <c r="AG519" i="1"/>
  <c r="AG520" i="1"/>
  <c r="AG521" i="1"/>
  <c r="AG522" i="1"/>
  <c r="AG523" i="1"/>
  <c r="AG524" i="1"/>
  <c r="AG525" i="1"/>
  <c r="AG526" i="1"/>
  <c r="AG527" i="1"/>
  <c r="AG528" i="1"/>
  <c r="AG529" i="1"/>
  <c r="AG530" i="1"/>
  <c r="AG531" i="1"/>
  <c r="AG532" i="1"/>
  <c r="AG533" i="1"/>
  <c r="AG534" i="1"/>
  <c r="AG535" i="1"/>
  <c r="AG536" i="1"/>
  <c r="AG537" i="1"/>
  <c r="AG538" i="1"/>
  <c r="AG539" i="1"/>
  <c r="AG540" i="1"/>
  <c r="AG541" i="1"/>
  <c r="AG542" i="1"/>
  <c r="AG543" i="1"/>
  <c r="AG544" i="1"/>
  <c r="AG545" i="1"/>
  <c r="AG546" i="1"/>
  <c r="AG547" i="1"/>
  <c r="AG548" i="1"/>
  <c r="AG549" i="1"/>
  <c r="AG550" i="1"/>
  <c r="AG551" i="1"/>
  <c r="AG552" i="1"/>
  <c r="AG553" i="1"/>
  <c r="AG554" i="1"/>
  <c r="AG555" i="1"/>
  <c r="AG556" i="1"/>
  <c r="AG557" i="1"/>
  <c r="AG558" i="1"/>
  <c r="AG559" i="1"/>
  <c r="AG560" i="1"/>
  <c r="AG561" i="1"/>
  <c r="AG562" i="1"/>
  <c r="AG563" i="1"/>
  <c r="AG564" i="1"/>
  <c r="AG565" i="1"/>
  <c r="AG566" i="1"/>
  <c r="AG567" i="1"/>
  <c r="AG568" i="1"/>
  <c r="AG569" i="1"/>
  <c r="AG570" i="1"/>
  <c r="AG571" i="1"/>
  <c r="AG572" i="1"/>
  <c r="AG573" i="1"/>
  <c r="AG574" i="1"/>
  <c r="AG575" i="1"/>
  <c r="AG576" i="1"/>
  <c r="AG577" i="1"/>
  <c r="AG578" i="1"/>
  <c r="AG579" i="1"/>
  <c r="AG580" i="1"/>
  <c r="AG581" i="1"/>
  <c r="AG582" i="1"/>
  <c r="AG583" i="1"/>
  <c r="AG584" i="1"/>
  <c r="AG585" i="1"/>
  <c r="AG586" i="1"/>
  <c r="AG587" i="1"/>
  <c r="AG588" i="1"/>
  <c r="AG589" i="1"/>
  <c r="AG590" i="1"/>
  <c r="AG591" i="1"/>
  <c r="AG592" i="1"/>
  <c r="AG593" i="1"/>
  <c r="AG594" i="1"/>
  <c r="AG595" i="1"/>
  <c r="AG596" i="1"/>
  <c r="AG597" i="1"/>
  <c r="AG598" i="1"/>
  <c r="AG599" i="1"/>
  <c r="AG600" i="1"/>
  <c r="AG601" i="1"/>
  <c r="AG602" i="1"/>
  <c r="AG603" i="1"/>
  <c r="AG604" i="1"/>
  <c r="AG605" i="1"/>
  <c r="AG606" i="1"/>
  <c r="AG607" i="1"/>
  <c r="AG608" i="1"/>
  <c r="AG609" i="1"/>
  <c r="AG610" i="1"/>
  <c r="AG611" i="1"/>
  <c r="AG612" i="1"/>
  <c r="AG613" i="1"/>
  <c r="AG614" i="1"/>
  <c r="AG615" i="1"/>
  <c r="AG616" i="1"/>
  <c r="AG617" i="1"/>
  <c r="AG618" i="1"/>
  <c r="AG619" i="1"/>
  <c r="AG620" i="1"/>
  <c r="AG621" i="1"/>
  <c r="AG622" i="1"/>
  <c r="AG623" i="1"/>
  <c r="AG624" i="1"/>
  <c r="AG625" i="1"/>
  <c r="AG626" i="1"/>
  <c r="AG627" i="1"/>
  <c r="AG628" i="1"/>
  <c r="AG629" i="1"/>
  <c r="AG630" i="1"/>
  <c r="AG631" i="1"/>
  <c r="AG632" i="1"/>
  <c r="AG633" i="1"/>
  <c r="AG634" i="1"/>
  <c r="AG635" i="1"/>
  <c r="AG636" i="1"/>
  <c r="AG637" i="1"/>
  <c r="AG638" i="1"/>
  <c r="AG639" i="1"/>
  <c r="AG640" i="1"/>
  <c r="AG641" i="1"/>
  <c r="AG642" i="1"/>
  <c r="AG643" i="1"/>
  <c r="AG644" i="1"/>
  <c r="AG645" i="1"/>
  <c r="AG646" i="1"/>
  <c r="AG647" i="1"/>
  <c r="AG648" i="1"/>
  <c r="AG649" i="1"/>
  <c r="AG650" i="1"/>
  <c r="AG651" i="1"/>
  <c r="AG652" i="1"/>
  <c r="AG653" i="1"/>
  <c r="AG654" i="1"/>
  <c r="AG655" i="1"/>
  <c r="AG656" i="1"/>
  <c r="AG657" i="1"/>
  <c r="AG658" i="1"/>
  <c r="AG659" i="1"/>
  <c r="AG660" i="1"/>
  <c r="AG661" i="1"/>
  <c r="AG662" i="1"/>
  <c r="AG663" i="1"/>
  <c r="AG664" i="1"/>
  <c r="AG665" i="1"/>
  <c r="AG666" i="1"/>
  <c r="AG667" i="1"/>
  <c r="AG668" i="1"/>
  <c r="AG669" i="1"/>
  <c r="AG670" i="1"/>
  <c r="AG671" i="1"/>
  <c r="AG672" i="1"/>
  <c r="AG673" i="1"/>
  <c r="AG674" i="1"/>
  <c r="AG675" i="1"/>
  <c r="AG676" i="1"/>
  <c r="AG677" i="1"/>
  <c r="AG678" i="1"/>
  <c r="AG679" i="1"/>
  <c r="AG680" i="1"/>
  <c r="AG681" i="1"/>
  <c r="AG682" i="1"/>
  <c r="AG683" i="1"/>
  <c r="AG684" i="1"/>
  <c r="AG685" i="1"/>
  <c r="AG686" i="1"/>
  <c r="AG687" i="1"/>
  <c r="AG688" i="1"/>
  <c r="AG689" i="1"/>
  <c r="AG690" i="1"/>
  <c r="AG691" i="1"/>
  <c r="AG692" i="1"/>
  <c r="AG693" i="1"/>
  <c r="AG694" i="1"/>
  <c r="AG695" i="1"/>
  <c r="AG696" i="1"/>
  <c r="AG697" i="1"/>
  <c r="AG698" i="1"/>
  <c r="AG699" i="1"/>
  <c r="AG700" i="1"/>
  <c r="AG701" i="1"/>
  <c r="AG702" i="1"/>
  <c r="AG703" i="1"/>
  <c r="AG704" i="1"/>
  <c r="AG705" i="1"/>
  <c r="AG706" i="1"/>
  <c r="AG707" i="1"/>
  <c r="AG708" i="1"/>
  <c r="AG709" i="1"/>
  <c r="AG710" i="1"/>
  <c r="AG711" i="1"/>
  <c r="AG712" i="1"/>
  <c r="AG713" i="1"/>
  <c r="AG714" i="1"/>
  <c r="AG715" i="1"/>
  <c r="AG716" i="1"/>
  <c r="AG717" i="1"/>
  <c r="AG718" i="1"/>
  <c r="AG719" i="1"/>
  <c r="AG720" i="1"/>
  <c r="AG721" i="1"/>
  <c r="AG722" i="1"/>
  <c r="AG723" i="1"/>
  <c r="AG724" i="1"/>
  <c r="AG725" i="1"/>
  <c r="AG726" i="1"/>
  <c r="AG727" i="1"/>
  <c r="AG728" i="1"/>
  <c r="AG729" i="1"/>
  <c r="AG730" i="1"/>
  <c r="AG731" i="1"/>
  <c r="AG732" i="1"/>
  <c r="AG733" i="1"/>
  <c r="AG734" i="1"/>
  <c r="AG735" i="1"/>
  <c r="AG736" i="1"/>
  <c r="AG737" i="1"/>
  <c r="AG738" i="1"/>
  <c r="AG739" i="1"/>
  <c r="AG740" i="1"/>
  <c r="AG741" i="1"/>
  <c r="AG742" i="1"/>
  <c r="AG743" i="1"/>
  <c r="AG744" i="1"/>
  <c r="AG745" i="1"/>
  <c r="AG746" i="1"/>
  <c r="AG747" i="1"/>
  <c r="AG748" i="1"/>
  <c r="AG749" i="1"/>
  <c r="AG750" i="1"/>
  <c r="AG751" i="1"/>
  <c r="AG752" i="1"/>
  <c r="AG753" i="1"/>
  <c r="AG754" i="1"/>
  <c r="AG755" i="1"/>
  <c r="AG756" i="1"/>
  <c r="AG757" i="1"/>
  <c r="AG758" i="1"/>
  <c r="AG759" i="1"/>
  <c r="AG760" i="1"/>
  <c r="AG761" i="1"/>
  <c r="AG762" i="1"/>
  <c r="AG763" i="1"/>
  <c r="AG764" i="1"/>
  <c r="AG765" i="1"/>
  <c r="AG766" i="1"/>
  <c r="AG767" i="1"/>
  <c r="AG768" i="1"/>
  <c r="AG769" i="1"/>
  <c r="AG770" i="1"/>
  <c r="AG771" i="1"/>
  <c r="AG772" i="1"/>
  <c r="AG773" i="1"/>
  <c r="AG774" i="1"/>
  <c r="AG775" i="1"/>
  <c r="AG776" i="1"/>
  <c r="AG777" i="1"/>
  <c r="AG778" i="1"/>
  <c r="AG779" i="1"/>
  <c r="AG780" i="1"/>
  <c r="AG781" i="1"/>
  <c r="AG782" i="1"/>
  <c r="AG783" i="1"/>
  <c r="AG784" i="1"/>
  <c r="AG785" i="1"/>
  <c r="AG786" i="1"/>
  <c r="AG787" i="1"/>
  <c r="AG788" i="1"/>
  <c r="AG789" i="1"/>
  <c r="AG790" i="1"/>
  <c r="AG791" i="1"/>
  <c r="AG792" i="1"/>
  <c r="AG793" i="1"/>
  <c r="AG794" i="1"/>
  <c r="AG795" i="1"/>
  <c r="AG796" i="1"/>
  <c r="AG797" i="1"/>
  <c r="AG798" i="1"/>
  <c r="AG799" i="1"/>
  <c r="AG800" i="1"/>
  <c r="AG801" i="1"/>
  <c r="AG802" i="1"/>
  <c r="AG803" i="1"/>
  <c r="AG804" i="1"/>
  <c r="AG805" i="1"/>
  <c r="AG806" i="1"/>
  <c r="AG807" i="1"/>
  <c r="AG808" i="1"/>
  <c r="AG809" i="1"/>
  <c r="AG810" i="1"/>
  <c r="AG811" i="1"/>
  <c r="AG812" i="1"/>
  <c r="AG813" i="1"/>
  <c r="AG814" i="1"/>
  <c r="AG815" i="1"/>
  <c r="AG816" i="1"/>
  <c r="AG817" i="1"/>
  <c r="AG818" i="1"/>
  <c r="AG819" i="1"/>
  <c r="AG820" i="1"/>
  <c r="AG821" i="1"/>
  <c r="AG822" i="1"/>
  <c r="AG823" i="1"/>
  <c r="AG824" i="1"/>
  <c r="AG825" i="1"/>
  <c r="AG826" i="1"/>
  <c r="AG827" i="1"/>
  <c r="AG828" i="1"/>
  <c r="AG829" i="1"/>
  <c r="AG830" i="1"/>
  <c r="AG831" i="1"/>
  <c r="AG832" i="1"/>
  <c r="AG833" i="1"/>
  <c r="AG834" i="1"/>
  <c r="AG835" i="1"/>
  <c r="AG836" i="1"/>
  <c r="AG837" i="1"/>
  <c r="AG838" i="1"/>
  <c r="AG839" i="1"/>
  <c r="AG840" i="1"/>
  <c r="AG841" i="1"/>
  <c r="AG842" i="1"/>
  <c r="AG843" i="1"/>
  <c r="AG844" i="1"/>
  <c r="AG845" i="1"/>
  <c r="AG846" i="1"/>
  <c r="AG847" i="1"/>
  <c r="AG848" i="1"/>
  <c r="AG849" i="1"/>
  <c r="AG850" i="1"/>
  <c r="AG851" i="1"/>
  <c r="AG852" i="1"/>
  <c r="AG853" i="1"/>
  <c r="AG854" i="1"/>
  <c r="AG855" i="1"/>
  <c r="AG856" i="1"/>
  <c r="AG857" i="1"/>
  <c r="AG858" i="1"/>
  <c r="AG859" i="1"/>
  <c r="AG860" i="1"/>
  <c r="AG861" i="1"/>
  <c r="AG862" i="1"/>
  <c r="AG863" i="1"/>
  <c r="AG864" i="1"/>
  <c r="AG865" i="1"/>
  <c r="AG866" i="1"/>
  <c r="AG867" i="1"/>
  <c r="AG868" i="1"/>
  <c r="AG869" i="1"/>
  <c r="AG870" i="1"/>
  <c r="AG871" i="1"/>
  <c r="AG872" i="1"/>
  <c r="AG873" i="1"/>
  <c r="AG874" i="1"/>
  <c r="AG875" i="1"/>
  <c r="AG876" i="1"/>
  <c r="AG877" i="1"/>
  <c r="AG878" i="1"/>
  <c r="AG879" i="1"/>
  <c r="AG880" i="1"/>
  <c r="AG881" i="1"/>
  <c r="AG882" i="1"/>
  <c r="AG883" i="1"/>
  <c r="AG884" i="1"/>
  <c r="AG885" i="1"/>
  <c r="AG886" i="1"/>
  <c r="AG887" i="1"/>
  <c r="AG888" i="1"/>
  <c r="AG889" i="1"/>
  <c r="AG890" i="1"/>
  <c r="AG891" i="1"/>
  <c r="AG892" i="1"/>
  <c r="AG893" i="1"/>
  <c r="AG894" i="1"/>
  <c r="AG895" i="1"/>
  <c r="AG896" i="1"/>
  <c r="AG897" i="1"/>
  <c r="AG898" i="1"/>
  <c r="AG899" i="1"/>
  <c r="AG900" i="1"/>
  <c r="AG901" i="1"/>
  <c r="AG902" i="1"/>
  <c r="AG903" i="1"/>
  <c r="AG904" i="1"/>
  <c r="AG905" i="1"/>
  <c r="AG906" i="1"/>
  <c r="AG907" i="1"/>
  <c r="AG908" i="1"/>
  <c r="AG909" i="1"/>
  <c r="AG910" i="1"/>
  <c r="AG911" i="1"/>
  <c r="AG912" i="1"/>
  <c r="AG913" i="1"/>
  <c r="AG914" i="1"/>
  <c r="AG915" i="1"/>
  <c r="AG916" i="1"/>
  <c r="AG917" i="1"/>
  <c r="AG918" i="1"/>
  <c r="AG919" i="1"/>
  <c r="AG920" i="1"/>
  <c r="AG921" i="1"/>
  <c r="AG922" i="1"/>
  <c r="AG923" i="1"/>
  <c r="AG924" i="1"/>
  <c r="AG925" i="1"/>
  <c r="AG926" i="1"/>
  <c r="AG927" i="1"/>
  <c r="AG928" i="1"/>
  <c r="AG929" i="1"/>
  <c r="AG930" i="1"/>
  <c r="AG931" i="1"/>
  <c r="AG932" i="1"/>
  <c r="AG933" i="1"/>
  <c r="AG934" i="1"/>
  <c r="AG935" i="1"/>
  <c r="AG936" i="1"/>
  <c r="AG937" i="1"/>
  <c r="AG938" i="1"/>
  <c r="AG939" i="1"/>
  <c r="AG940" i="1"/>
  <c r="AG941" i="1"/>
  <c r="AG942" i="1"/>
  <c r="AG943" i="1"/>
  <c r="AG944" i="1"/>
  <c r="AG945" i="1"/>
  <c r="AG946" i="1"/>
  <c r="AG947" i="1"/>
  <c r="AG948" i="1"/>
  <c r="AG949" i="1"/>
  <c r="AG950" i="1"/>
  <c r="AG951" i="1"/>
  <c r="AG952" i="1"/>
  <c r="AG953" i="1"/>
  <c r="AG954" i="1"/>
  <c r="AG955" i="1"/>
  <c r="AG956" i="1"/>
  <c r="AG957" i="1"/>
  <c r="AG958" i="1"/>
  <c r="AG959" i="1"/>
  <c r="AG960" i="1"/>
  <c r="AG961" i="1"/>
  <c r="AG962" i="1"/>
  <c r="AG963" i="1"/>
  <c r="AG964" i="1"/>
  <c r="AG965" i="1"/>
  <c r="AG966" i="1"/>
  <c r="AG967" i="1"/>
  <c r="AG968" i="1"/>
  <c r="AG969" i="1"/>
  <c r="AG970" i="1"/>
  <c r="AG971" i="1"/>
  <c r="AG972" i="1"/>
  <c r="AG973" i="1"/>
  <c r="AG974" i="1"/>
  <c r="AG975" i="1"/>
  <c r="AG976" i="1"/>
  <c r="AG977" i="1"/>
  <c r="AG978" i="1"/>
  <c r="AG979" i="1"/>
  <c r="AG980" i="1"/>
  <c r="AG981" i="1"/>
  <c r="AG982" i="1"/>
  <c r="AG983" i="1"/>
  <c r="AG984" i="1"/>
  <c r="AG985" i="1"/>
  <c r="AG986" i="1"/>
  <c r="AG987" i="1"/>
  <c r="AG988" i="1"/>
  <c r="AG989" i="1"/>
  <c r="AG990" i="1"/>
  <c r="AG991" i="1"/>
  <c r="AG992" i="1"/>
  <c r="AG993" i="1"/>
  <c r="AG994" i="1"/>
  <c r="AG995" i="1"/>
  <c r="AG996" i="1"/>
  <c r="AG997" i="1"/>
  <c r="AG998" i="1"/>
  <c r="AG999" i="1"/>
  <c r="AG1000" i="1"/>
  <c r="AG1001" i="1"/>
  <c r="AG1002" i="1"/>
  <c r="AG1003" i="1"/>
  <c r="AG1004" i="1"/>
  <c r="AG1005" i="1"/>
  <c r="AG1006" i="1"/>
  <c r="AG1007" i="1"/>
  <c r="AG1008" i="1"/>
  <c r="AG1009" i="1"/>
  <c r="AG1010" i="1"/>
  <c r="AG1011" i="1"/>
  <c r="AG1012" i="1"/>
  <c r="AG1013" i="1"/>
  <c r="AG1014" i="1"/>
  <c r="AG1015" i="1"/>
  <c r="AG1016" i="1"/>
  <c r="AG1017" i="1"/>
  <c r="AG1018" i="1"/>
  <c r="AG1019" i="1"/>
  <c r="AG1020" i="1"/>
  <c r="AG1021" i="1"/>
  <c r="AG1022" i="1"/>
  <c r="AG1023" i="1"/>
  <c r="AG1024" i="1"/>
  <c r="AG1025" i="1"/>
  <c r="AG1026" i="1"/>
  <c r="AG1027" i="1"/>
  <c r="AG1028" i="1"/>
  <c r="AG1029" i="1"/>
  <c r="AG1030" i="1"/>
  <c r="AG1031" i="1"/>
  <c r="AG1032" i="1"/>
  <c r="AG1033" i="1"/>
  <c r="AG1034" i="1"/>
  <c r="AG1035" i="1"/>
  <c r="AG1036" i="1"/>
  <c r="AG1037" i="1"/>
  <c r="AG1038" i="1"/>
  <c r="AG1039" i="1"/>
  <c r="AG1040" i="1"/>
  <c r="AG1041" i="1"/>
  <c r="AG1042" i="1"/>
  <c r="AG1043" i="1"/>
  <c r="AG1044" i="1"/>
  <c r="AG1045" i="1"/>
  <c r="AG1046" i="1"/>
  <c r="AG1047" i="1"/>
  <c r="AG1048" i="1"/>
  <c r="AG1049" i="1"/>
  <c r="AG1050" i="1"/>
  <c r="AG1051" i="1"/>
  <c r="AG1052" i="1"/>
  <c r="AG1053" i="1"/>
  <c r="AG1054" i="1"/>
  <c r="AG1055" i="1"/>
  <c r="AG1056" i="1"/>
  <c r="AG1057" i="1"/>
  <c r="AG1058" i="1"/>
  <c r="AG1059" i="1"/>
  <c r="AG1060" i="1"/>
  <c r="AG1061" i="1"/>
  <c r="AG1062" i="1"/>
  <c r="AG1063" i="1"/>
  <c r="AG1064" i="1"/>
  <c r="AG1065" i="1"/>
  <c r="AG1066" i="1"/>
  <c r="AG1067" i="1"/>
  <c r="AG1068" i="1"/>
  <c r="AG1069" i="1"/>
  <c r="AG1070" i="1"/>
  <c r="AG1071" i="1"/>
  <c r="AG1072" i="1"/>
  <c r="AG1073" i="1"/>
  <c r="AG1074" i="1"/>
  <c r="AG1075" i="1"/>
  <c r="AG1076" i="1"/>
  <c r="AG1077" i="1"/>
  <c r="AG1078" i="1"/>
  <c r="AG1079" i="1"/>
  <c r="AG1080" i="1"/>
  <c r="AG1081" i="1"/>
  <c r="AG1082" i="1"/>
  <c r="AG1083" i="1"/>
  <c r="AG1084" i="1"/>
  <c r="AG1085" i="1"/>
  <c r="AG1086" i="1"/>
  <c r="AG1087" i="1"/>
  <c r="AG1088" i="1"/>
  <c r="AG1089" i="1"/>
  <c r="AG1090" i="1"/>
  <c r="AG1091" i="1"/>
  <c r="AG1092" i="1"/>
  <c r="AG1093" i="1"/>
  <c r="AG1094" i="1"/>
  <c r="AG1095" i="1"/>
  <c r="AG1096" i="1"/>
  <c r="AG1097" i="1"/>
  <c r="AG1098" i="1"/>
  <c r="AG1099" i="1"/>
  <c r="AG1100" i="1"/>
  <c r="AG1101" i="1"/>
  <c r="AG1102" i="1"/>
  <c r="AG1103" i="1"/>
  <c r="AG1104" i="1"/>
  <c r="AG1105" i="1"/>
  <c r="AG1106" i="1"/>
  <c r="AG1107" i="1"/>
  <c r="AG1108" i="1"/>
  <c r="AG1109" i="1"/>
  <c r="AG1110" i="1"/>
  <c r="AG1111" i="1"/>
  <c r="AG1112" i="1"/>
  <c r="AG1113" i="1"/>
  <c r="AG1114" i="1"/>
  <c r="AG1115" i="1"/>
  <c r="AG1116" i="1"/>
  <c r="AG1117" i="1"/>
  <c r="AG1118" i="1"/>
  <c r="AG1119" i="1"/>
  <c r="AG1120" i="1"/>
  <c r="AG1121" i="1"/>
  <c r="AG1122" i="1"/>
  <c r="AG1123" i="1"/>
  <c r="AG1124" i="1"/>
  <c r="AG1125" i="1"/>
  <c r="AG1126" i="1"/>
  <c r="AG1127" i="1"/>
  <c r="AG1128" i="1"/>
  <c r="AG1129" i="1"/>
  <c r="AG1130" i="1"/>
  <c r="AG1131" i="1"/>
  <c r="AG1132" i="1"/>
  <c r="AG1133" i="1"/>
  <c r="AG1134" i="1"/>
  <c r="AG1135" i="1"/>
  <c r="AG1136" i="1"/>
  <c r="AG1137" i="1"/>
  <c r="AG1138" i="1"/>
  <c r="AG1139" i="1"/>
  <c r="AG1140" i="1"/>
  <c r="AG1141" i="1"/>
  <c r="AG1142" i="1"/>
  <c r="AG1143" i="1"/>
  <c r="AG1144" i="1"/>
  <c r="AG1145" i="1"/>
  <c r="AG1146" i="1"/>
  <c r="AG1147" i="1"/>
  <c r="AG1148" i="1"/>
  <c r="AG1149" i="1"/>
  <c r="AG1150" i="1"/>
  <c r="AG1151" i="1"/>
  <c r="AG1152" i="1"/>
  <c r="AG1153" i="1"/>
  <c r="AG1154" i="1"/>
  <c r="AG1155" i="1"/>
  <c r="AG1156" i="1"/>
  <c r="AG1157" i="1"/>
  <c r="AG1158" i="1"/>
  <c r="AG1159" i="1"/>
  <c r="AG1160" i="1"/>
  <c r="AG1161" i="1"/>
  <c r="AG1162" i="1"/>
  <c r="AG1163" i="1"/>
  <c r="AG1164" i="1"/>
  <c r="AG1165" i="1"/>
  <c r="AG1166" i="1"/>
  <c r="AG1167" i="1"/>
  <c r="AG1168" i="1"/>
  <c r="AG1169" i="1"/>
  <c r="AG1170" i="1"/>
  <c r="AG1171" i="1"/>
  <c r="AG1172" i="1"/>
  <c r="AG1173" i="1"/>
  <c r="AG1174" i="1"/>
  <c r="AG1175" i="1"/>
  <c r="AG1176" i="1"/>
  <c r="AG1177" i="1"/>
  <c r="AG1178" i="1"/>
  <c r="AG1179" i="1"/>
  <c r="AG1180" i="1"/>
  <c r="AG1181" i="1"/>
  <c r="AG1182" i="1"/>
  <c r="AG1183" i="1"/>
  <c r="AG1184" i="1"/>
  <c r="AG1185" i="1"/>
  <c r="AG1186" i="1"/>
  <c r="AG1187" i="1"/>
  <c r="AG1188" i="1"/>
  <c r="AG1189" i="1"/>
  <c r="AG1190" i="1"/>
  <c r="AG1191" i="1"/>
  <c r="AG1192" i="1"/>
  <c r="AG1193" i="1"/>
  <c r="AG1194" i="1"/>
  <c r="AG1195" i="1"/>
  <c r="AG1196" i="1"/>
  <c r="AG1197" i="1"/>
  <c r="AG1198" i="1"/>
  <c r="AG1199" i="1"/>
  <c r="AG1200" i="1"/>
  <c r="AG1201" i="1"/>
  <c r="AG1202" i="1"/>
  <c r="AG1203" i="1"/>
  <c r="AG1204" i="1"/>
  <c r="AG1205" i="1"/>
  <c r="AG1206" i="1"/>
  <c r="AG1207" i="1"/>
  <c r="AG1208" i="1"/>
  <c r="AG1209" i="1"/>
  <c r="AG1210" i="1"/>
  <c r="AG1211" i="1"/>
  <c r="AG1212" i="1"/>
  <c r="AG1213" i="1"/>
  <c r="AG1214" i="1"/>
  <c r="AG1215" i="1"/>
  <c r="AG1216" i="1"/>
  <c r="AG1217" i="1"/>
  <c r="AG1218" i="1"/>
  <c r="AG1219" i="1"/>
  <c r="AG1220" i="1"/>
  <c r="AG1221" i="1"/>
  <c r="AG1222" i="1"/>
  <c r="AG1223" i="1"/>
  <c r="AG1224" i="1"/>
  <c r="AG1225" i="1"/>
  <c r="AG1226" i="1"/>
  <c r="AG1227" i="1"/>
  <c r="AG1228" i="1"/>
  <c r="AG1229" i="1"/>
  <c r="AG1230" i="1"/>
  <c r="AG1231" i="1"/>
  <c r="AG1232" i="1"/>
  <c r="AG1233" i="1"/>
  <c r="AG1234" i="1"/>
  <c r="AG1235" i="1"/>
  <c r="AG1236" i="1"/>
  <c r="AG1237" i="1"/>
  <c r="AG1238" i="1"/>
  <c r="AG1239" i="1"/>
  <c r="AG1240" i="1"/>
  <c r="AG1241" i="1"/>
  <c r="AG1242" i="1"/>
  <c r="AG1243" i="1"/>
  <c r="AG1244" i="1"/>
  <c r="AG1245" i="1"/>
  <c r="AG1246" i="1"/>
  <c r="AG1247" i="1"/>
  <c r="AG1248" i="1"/>
  <c r="AG1249" i="1"/>
  <c r="AG1250" i="1"/>
  <c r="AG1251" i="1"/>
  <c r="AG1252" i="1"/>
  <c r="AG1253" i="1"/>
  <c r="AG1254" i="1"/>
  <c r="AG1255" i="1"/>
  <c r="AG1256" i="1"/>
  <c r="AG1257" i="1"/>
  <c r="AG1258" i="1"/>
  <c r="AG1259" i="1"/>
  <c r="AG1260" i="1"/>
  <c r="AG1261" i="1"/>
  <c r="AG1262" i="1"/>
  <c r="AG1263" i="1"/>
  <c r="AG1264" i="1"/>
  <c r="AG1265" i="1"/>
  <c r="AG1266" i="1"/>
  <c r="AG1267" i="1"/>
  <c r="AG1268" i="1"/>
  <c r="AG1269" i="1"/>
  <c r="AG1270" i="1"/>
  <c r="AG1271" i="1"/>
  <c r="AG1272" i="1"/>
  <c r="AG1273" i="1"/>
  <c r="AG1274" i="1"/>
  <c r="AG1275" i="1"/>
  <c r="AG1276" i="1"/>
  <c r="AG1277" i="1"/>
  <c r="AG1278" i="1"/>
  <c r="AG1279" i="1"/>
  <c r="AG1280" i="1"/>
  <c r="AG1281" i="1"/>
  <c r="AG1282" i="1"/>
  <c r="AG1283" i="1"/>
  <c r="AG1284" i="1"/>
  <c r="AG1285" i="1"/>
  <c r="AG1286" i="1"/>
  <c r="AG1287" i="1"/>
  <c r="AG1288" i="1"/>
  <c r="AG1289" i="1"/>
  <c r="AG1290" i="1"/>
  <c r="AG1291" i="1"/>
  <c r="AG1292" i="1"/>
  <c r="AG1293" i="1"/>
  <c r="AG1294" i="1"/>
  <c r="AG1295" i="1"/>
  <c r="AG1296" i="1"/>
  <c r="AG1297" i="1"/>
  <c r="AG1298" i="1"/>
  <c r="AG1299" i="1"/>
  <c r="AG1300" i="1"/>
  <c r="AG1301" i="1"/>
  <c r="AG1302" i="1"/>
  <c r="AG1303" i="1"/>
  <c r="AG1304" i="1"/>
  <c r="AG1305" i="1"/>
  <c r="AG1306" i="1"/>
  <c r="AG1307" i="1"/>
  <c r="AG1308" i="1"/>
  <c r="AG1309" i="1"/>
  <c r="AG1310" i="1"/>
  <c r="AG1311" i="1"/>
  <c r="AG1312" i="1"/>
  <c r="AG1313" i="1"/>
  <c r="AG1314" i="1"/>
  <c r="AG1315" i="1"/>
  <c r="AG1316" i="1"/>
  <c r="AG1317" i="1"/>
  <c r="AG1318" i="1"/>
  <c r="AG1319" i="1"/>
  <c r="AG1320" i="1"/>
  <c r="AG1321" i="1"/>
  <c r="AG1322" i="1"/>
  <c r="AG1323" i="1"/>
  <c r="AG1324" i="1"/>
  <c r="AG1325" i="1"/>
  <c r="AG1326" i="1"/>
  <c r="AG1327" i="1"/>
  <c r="AG1328" i="1"/>
  <c r="AG1329" i="1"/>
  <c r="AG1330" i="1"/>
  <c r="AG1331" i="1"/>
  <c r="AG1332" i="1"/>
  <c r="AG1333" i="1"/>
  <c r="AG1334" i="1"/>
  <c r="AG1335" i="1"/>
  <c r="AG1336" i="1"/>
  <c r="AG1337" i="1"/>
  <c r="AG1338" i="1"/>
  <c r="AG1339" i="1"/>
  <c r="AG1340" i="1"/>
  <c r="AG1341" i="1"/>
  <c r="AG1342" i="1"/>
  <c r="AG1343" i="1"/>
  <c r="AG1344" i="1"/>
  <c r="AG1345" i="1"/>
  <c r="AG1346" i="1"/>
  <c r="AG1347" i="1"/>
  <c r="AG1348" i="1"/>
  <c r="AG1349" i="1"/>
  <c r="AG1350" i="1"/>
  <c r="AG1351" i="1"/>
  <c r="AG1352" i="1"/>
  <c r="AG1353" i="1"/>
  <c r="AG1354" i="1"/>
  <c r="AG1355" i="1"/>
  <c r="AG1356" i="1"/>
  <c r="AG1357" i="1"/>
  <c r="AG1358" i="1"/>
  <c r="AG1359" i="1"/>
  <c r="AG1360" i="1"/>
  <c r="AG1361" i="1"/>
  <c r="AG1362" i="1"/>
  <c r="AG1363" i="1"/>
  <c r="AG1364" i="1"/>
  <c r="AG1365" i="1"/>
  <c r="AG1366" i="1"/>
  <c r="AG1367" i="1"/>
  <c r="AG1368" i="1"/>
  <c r="AG1369" i="1"/>
  <c r="AG1370" i="1"/>
  <c r="AG1371" i="1"/>
  <c r="AG1372" i="1"/>
  <c r="AG1373" i="1"/>
  <c r="AG1374" i="1"/>
  <c r="AG1375" i="1"/>
  <c r="AG1376" i="1"/>
  <c r="AG1377" i="1"/>
  <c r="AG1378" i="1"/>
  <c r="AG1379" i="1"/>
  <c r="AG1380" i="1"/>
  <c r="AG1381" i="1"/>
  <c r="AG1382" i="1"/>
  <c r="AG1383" i="1"/>
  <c r="AG1384" i="1"/>
  <c r="AG1385" i="1"/>
  <c r="AG1386" i="1"/>
  <c r="AG1387" i="1"/>
  <c r="AG1388" i="1"/>
  <c r="AG1389" i="1"/>
  <c r="AG1390" i="1"/>
  <c r="AG1391" i="1"/>
  <c r="AG1392" i="1"/>
  <c r="AG1393" i="1"/>
  <c r="AG1394" i="1"/>
  <c r="AG1395" i="1"/>
  <c r="AG1396" i="1"/>
  <c r="AG1397" i="1"/>
  <c r="AG1398" i="1"/>
  <c r="AG1399" i="1"/>
  <c r="AG1400" i="1"/>
  <c r="AG1401" i="1"/>
  <c r="AG1402" i="1"/>
  <c r="AG1403" i="1"/>
  <c r="AG1404" i="1"/>
  <c r="AG1405" i="1"/>
  <c r="AG1406" i="1"/>
  <c r="AG1407" i="1"/>
  <c r="AG1408" i="1"/>
  <c r="AG1409" i="1"/>
  <c r="AG1410" i="1"/>
  <c r="AG1411" i="1"/>
  <c r="AG1412" i="1"/>
  <c r="AG1413" i="1"/>
  <c r="AG1414" i="1"/>
  <c r="AG1415" i="1"/>
  <c r="AG1416" i="1"/>
  <c r="AG1417" i="1"/>
  <c r="AG1418" i="1"/>
  <c r="AG1419" i="1"/>
  <c r="AG1420" i="1"/>
  <c r="AG1421" i="1"/>
  <c r="AG1422" i="1"/>
  <c r="AG1423" i="1"/>
  <c r="AG1424" i="1"/>
  <c r="AG1425" i="1"/>
  <c r="AG1426" i="1"/>
  <c r="AG1427" i="1"/>
  <c r="AG1428" i="1"/>
  <c r="AG1429" i="1"/>
  <c r="AG1430" i="1"/>
  <c r="AG1431" i="1"/>
  <c r="AG1432" i="1"/>
  <c r="AG1433" i="1"/>
  <c r="AG1434" i="1"/>
  <c r="AG1435" i="1"/>
  <c r="AG1436" i="1"/>
  <c r="AG1437" i="1"/>
  <c r="AG1438" i="1"/>
  <c r="AG1439" i="1"/>
  <c r="AG1440" i="1"/>
  <c r="AG1441" i="1"/>
  <c r="AG1442" i="1"/>
  <c r="AG1443" i="1"/>
  <c r="AG1444" i="1"/>
  <c r="AG1445" i="1"/>
  <c r="AG1446" i="1"/>
  <c r="AG1447" i="1"/>
  <c r="AG1448" i="1"/>
  <c r="AG1449" i="1"/>
  <c r="AG1450" i="1"/>
  <c r="AG1451" i="1"/>
  <c r="AG1452" i="1"/>
  <c r="AG1453" i="1"/>
  <c r="AG1454" i="1"/>
  <c r="AG1455" i="1"/>
  <c r="AG1456" i="1"/>
  <c r="AG1457" i="1"/>
  <c r="AG1458" i="1"/>
  <c r="AG1459" i="1"/>
  <c r="AG1460" i="1"/>
  <c r="AG1461" i="1"/>
  <c r="AG1462" i="1"/>
  <c r="AG1463" i="1"/>
  <c r="AG1464" i="1"/>
  <c r="AG1465" i="1"/>
  <c r="AG1466" i="1"/>
  <c r="AG1467" i="1"/>
  <c r="AG1468" i="1"/>
  <c r="AG1469" i="1"/>
  <c r="AG1470" i="1"/>
  <c r="AG1471" i="1"/>
  <c r="C6" i="6" l="1"/>
  <c r="D6" i="6" s="1"/>
  <c r="C5" i="6"/>
  <c r="D5" i="6" s="1"/>
  <c r="D4" i="6"/>
  <c r="D5" i="2" l="1"/>
  <c r="C5" i="2"/>
  <c r="E5" i="2" s="1"/>
  <c r="A5" i="2"/>
</calcChain>
</file>

<file path=xl/sharedStrings.xml><?xml version="1.0" encoding="utf-8"?>
<sst xmlns="http://schemas.openxmlformats.org/spreadsheetml/2006/main" count="11844" uniqueCount="87">
  <si>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</si>
  <si>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</si>
  <si>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</si>
  <si>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</si>
  <si>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</si>
  <si>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</si>
  <si>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</si>
  <si>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</si>
  <si>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</si>
  <si>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</si>
  <si>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</si>
  <si>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</si>
  <si>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</si>
  <si>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</si>
  <si>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</si>
  <si>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</si>
  <si>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</si>
  <si>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</si>
  <si>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</si>
  <si>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</si>
  <si>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</si>
  <si>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</si>
  <si>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</si>
  <si>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</si>
  <si>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</si>
  <si>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</si>
  <si>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</si>
  <si>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</si>
  <si>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</si>
  <si>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</si>
  <si>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</si>
  <si>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</si>
  <si>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</si>
  <si>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</si>
  <si>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</si>
  <si>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</si>
  <si>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</si>
  <si>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</si>
  <si>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</si>
  <si>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</si>
  <si>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</si>
  <si>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</si>
  <si>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</si>
  <si>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</si>
  <si>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</si>
  <si>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</si>
  <si>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</si>
  <si>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</si>
  <si>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</si>
  <si>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</si>
  <si>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</si>
  <si>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</si>
  <si>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</si>
  <si>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</si>
  <si>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</si>
  <si>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</si>
  <si>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</si>
  <si>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</si>
  <si>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ANALYSIS OF SHEET 1</t>
  </si>
  <si>
    <t xml:space="preserve">Total Employee Count </t>
  </si>
  <si>
    <t>Total Employees Left</t>
  </si>
  <si>
    <t>Total Employees Stayed</t>
  </si>
  <si>
    <t>Attrition Rate%</t>
  </si>
  <si>
    <t>Count of Attrition</t>
  </si>
  <si>
    <t>Row Labels</t>
  </si>
  <si>
    <t xml:space="preserve">PIVOT TABLE </t>
  </si>
  <si>
    <t>Total Employees In each Department</t>
  </si>
  <si>
    <t>Employees who left</t>
  </si>
  <si>
    <t>Attrition Rate %</t>
  </si>
  <si>
    <t>WHICH DEPARTMENT HAS THE HIGHEST ATTRITION RATE?</t>
  </si>
  <si>
    <t>Which department has the Highest Attrition Count?</t>
  </si>
  <si>
    <t>Age Group</t>
  </si>
  <si>
    <t>18-34</t>
  </si>
  <si>
    <t>35-44</t>
  </si>
  <si>
    <t>45-54</t>
  </si>
  <si>
    <t>55+</t>
  </si>
  <si>
    <t>Grand Total</t>
  </si>
  <si>
    <t xml:space="preserve">Using COUNTIFS </t>
  </si>
  <si>
    <t>Total males</t>
  </si>
  <si>
    <t>Total Females</t>
  </si>
  <si>
    <t>Male Attrition Percentage%</t>
  </si>
  <si>
    <t>Female Attrition Percentage%</t>
  </si>
  <si>
    <t>Do Employees Who do Overtime leave the Organization More due to Attrition?</t>
  </si>
  <si>
    <t>Total Employees with No Overtime</t>
  </si>
  <si>
    <t>Total Employees with Overtime</t>
  </si>
  <si>
    <t>No overtime Percentage</t>
  </si>
  <si>
    <t>Yes Overtime Percentage</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</si>
</sst>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4"/>
      <color theme="1"/>
      <name val="Calibri"/>
      <family val="2"/>
      <scheme val="minor"/>
    </font>
    <font>
      <b/>
      <sz val="12"/>
      <color theme="1"/>
      <name val="Calibri"/>
      <family val="2"/>
      <scheme val="minor"/>
    </font>
    <font>
      <b/>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5">
    <xf numFmtId="0" fontId="0" fillId="0" borderId="0" xfId="0"/>
    <xf numFmtId="0" fontId="16" fillId="0" borderId="0" xfId="0" applyFont="1"/>
    <xf numFmtId="0" fontId="18" fillId="0" borderId="0" xfId="0" applyFont="1" applyAlignment="1">
      <alignment horizontal="center"/>
    </xf>
    <xf numFmtId="0" fontId="0" fillId="0" borderId="0" xfId="0" applyFont="1"/>
    <xf numFmtId="2" fontId="0" fillId="0" borderId="0" xfId="1" applyNumberFormat="1" applyFont="1"/>
    <xf numFmtId="0" fontId="0" fillId="0" borderId="0" xfId="0" pivotButton="1"/>
    <xf numFmtId="0" fontId="0" fillId="0" borderId="0" xfId="0" applyNumberFormat="1"/>
    <xf numFmtId="0" fontId="0" fillId="0" borderId="0" xfId="0" applyAlignment="1">
      <alignment horizontal="left"/>
    </xf>
    <xf numFmtId="0" fontId="0" fillId="0" borderId="10" xfId="0" pivotButton="1" applyBorder="1"/>
    <xf numFmtId="0" fontId="0" fillId="0" borderId="10" xfId="0" applyBorder="1"/>
    <xf numFmtId="0" fontId="0" fillId="0" borderId="11" xfId="0" applyBorder="1"/>
    <xf numFmtId="0" fontId="0" fillId="0" borderId="12" xfId="0" applyBorder="1"/>
    <xf numFmtId="0" fontId="19" fillId="0" borderId="0" xfId="0" applyFont="1"/>
    <xf numFmtId="2" fontId="0" fillId="0" borderId="0" xfId="0" applyNumberFormat="1"/>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
    <dxf>
      <numFmt numFmtId="2" formatCode="0.00"/>
    </dxf>
    <dxf>
      <border outline="0">
        <top style="thin">
          <color indexed="64"/>
        </top>
      </border>
    </dxf>
    <dxf>
      <border outline="0">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438150</xdr:colOff>
      <xdr:row>1</xdr:row>
      <xdr:rowOff>152400</xdr:rowOff>
    </xdr:from>
    <xdr:to>
      <xdr:col>6</xdr:col>
      <xdr:colOff>438150</xdr:colOff>
      <xdr:row>7</xdr:row>
      <xdr:rowOff>142875</xdr:rowOff>
    </xdr:to>
    <mc:AlternateContent xmlns:mc="http://schemas.openxmlformats.org/markup-compatibility/2006">
      <mc:Choice xmlns:a14="http://schemas.microsoft.com/office/drawing/2010/main" Requires="a14">
        <xdr:graphicFrame macro="">
          <xdr:nvGraphicFramePr>
            <xdr:cNvPr id="2" name="Attrition 1"/>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3038475" y="342900"/>
              <a:ext cx="1828800" cy="1133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857250</xdr:colOff>
      <xdr:row>1</xdr:row>
      <xdr:rowOff>85725</xdr:rowOff>
    </xdr:from>
    <xdr:to>
      <xdr:col>5</xdr:col>
      <xdr:colOff>228600</xdr:colOff>
      <xdr:row>8</xdr:row>
      <xdr:rowOff>133350</xdr:rowOff>
    </xdr:to>
    <mc:AlternateContent xmlns:mc="http://schemas.openxmlformats.org/markup-compatibility/2006" xmlns:a14="http://schemas.microsoft.com/office/drawing/2010/main">
      <mc:Choice Requires="a14">
        <xdr:graphicFrame macro="">
          <xdr:nvGraphicFramePr>
            <xdr:cNvPr id="2" name="Attrition"/>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4038600" y="276225"/>
              <a:ext cx="1828800" cy="1381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user" refreshedDate="46146.764471759256" createdVersion="5" refreshedVersion="5" minRefreshableVersion="3" recordCount="1471">
  <cacheSource type="worksheet">
    <worksheetSource ref="A1:AF1048576" sheet="IBM HR Analytics"/>
  </cacheSource>
  <cacheFields count="32">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ount="4">
        <s v="Sales"/>
        <s v="Research &amp; Development"/>
        <s v="Human Resources"/>
        <m/>
      </sharedItems>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6146.782643287035" createdVersion="5" refreshedVersion="5" minRefreshableVersion="3" recordCount="1470">
  <cacheSource type="worksheet">
    <worksheetSource name="Table1"/>
  </cacheSource>
  <cacheFields count="32">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r:id="rId1" refreshedBy="user" refreshedDate="46149.359285763887" createdVersion="5" refreshedVersion="5" minRefreshableVersion="3" recordCount="1471">
  <cacheSource type="worksheet">
    <worksheetSource ref="A1:AG1048576" sheet="IBM HR Analytics"/>
  </cacheSource>
  <cacheFields count="33">
    <cacheField name="Age" numFmtId="0">
      <sharedItems containsString="0" containsBlank="1" containsNumber="1" containsInteger="1" minValue="18" maxValue="60"/>
    </cacheField>
    <cacheField name="Attrition" numFmtId="0">
      <sharedItems containsBlank="1" count="3">
        <s v="Yes"/>
        <s v="No"/>
        <m/>
      </sharedItems>
    </cacheField>
    <cacheField name="BusinessTravel" numFmtId="0">
      <sharedItems containsBlank="1"/>
    </cacheField>
    <cacheField name="DailyRate" numFmtId="0">
      <sharedItems containsString="0" containsBlank="1" containsNumber="1" containsInteger="1" minValue="102" maxValue="1499"/>
    </cacheField>
    <cacheField name="Department" numFmtId="0">
      <sharedItems containsBlank="1"/>
    </cacheField>
    <cacheField name="DistanceFromHome" numFmtId="0">
      <sharedItems containsString="0" containsBlank="1" containsNumber="1" containsInteger="1" minValue="1" maxValue="29"/>
    </cacheField>
    <cacheField name="Education" numFmtId="0">
      <sharedItems containsString="0" containsBlank="1" containsNumber="1" containsInteger="1" minValue="1" maxValue="5"/>
    </cacheField>
    <cacheField name="EducationField" numFmtId="0">
      <sharedItems containsBlank="1"/>
    </cacheField>
    <cacheField name="EmployeeNumber" numFmtId="0">
      <sharedItems containsString="0" containsBlank="1" containsNumber="1" containsInteger="1" minValue="1" maxValue="2068"/>
    </cacheField>
    <cacheField name="EnvironmentSatisfaction" numFmtId="0">
      <sharedItems containsString="0" containsBlank="1" containsNumber="1" containsInteger="1" minValue="1" maxValue="4"/>
    </cacheField>
    <cacheField name="Gender" numFmtId="0">
      <sharedItems containsBlank="1"/>
    </cacheField>
    <cacheField name="HourlyRate" numFmtId="0">
      <sharedItems containsString="0" containsBlank="1" containsNumber="1" containsInteger="1" minValue="30" maxValue="100"/>
    </cacheField>
    <cacheField name="JobInvolvement" numFmtId="0">
      <sharedItems containsString="0" containsBlank="1" containsNumber="1" containsInteger="1" minValue="1" maxValue="4"/>
    </cacheField>
    <cacheField name="JobLevel" numFmtId="0">
      <sharedItems containsString="0" containsBlank="1" containsNumber="1" containsInteger="1" minValue="1" maxValue="5"/>
    </cacheField>
    <cacheField name="JobRole" numFmtId="0">
      <sharedItems containsBlank="1"/>
    </cacheField>
    <cacheField name="JobSatisfaction" numFmtId="0">
      <sharedItems containsString="0" containsBlank="1" containsNumber="1" containsInteger="1" minValue="1" maxValue="4"/>
    </cacheField>
    <cacheField name="MaritalStatus" numFmtId="0">
      <sharedItems containsBlank="1"/>
    </cacheField>
    <cacheField name="MonthlyIncome" numFmtId="0">
      <sharedItems containsString="0" containsBlank="1" containsNumber="1" containsInteger="1" minValue="1009" maxValue="19999"/>
    </cacheField>
    <cacheField name="MonthlyRate" numFmtId="0">
      <sharedItems containsString="0" containsBlank="1" containsNumber="1" containsInteger="1" minValue="2094" maxValue="26999"/>
    </cacheField>
    <cacheField name="NumCompaniesWorked" numFmtId="0">
      <sharedItems containsString="0" containsBlank="1" containsNumber="1" containsInteger="1" minValue="0" maxValue="9"/>
    </cacheField>
    <cacheField name="OverTime" numFmtId="0">
      <sharedItems containsBlank="1"/>
    </cacheField>
    <cacheField name="PercentSalaryHike" numFmtId="0">
      <sharedItems containsString="0" containsBlank="1" containsNumber="1" containsInteger="1" minValue="11" maxValue="25"/>
    </cacheField>
    <cacheField name="PerformanceRating" numFmtId="0">
      <sharedItems containsString="0" containsBlank="1" containsNumber="1" containsInteger="1" minValue="3" maxValue="4"/>
    </cacheField>
    <cacheField name="RelationshipSatisfaction" numFmtId="0">
      <sharedItems containsString="0" containsBlank="1" containsNumber="1" containsInteger="1" minValue="1" maxValue="4"/>
    </cacheField>
    <cacheField name="StockOptionLevel" numFmtId="0">
      <sharedItems containsString="0" containsBlank="1" containsNumber="1" containsInteger="1" minValue="0" maxValue="3"/>
    </cacheField>
    <cacheField name="TotalWorkingYears" numFmtId="0">
      <sharedItems containsString="0" containsBlank="1" containsNumber="1" containsInteger="1" minValue="0" maxValue="40"/>
    </cacheField>
    <cacheField name="TrainingTimesLastYear" numFmtId="0">
      <sharedItems containsString="0" containsBlank="1" containsNumber="1" containsInteger="1" minValue="0" maxValue="6"/>
    </cacheField>
    <cacheField name="WorkLifeBalance" numFmtId="0">
      <sharedItems containsString="0" containsBlank="1" containsNumber="1" containsInteger="1" minValue="1" maxValue="4"/>
    </cacheField>
    <cacheField name="YearsAtCompany" numFmtId="0">
      <sharedItems containsString="0" containsBlank="1" containsNumber="1" containsInteger="1" minValue="0" maxValue="40"/>
    </cacheField>
    <cacheField name="YearsInCurrentRole" numFmtId="0">
      <sharedItems containsString="0" containsBlank="1" containsNumber="1" containsInteger="1" minValue="0" maxValue="18"/>
    </cacheField>
    <cacheField name="YearsSinceLastPromotion" numFmtId="0">
      <sharedItems containsString="0" containsBlank="1" containsNumber="1" containsInteger="1" minValue="0" maxValue="15"/>
    </cacheField>
    <cacheField name="YearsWithCurrManager" numFmtId="0">
      <sharedItems containsString="0" containsBlank="1" containsNumber="1" containsInteger="1" minValue="0" maxValue="17"/>
    </cacheField>
    <cacheField name="Age Group" numFmtId="0">
      <sharedItems containsBlank="1" count="5">
        <s v="35-44"/>
        <s v="45-54"/>
        <s v="18-34"/>
        <s v="55+"/>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471">
  <r>
    <n v="41"/>
    <x v="0"/>
    <s v="Travel_Rarely"/>
    <n v="1102"/>
    <x v="0"/>
    <n v="1"/>
    <n v="2"/>
    <s v="Life Sciences"/>
    <n v="1"/>
    <n v="2"/>
    <s v="Female"/>
    <n v="94"/>
    <n v="3"/>
    <n v="2"/>
    <s v="Sales Executive"/>
    <n v="4"/>
    <s v="Single"/>
    <n v="5993"/>
    <n v="19479"/>
    <n v="8"/>
    <s v="Yes"/>
    <n v="11"/>
    <n v="3"/>
    <n v="1"/>
    <n v="0"/>
    <n v="8"/>
    <n v="0"/>
    <n v="1"/>
    <n v="6"/>
    <n v="4"/>
    <n v="0"/>
    <n v="5"/>
  </r>
  <r>
    <n v="49"/>
    <x v="1"/>
    <s v="Travel_Frequently"/>
    <n v="279"/>
    <x v="1"/>
    <n v="8"/>
    <n v="1"/>
    <s v="Life Sciences"/>
    <n v="2"/>
    <n v="3"/>
    <s v="Male"/>
    <n v="61"/>
    <n v="2"/>
    <n v="2"/>
    <s v="Research Scientist"/>
    <n v="2"/>
    <s v="Married"/>
    <n v="5130"/>
    <n v="24907"/>
    <n v="1"/>
    <s v="No"/>
    <n v="23"/>
    <n v="4"/>
    <n v="4"/>
    <n v="1"/>
    <n v="10"/>
    <n v="3"/>
    <n v="3"/>
    <n v="10"/>
    <n v="7"/>
    <n v="1"/>
    <n v="7"/>
  </r>
  <r>
    <n v="37"/>
    <x v="0"/>
    <s v="Travel_Rarely"/>
    <n v="1373"/>
    <x v="1"/>
    <n v="2"/>
    <n v="2"/>
    <s v="Other"/>
    <n v="4"/>
    <n v="4"/>
    <s v="Male"/>
    <n v="92"/>
    <n v="2"/>
    <n v="1"/>
    <s v="Laboratory Technician"/>
    <n v="3"/>
    <s v="Single"/>
    <n v="2090"/>
    <n v="2396"/>
    <n v="6"/>
    <s v="Yes"/>
    <n v="15"/>
    <n v="3"/>
    <n v="2"/>
    <n v="0"/>
    <n v="7"/>
    <n v="3"/>
    <n v="3"/>
    <n v="0"/>
    <n v="0"/>
    <n v="0"/>
    <n v="0"/>
  </r>
  <r>
    <n v="33"/>
    <x v="1"/>
    <s v="Travel_Frequently"/>
    <n v="1392"/>
    <x v="1"/>
    <n v="3"/>
    <n v="4"/>
    <s v="Life Sciences"/>
    <n v="5"/>
    <n v="4"/>
    <s v="Female"/>
    <n v="56"/>
    <n v="3"/>
    <n v="1"/>
    <s v="Research Scientist"/>
    <n v="3"/>
    <s v="Married"/>
    <n v="2909"/>
    <n v="23159"/>
    <n v="1"/>
    <s v="Yes"/>
    <n v="11"/>
    <n v="3"/>
    <n v="3"/>
    <n v="0"/>
    <n v="8"/>
    <n v="3"/>
    <n v="3"/>
    <n v="8"/>
    <n v="7"/>
    <n v="3"/>
    <n v="0"/>
  </r>
  <r>
    <n v="27"/>
    <x v="1"/>
    <s v="Travel_Rarely"/>
    <n v="591"/>
    <x v="1"/>
    <n v="2"/>
    <n v="1"/>
    <s v="Medical"/>
    <n v="7"/>
    <n v="1"/>
    <s v="Male"/>
    <n v="40"/>
    <n v="3"/>
    <n v="1"/>
    <s v="Laboratory Technician"/>
    <n v="2"/>
    <s v="Married"/>
    <n v="3468"/>
    <n v="16632"/>
    <n v="9"/>
    <s v="No"/>
    <n v="12"/>
    <n v="3"/>
    <n v="4"/>
    <n v="1"/>
    <n v="6"/>
    <n v="3"/>
    <n v="3"/>
    <n v="2"/>
    <n v="2"/>
    <n v="2"/>
    <n v="2"/>
  </r>
  <r>
    <n v="32"/>
    <x v="1"/>
    <s v="Travel_Frequently"/>
    <n v="1005"/>
    <x v="1"/>
    <n v="2"/>
    <n v="2"/>
    <s v="Life Sciences"/>
    <n v="8"/>
    <n v="4"/>
    <s v="Male"/>
    <n v="79"/>
    <n v="3"/>
    <n v="1"/>
    <s v="Laboratory Technician"/>
    <n v="4"/>
    <s v="Single"/>
    <n v="3068"/>
    <n v="11864"/>
    <n v="0"/>
    <s v="No"/>
    <n v="13"/>
    <n v="3"/>
    <n v="3"/>
    <n v="0"/>
    <n v="8"/>
    <n v="2"/>
    <n v="2"/>
    <n v="7"/>
    <n v="7"/>
    <n v="3"/>
    <n v="6"/>
  </r>
  <r>
    <n v="59"/>
    <x v="1"/>
    <s v="Travel_Rarely"/>
    <n v="1324"/>
    <x v="1"/>
    <n v="3"/>
    <n v="3"/>
    <s v="Medical"/>
    <n v="10"/>
    <n v="3"/>
    <s v="Female"/>
    <n v="81"/>
    <n v="4"/>
    <n v="1"/>
    <s v="Laboratory Technician"/>
    <n v="1"/>
    <s v="Married"/>
    <n v="2670"/>
    <n v="9964"/>
    <n v="4"/>
    <s v="Yes"/>
    <n v="20"/>
    <n v="4"/>
    <n v="1"/>
    <n v="3"/>
    <n v="12"/>
    <n v="3"/>
    <n v="2"/>
    <n v="1"/>
    <n v="0"/>
    <n v="0"/>
    <n v="0"/>
  </r>
  <r>
    <n v="30"/>
    <x v="1"/>
    <s v="Travel_Rarely"/>
    <n v="1358"/>
    <x v="1"/>
    <n v="24"/>
    <n v="1"/>
    <s v="Life Sciences"/>
    <n v="11"/>
    <n v="4"/>
    <s v="Male"/>
    <n v="67"/>
    <n v="3"/>
    <n v="1"/>
    <s v="Laboratory Technician"/>
    <n v="3"/>
    <s v="Divorced"/>
    <n v="2693"/>
    <n v="13335"/>
    <n v="1"/>
    <s v="No"/>
    <n v="22"/>
    <n v="4"/>
    <n v="2"/>
    <n v="1"/>
    <n v="1"/>
    <n v="2"/>
    <n v="3"/>
    <n v="1"/>
    <n v="0"/>
    <n v="0"/>
    <n v="0"/>
  </r>
  <r>
    <n v="38"/>
    <x v="1"/>
    <s v="Travel_Frequently"/>
    <n v="216"/>
    <x v="1"/>
    <n v="23"/>
    <n v="3"/>
    <s v="Life Sciences"/>
    <n v="12"/>
    <n v="4"/>
    <s v="Male"/>
    <n v="44"/>
    <n v="2"/>
    <n v="3"/>
    <s v="Manufacturing Director"/>
    <n v="3"/>
    <s v="Single"/>
    <n v="9526"/>
    <n v="8787"/>
    <n v="0"/>
    <s v="No"/>
    <n v="21"/>
    <n v="4"/>
    <n v="2"/>
    <n v="0"/>
    <n v="10"/>
    <n v="2"/>
    <n v="3"/>
    <n v="9"/>
    <n v="7"/>
    <n v="1"/>
    <n v="8"/>
  </r>
  <r>
    <n v="36"/>
    <x v="1"/>
    <s v="Travel_Rarely"/>
    <n v="1299"/>
    <x v="1"/>
    <n v="27"/>
    <n v="3"/>
    <s v="Medical"/>
    <n v="13"/>
    <n v="3"/>
    <s v="Male"/>
    <n v="94"/>
    <n v="3"/>
    <n v="2"/>
    <s v="Healthcare Representative"/>
    <n v="3"/>
    <s v="Married"/>
    <n v="5237"/>
    <n v="16577"/>
    <n v="6"/>
    <s v="No"/>
    <n v="13"/>
    <n v="3"/>
    <n v="2"/>
    <n v="2"/>
    <n v="17"/>
    <n v="3"/>
    <n v="2"/>
    <n v="7"/>
    <n v="7"/>
    <n v="7"/>
    <n v="7"/>
  </r>
  <r>
    <n v="35"/>
    <x v="1"/>
    <s v="Travel_Rarely"/>
    <n v="809"/>
    <x v="1"/>
    <n v="16"/>
    <n v="3"/>
    <s v="Medical"/>
    <n v="14"/>
    <n v="1"/>
    <s v="Male"/>
    <n v="84"/>
    <n v="4"/>
    <n v="1"/>
    <s v="Laboratory Technician"/>
    <n v="2"/>
    <s v="Married"/>
    <n v="2426"/>
    <n v="16479"/>
    <n v="0"/>
    <s v="No"/>
    <n v="13"/>
    <n v="3"/>
    <n v="3"/>
    <n v="1"/>
    <n v="6"/>
    <n v="5"/>
    <n v="3"/>
    <n v="5"/>
    <n v="4"/>
    <n v="0"/>
    <n v="3"/>
  </r>
  <r>
    <n v="29"/>
    <x v="1"/>
    <s v="Travel_Rarely"/>
    <n v="153"/>
    <x v="1"/>
    <n v="15"/>
    <n v="2"/>
    <s v="Life Sciences"/>
    <n v="15"/>
    <n v="4"/>
    <s v="Female"/>
    <n v="49"/>
    <n v="2"/>
    <n v="2"/>
    <s v="Laboratory Technician"/>
    <n v="3"/>
    <s v="Single"/>
    <n v="4193"/>
    <n v="12682"/>
    <n v="0"/>
    <s v="Yes"/>
    <n v="12"/>
    <n v="3"/>
    <n v="4"/>
    <n v="0"/>
    <n v="10"/>
    <n v="3"/>
    <n v="3"/>
    <n v="9"/>
    <n v="5"/>
    <n v="0"/>
    <n v="8"/>
  </r>
  <r>
    <n v="31"/>
    <x v="1"/>
    <s v="Travel_Rarely"/>
    <n v="670"/>
    <x v="1"/>
    <n v="26"/>
    <n v="1"/>
    <s v="Life Sciences"/>
    <n v="16"/>
    <n v="1"/>
    <s v="Male"/>
    <n v="31"/>
    <n v="3"/>
    <n v="1"/>
    <s v="Research Scientist"/>
    <n v="3"/>
    <s v="Divorced"/>
    <n v="2911"/>
    <n v="15170"/>
    <n v="1"/>
    <s v="No"/>
    <n v="17"/>
    <n v="3"/>
    <n v="4"/>
    <n v="1"/>
    <n v="5"/>
    <n v="1"/>
    <n v="2"/>
    <n v="5"/>
    <n v="2"/>
    <n v="4"/>
    <n v="3"/>
  </r>
  <r>
    <n v="34"/>
    <x v="1"/>
    <s v="Travel_Rarely"/>
    <n v="1346"/>
    <x v="1"/>
    <n v="19"/>
    <n v="2"/>
    <s v="Medical"/>
    <n v="18"/>
    <n v="2"/>
    <s v="Male"/>
    <n v="93"/>
    <n v="3"/>
    <n v="1"/>
    <s v="Laboratory Technician"/>
    <n v="4"/>
    <s v="Divorced"/>
    <n v="2661"/>
    <n v="8758"/>
    <n v="0"/>
    <s v="No"/>
    <n v="11"/>
    <n v="3"/>
    <n v="3"/>
    <n v="1"/>
    <n v="3"/>
    <n v="2"/>
    <n v="3"/>
    <n v="2"/>
    <n v="2"/>
    <n v="1"/>
    <n v="2"/>
  </r>
  <r>
    <n v="28"/>
    <x v="0"/>
    <s v="Travel_Rarely"/>
    <n v="103"/>
    <x v="1"/>
    <n v="24"/>
    <n v="3"/>
    <s v="Life Sciences"/>
    <n v="19"/>
    <n v="3"/>
    <s v="Male"/>
    <n v="50"/>
    <n v="2"/>
    <n v="1"/>
    <s v="Laboratory Technician"/>
    <n v="3"/>
    <s v="Single"/>
    <n v="2028"/>
    <n v="12947"/>
    <n v="5"/>
    <s v="Yes"/>
    <n v="14"/>
    <n v="3"/>
    <n v="2"/>
    <n v="0"/>
    <n v="6"/>
    <n v="4"/>
    <n v="3"/>
    <n v="4"/>
    <n v="2"/>
    <n v="0"/>
    <n v="3"/>
  </r>
  <r>
    <n v="29"/>
    <x v="1"/>
    <s v="Travel_Rarely"/>
    <n v="1389"/>
    <x v="1"/>
    <n v="21"/>
    <n v="4"/>
    <s v="Life Sciences"/>
    <n v="20"/>
    <n v="2"/>
    <s v="Female"/>
    <n v="51"/>
    <n v="4"/>
    <n v="3"/>
    <s v="Manufacturing Director"/>
    <n v="1"/>
    <s v="Divorced"/>
    <n v="9980"/>
    <n v="10195"/>
    <n v="1"/>
    <s v="No"/>
    <n v="11"/>
    <n v="3"/>
    <n v="3"/>
    <n v="1"/>
    <n v="10"/>
    <n v="1"/>
    <n v="3"/>
    <n v="10"/>
    <n v="9"/>
    <n v="8"/>
    <n v="8"/>
  </r>
  <r>
    <n v="32"/>
    <x v="1"/>
    <s v="Travel_Rarely"/>
    <n v="334"/>
    <x v="1"/>
    <n v="5"/>
    <n v="2"/>
    <s v="Life Sciences"/>
    <n v="21"/>
    <n v="1"/>
    <s v="Male"/>
    <n v="80"/>
    <n v="4"/>
    <n v="1"/>
    <s v="Research Scientist"/>
    <n v="2"/>
    <s v="Divorced"/>
    <n v="3298"/>
    <n v="15053"/>
    <n v="0"/>
    <s v="Yes"/>
    <n v="12"/>
    <n v="3"/>
    <n v="4"/>
    <n v="2"/>
    <n v="7"/>
    <n v="5"/>
    <n v="2"/>
    <n v="6"/>
    <n v="2"/>
    <n v="0"/>
    <n v="5"/>
  </r>
  <r>
    <n v="22"/>
    <x v="1"/>
    <s v="Non-Travel"/>
    <n v="1123"/>
    <x v="1"/>
    <n v="16"/>
    <n v="2"/>
    <s v="Medical"/>
    <n v="22"/>
    <n v="4"/>
    <s v="Male"/>
    <n v="96"/>
    <n v="4"/>
    <n v="1"/>
    <s v="Laboratory Technician"/>
    <n v="4"/>
    <s v="Divorced"/>
    <n v="2935"/>
    <n v="7324"/>
    <n v="1"/>
    <s v="Yes"/>
    <n v="13"/>
    <n v="3"/>
    <n v="2"/>
    <n v="2"/>
    <n v="1"/>
    <n v="2"/>
    <n v="2"/>
    <n v="1"/>
    <n v="0"/>
    <n v="0"/>
    <n v="0"/>
  </r>
  <r>
    <n v="53"/>
    <x v="1"/>
    <s v="Travel_Rarely"/>
    <n v="1219"/>
    <x v="0"/>
    <n v="2"/>
    <n v="4"/>
    <s v="Life Sciences"/>
    <n v="23"/>
    <n v="1"/>
    <s v="Female"/>
    <n v="78"/>
    <n v="2"/>
    <n v="4"/>
    <s v="Manager"/>
    <n v="4"/>
    <s v="Married"/>
    <n v="15427"/>
    <n v="22021"/>
    <n v="2"/>
    <s v="No"/>
    <n v="16"/>
    <n v="3"/>
    <n v="3"/>
    <n v="0"/>
    <n v="31"/>
    <n v="3"/>
    <n v="3"/>
    <n v="25"/>
    <n v="8"/>
    <n v="3"/>
    <n v="7"/>
  </r>
  <r>
    <n v="38"/>
    <x v="1"/>
    <s v="Travel_Rarely"/>
    <n v="371"/>
    <x v="1"/>
    <n v="2"/>
    <n v="3"/>
    <s v="Life Sciences"/>
    <n v="24"/>
    <n v="4"/>
    <s v="Male"/>
    <n v="45"/>
    <n v="3"/>
    <n v="1"/>
    <s v="Research Scientist"/>
    <n v="4"/>
    <s v="Single"/>
    <n v="3944"/>
    <n v="4306"/>
    <n v="5"/>
    <s v="Yes"/>
    <n v="11"/>
    <n v="3"/>
    <n v="3"/>
    <n v="0"/>
    <n v="6"/>
    <n v="3"/>
    <n v="3"/>
    <n v="3"/>
    <n v="2"/>
    <n v="1"/>
    <n v="2"/>
  </r>
  <r>
    <n v="24"/>
    <x v="1"/>
    <s v="Non-Travel"/>
    <n v="673"/>
    <x v="1"/>
    <n v="11"/>
    <n v="2"/>
    <s v="Other"/>
    <n v="26"/>
    <n v="1"/>
    <s v="Female"/>
    <n v="96"/>
    <n v="4"/>
    <n v="2"/>
    <s v="Manufacturing Director"/>
    <n v="3"/>
    <s v="Divorced"/>
    <n v="4011"/>
    <n v="8232"/>
    <n v="0"/>
    <s v="No"/>
    <n v="18"/>
    <n v="3"/>
    <n v="4"/>
    <n v="1"/>
    <n v="5"/>
    <n v="5"/>
    <n v="2"/>
    <n v="4"/>
    <n v="2"/>
    <n v="1"/>
    <n v="3"/>
  </r>
  <r>
    <n v="36"/>
    <x v="0"/>
    <s v="Travel_Rarely"/>
    <n v="1218"/>
    <x v="0"/>
    <n v="9"/>
    <n v="4"/>
    <s v="Life Sciences"/>
    <n v="27"/>
    <n v="3"/>
    <s v="Male"/>
    <n v="82"/>
    <n v="2"/>
    <n v="1"/>
    <s v="Sales Representative"/>
    <n v="1"/>
    <s v="Single"/>
    <n v="3407"/>
    <n v="6986"/>
    <n v="7"/>
    <s v="No"/>
    <n v="23"/>
    <n v="4"/>
    <n v="2"/>
    <n v="0"/>
    <n v="10"/>
    <n v="4"/>
    <n v="3"/>
    <n v="5"/>
    <n v="3"/>
    <n v="0"/>
    <n v="3"/>
  </r>
  <r>
    <n v="34"/>
    <x v="1"/>
    <s v="Travel_Rarely"/>
    <n v="419"/>
    <x v="1"/>
    <n v="7"/>
    <n v="4"/>
    <s v="Life Sciences"/>
    <n v="28"/>
    <n v="1"/>
    <s v="Female"/>
    <n v="53"/>
    <n v="3"/>
    <n v="3"/>
    <s v="Research Director"/>
    <n v="2"/>
    <s v="Single"/>
    <n v="11994"/>
    <n v="21293"/>
    <n v="0"/>
    <s v="No"/>
    <n v="11"/>
    <n v="3"/>
    <n v="3"/>
    <n v="0"/>
    <n v="13"/>
    <n v="4"/>
    <n v="3"/>
    <n v="12"/>
    <n v="6"/>
    <n v="2"/>
    <n v="11"/>
  </r>
  <r>
    <n v="21"/>
    <x v="1"/>
    <s v="Travel_Rarely"/>
    <n v="391"/>
    <x v="1"/>
    <n v="15"/>
    <n v="2"/>
    <s v="Life Sciences"/>
    <n v="30"/>
    <n v="3"/>
    <s v="Male"/>
    <n v="96"/>
    <n v="3"/>
    <n v="1"/>
    <s v="Research Scientist"/>
    <n v="4"/>
    <s v="Single"/>
    <n v="1232"/>
    <n v="19281"/>
    <n v="1"/>
    <s v="No"/>
    <n v="14"/>
    <n v="3"/>
    <n v="4"/>
    <n v="0"/>
    <n v="0"/>
    <n v="6"/>
    <n v="3"/>
    <n v="0"/>
    <n v="0"/>
    <n v="0"/>
    <n v="0"/>
  </r>
  <r>
    <n v="34"/>
    <x v="0"/>
    <s v="Travel_Rarely"/>
    <n v="699"/>
    <x v="1"/>
    <n v="6"/>
    <n v="1"/>
    <s v="Medical"/>
    <n v="31"/>
    <n v="2"/>
    <s v="Male"/>
    <n v="83"/>
    <n v="3"/>
    <n v="1"/>
    <s v="Research Scientist"/>
    <n v="1"/>
    <s v="Single"/>
    <n v="2960"/>
    <n v="17102"/>
    <n v="2"/>
    <s v="No"/>
    <n v="11"/>
    <n v="3"/>
    <n v="3"/>
    <n v="0"/>
    <n v="8"/>
    <n v="2"/>
    <n v="3"/>
    <n v="4"/>
    <n v="2"/>
    <n v="1"/>
    <n v="3"/>
  </r>
  <r>
    <n v="53"/>
    <x v="1"/>
    <s v="Travel_Rarely"/>
    <n v="1282"/>
    <x v="1"/>
    <n v="5"/>
    <n v="3"/>
    <s v="Other"/>
    <n v="32"/>
    <n v="3"/>
    <s v="Female"/>
    <n v="58"/>
    <n v="3"/>
    <n v="5"/>
    <s v="Manager"/>
    <n v="3"/>
    <s v="Divorced"/>
    <n v="19094"/>
    <n v="10735"/>
    <n v="4"/>
    <s v="No"/>
    <n v="11"/>
    <n v="3"/>
    <n v="4"/>
    <n v="1"/>
    <n v="26"/>
    <n v="3"/>
    <n v="2"/>
    <n v="14"/>
    <n v="13"/>
    <n v="4"/>
    <n v="8"/>
  </r>
  <r>
    <n v="32"/>
    <x v="0"/>
    <s v="Travel_Frequently"/>
    <n v="1125"/>
    <x v="1"/>
    <n v="16"/>
    <n v="1"/>
    <s v="Life Sciences"/>
    <n v="33"/>
    <n v="2"/>
    <s v="Female"/>
    <n v="72"/>
    <n v="1"/>
    <n v="1"/>
    <s v="Research Scientist"/>
    <n v="1"/>
    <s v="Single"/>
    <n v="3919"/>
    <n v="4681"/>
    <n v="1"/>
    <s v="Yes"/>
    <n v="22"/>
    <n v="4"/>
    <n v="2"/>
    <n v="0"/>
    <n v="10"/>
    <n v="5"/>
    <n v="3"/>
    <n v="10"/>
    <n v="2"/>
    <n v="6"/>
    <n v="7"/>
  </r>
  <r>
    <n v="42"/>
    <x v="1"/>
    <s v="Travel_Rarely"/>
    <n v="691"/>
    <x v="0"/>
    <n v="8"/>
    <n v="4"/>
    <s v="Marketing"/>
    <n v="35"/>
    <n v="3"/>
    <s v="Male"/>
    <n v="48"/>
    <n v="3"/>
    <n v="2"/>
    <s v="Sales Executive"/>
    <n v="2"/>
    <s v="Married"/>
    <n v="6825"/>
    <n v="21173"/>
    <n v="0"/>
    <s v="No"/>
    <n v="11"/>
    <n v="3"/>
    <n v="4"/>
    <n v="1"/>
    <n v="10"/>
    <n v="2"/>
    <n v="3"/>
    <n v="9"/>
    <n v="7"/>
    <n v="4"/>
    <n v="2"/>
  </r>
  <r>
    <n v="44"/>
    <x v="1"/>
    <s v="Travel_Rarely"/>
    <n v="477"/>
    <x v="1"/>
    <n v="7"/>
    <n v="4"/>
    <s v="Medical"/>
    <n v="36"/>
    <n v="1"/>
    <s v="Female"/>
    <n v="42"/>
    <n v="2"/>
    <n v="3"/>
    <s v="Healthcare Representative"/>
    <n v="4"/>
    <s v="Married"/>
    <n v="10248"/>
    <n v="2094"/>
    <n v="3"/>
    <s v="No"/>
    <n v="14"/>
    <n v="3"/>
    <n v="4"/>
    <n v="1"/>
    <n v="24"/>
    <n v="4"/>
    <n v="3"/>
    <n v="22"/>
    <n v="6"/>
    <n v="5"/>
    <n v="17"/>
  </r>
  <r>
    <n v="46"/>
    <x v="1"/>
    <s v="Travel_Rarely"/>
    <n v="705"/>
    <x v="0"/>
    <n v="2"/>
    <n v="4"/>
    <s v="Marketing"/>
    <n v="38"/>
    <n v="2"/>
    <s v="Female"/>
    <n v="83"/>
    <n v="3"/>
    <n v="5"/>
    <s v="Manager"/>
    <n v="1"/>
    <s v="Single"/>
    <n v="18947"/>
    <n v="22822"/>
    <n v="3"/>
    <s v="No"/>
    <n v="12"/>
    <n v="3"/>
    <n v="4"/>
    <n v="0"/>
    <n v="22"/>
    <n v="2"/>
    <n v="2"/>
    <n v="2"/>
    <n v="2"/>
    <n v="2"/>
    <n v="1"/>
  </r>
  <r>
    <n v="33"/>
    <x v="1"/>
    <s v="Travel_Rarely"/>
    <n v="924"/>
    <x v="1"/>
    <n v="2"/>
    <n v="3"/>
    <s v="Medical"/>
    <n v="39"/>
    <n v="3"/>
    <s v="Male"/>
    <n v="78"/>
    <n v="3"/>
    <n v="1"/>
    <s v="Laboratory Technician"/>
    <n v="4"/>
    <s v="Single"/>
    <n v="2496"/>
    <n v="6670"/>
    <n v="4"/>
    <s v="No"/>
    <n v="11"/>
    <n v="3"/>
    <n v="4"/>
    <n v="0"/>
    <n v="7"/>
    <n v="3"/>
    <n v="3"/>
    <n v="1"/>
    <n v="1"/>
    <n v="0"/>
    <n v="0"/>
  </r>
  <r>
    <n v="44"/>
    <x v="1"/>
    <s v="Travel_Rarely"/>
    <n v="1459"/>
    <x v="1"/>
    <n v="10"/>
    <n v="4"/>
    <s v="Other"/>
    <n v="40"/>
    <n v="4"/>
    <s v="Male"/>
    <n v="41"/>
    <n v="3"/>
    <n v="2"/>
    <s v="Healthcare Representative"/>
    <n v="4"/>
    <s v="Married"/>
    <n v="6465"/>
    <n v="19121"/>
    <n v="2"/>
    <s v="Yes"/>
    <n v="13"/>
    <n v="3"/>
    <n v="4"/>
    <n v="0"/>
    <n v="9"/>
    <n v="5"/>
    <n v="4"/>
    <n v="4"/>
    <n v="2"/>
    <n v="1"/>
    <n v="3"/>
  </r>
  <r>
    <n v="30"/>
    <x v="1"/>
    <s v="Travel_Rarely"/>
    <n v="125"/>
    <x v="1"/>
    <n v="9"/>
    <n v="2"/>
    <s v="Medical"/>
    <n v="41"/>
    <n v="4"/>
    <s v="Male"/>
    <n v="83"/>
    <n v="2"/>
    <n v="1"/>
    <s v="Laboratory Technician"/>
    <n v="3"/>
    <s v="Single"/>
    <n v="2206"/>
    <n v="16117"/>
    <n v="1"/>
    <s v="No"/>
    <n v="13"/>
    <n v="3"/>
    <n v="1"/>
    <n v="0"/>
    <n v="10"/>
    <n v="5"/>
    <n v="3"/>
    <n v="10"/>
    <n v="0"/>
    <n v="1"/>
    <n v="8"/>
  </r>
  <r>
    <n v="39"/>
    <x v="0"/>
    <s v="Travel_Rarely"/>
    <n v="895"/>
    <x v="0"/>
    <n v="5"/>
    <n v="3"/>
    <s v="Technical Degree"/>
    <n v="42"/>
    <n v="4"/>
    <s v="Male"/>
    <n v="56"/>
    <n v="3"/>
    <n v="2"/>
    <s v="Sales Representative"/>
    <n v="4"/>
    <s v="Married"/>
    <n v="2086"/>
    <n v="3335"/>
    <n v="3"/>
    <s v="No"/>
    <n v="14"/>
    <n v="3"/>
    <n v="3"/>
    <n v="1"/>
    <n v="19"/>
    <n v="6"/>
    <n v="4"/>
    <n v="1"/>
    <n v="0"/>
    <n v="0"/>
    <n v="0"/>
  </r>
  <r>
    <n v="24"/>
    <x v="0"/>
    <s v="Travel_Rarely"/>
    <n v="813"/>
    <x v="1"/>
    <n v="1"/>
    <n v="3"/>
    <s v="Medical"/>
    <n v="45"/>
    <n v="2"/>
    <s v="Male"/>
    <n v="61"/>
    <n v="3"/>
    <n v="1"/>
    <s v="Research Scientist"/>
    <n v="4"/>
    <s v="Married"/>
    <n v="2293"/>
    <n v="3020"/>
    <n v="2"/>
    <s v="Yes"/>
    <n v="16"/>
    <n v="3"/>
    <n v="1"/>
    <n v="1"/>
    <n v="6"/>
    <n v="2"/>
    <n v="2"/>
    <n v="2"/>
    <n v="0"/>
    <n v="2"/>
    <n v="0"/>
  </r>
  <r>
    <n v="43"/>
    <x v="1"/>
    <s v="Travel_Rarely"/>
    <n v="1273"/>
    <x v="1"/>
    <n v="2"/>
    <n v="2"/>
    <s v="Medical"/>
    <n v="46"/>
    <n v="4"/>
    <s v="Female"/>
    <n v="72"/>
    <n v="4"/>
    <n v="1"/>
    <s v="Research Scientist"/>
    <n v="3"/>
    <s v="Divorced"/>
    <n v="2645"/>
    <n v="21923"/>
    <n v="1"/>
    <s v="No"/>
    <n v="12"/>
    <n v="3"/>
    <n v="4"/>
    <n v="2"/>
    <n v="6"/>
    <n v="3"/>
    <n v="2"/>
    <n v="5"/>
    <n v="3"/>
    <n v="1"/>
    <n v="4"/>
  </r>
  <r>
    <n v="50"/>
    <x v="0"/>
    <s v="Travel_Rarely"/>
    <n v="869"/>
    <x v="0"/>
    <n v="3"/>
    <n v="2"/>
    <s v="Marketing"/>
    <n v="47"/>
    <n v="1"/>
    <s v="Male"/>
    <n v="86"/>
    <n v="2"/>
    <n v="1"/>
    <s v="Sales Representative"/>
    <n v="3"/>
    <s v="Married"/>
    <n v="2683"/>
    <n v="3810"/>
    <n v="1"/>
    <s v="Yes"/>
    <n v="14"/>
    <n v="3"/>
    <n v="3"/>
    <n v="0"/>
    <n v="3"/>
    <n v="2"/>
    <n v="3"/>
    <n v="3"/>
    <n v="2"/>
    <n v="0"/>
    <n v="2"/>
  </r>
  <r>
    <n v="35"/>
    <x v="1"/>
    <s v="Travel_Rarely"/>
    <n v="890"/>
    <x v="0"/>
    <n v="2"/>
    <n v="3"/>
    <s v="Marketing"/>
    <n v="49"/>
    <n v="4"/>
    <s v="Female"/>
    <n v="97"/>
    <n v="3"/>
    <n v="1"/>
    <s v="Sales Representative"/>
    <n v="4"/>
    <s v="Married"/>
    <n v="2014"/>
    <n v="9687"/>
    <n v="1"/>
    <s v="No"/>
    <n v="13"/>
    <n v="3"/>
    <n v="1"/>
    <n v="0"/>
    <n v="2"/>
    <n v="3"/>
    <n v="3"/>
    <n v="2"/>
    <n v="2"/>
    <n v="2"/>
    <n v="2"/>
  </r>
  <r>
    <n v="36"/>
    <x v="1"/>
    <s v="Travel_Rarely"/>
    <n v="852"/>
    <x v="1"/>
    <n v="5"/>
    <n v="4"/>
    <s v="Life Sciences"/>
    <n v="51"/>
    <n v="2"/>
    <s v="Female"/>
    <n v="82"/>
    <n v="2"/>
    <n v="1"/>
    <s v="Research Scientist"/>
    <n v="1"/>
    <s v="Married"/>
    <n v="3419"/>
    <n v="13072"/>
    <n v="9"/>
    <s v="Yes"/>
    <n v="14"/>
    <n v="3"/>
    <n v="4"/>
    <n v="1"/>
    <n v="6"/>
    <n v="3"/>
    <n v="4"/>
    <n v="1"/>
    <n v="1"/>
    <n v="0"/>
    <n v="0"/>
  </r>
  <r>
    <n v="33"/>
    <x v="1"/>
    <s v="Travel_Frequently"/>
    <n v="1141"/>
    <x v="0"/>
    <n v="1"/>
    <n v="3"/>
    <s v="Life Sciences"/>
    <n v="52"/>
    <n v="3"/>
    <s v="Female"/>
    <n v="42"/>
    <n v="4"/>
    <n v="2"/>
    <s v="Sales Executive"/>
    <n v="1"/>
    <s v="Married"/>
    <n v="5376"/>
    <n v="3193"/>
    <n v="2"/>
    <s v="No"/>
    <n v="19"/>
    <n v="3"/>
    <n v="1"/>
    <n v="2"/>
    <n v="10"/>
    <n v="3"/>
    <n v="3"/>
    <n v="5"/>
    <n v="3"/>
    <n v="1"/>
    <n v="3"/>
  </r>
  <r>
    <n v="35"/>
    <x v="1"/>
    <s v="Travel_Rarely"/>
    <n v="464"/>
    <x v="1"/>
    <n v="4"/>
    <n v="2"/>
    <s v="Other"/>
    <n v="53"/>
    <n v="3"/>
    <s v="Male"/>
    <n v="75"/>
    <n v="3"/>
    <n v="1"/>
    <s v="Laboratory Technician"/>
    <n v="4"/>
    <s v="Divorced"/>
    <n v="1951"/>
    <n v="10910"/>
    <n v="1"/>
    <s v="No"/>
    <n v="12"/>
    <n v="3"/>
    <n v="3"/>
    <n v="1"/>
    <n v="1"/>
    <n v="3"/>
    <n v="3"/>
    <n v="1"/>
    <n v="0"/>
    <n v="0"/>
    <n v="0"/>
  </r>
  <r>
    <n v="27"/>
    <x v="1"/>
    <s v="Travel_Rarely"/>
    <n v="1240"/>
    <x v="1"/>
    <n v="2"/>
    <n v="4"/>
    <s v="Life Sciences"/>
    <n v="54"/>
    <n v="4"/>
    <s v="Female"/>
    <n v="33"/>
    <n v="3"/>
    <n v="1"/>
    <s v="Laboratory Technician"/>
    <n v="1"/>
    <s v="Divorced"/>
    <n v="2341"/>
    <n v="19715"/>
    <n v="1"/>
    <s v="No"/>
    <n v="13"/>
    <n v="3"/>
    <n v="4"/>
    <n v="1"/>
    <n v="1"/>
    <n v="6"/>
    <n v="3"/>
    <n v="1"/>
    <n v="0"/>
    <n v="0"/>
    <n v="0"/>
  </r>
  <r>
    <n v="26"/>
    <x v="0"/>
    <s v="Travel_Rarely"/>
    <n v="1357"/>
    <x v="1"/>
    <n v="25"/>
    <n v="3"/>
    <s v="Life Sciences"/>
    <n v="55"/>
    <n v="1"/>
    <s v="Male"/>
    <n v="48"/>
    <n v="1"/>
    <n v="1"/>
    <s v="Laboratory Technician"/>
    <n v="3"/>
    <s v="Single"/>
    <n v="2293"/>
    <n v="10558"/>
    <n v="1"/>
    <s v="No"/>
    <n v="12"/>
    <n v="3"/>
    <n v="3"/>
    <n v="0"/>
    <n v="1"/>
    <n v="2"/>
    <n v="2"/>
    <n v="1"/>
    <n v="0"/>
    <n v="0"/>
    <n v="1"/>
  </r>
  <r>
    <n v="27"/>
    <x v="1"/>
    <s v="Travel_Frequently"/>
    <n v="994"/>
    <x v="0"/>
    <n v="8"/>
    <n v="3"/>
    <s v="Life Sciences"/>
    <n v="56"/>
    <n v="4"/>
    <s v="Male"/>
    <n v="37"/>
    <n v="3"/>
    <n v="3"/>
    <s v="Sales Executive"/>
    <n v="3"/>
    <s v="Single"/>
    <n v="8726"/>
    <n v="2975"/>
    <n v="1"/>
    <s v="No"/>
    <n v="15"/>
    <n v="3"/>
    <n v="4"/>
    <n v="0"/>
    <n v="9"/>
    <n v="0"/>
    <n v="3"/>
    <n v="9"/>
    <n v="8"/>
    <n v="1"/>
    <n v="7"/>
  </r>
  <r>
    <n v="30"/>
    <x v="1"/>
    <s v="Travel_Frequently"/>
    <n v="721"/>
    <x v="1"/>
    <n v="1"/>
    <n v="2"/>
    <s v="Medical"/>
    <n v="57"/>
    <n v="3"/>
    <s v="Female"/>
    <n v="58"/>
    <n v="3"/>
    <n v="2"/>
    <s v="Laboratory Technician"/>
    <n v="4"/>
    <s v="Single"/>
    <n v="4011"/>
    <n v="10781"/>
    <n v="1"/>
    <s v="No"/>
    <n v="23"/>
    <n v="4"/>
    <n v="4"/>
    <n v="0"/>
    <n v="12"/>
    <n v="2"/>
    <n v="3"/>
    <n v="12"/>
    <n v="8"/>
    <n v="3"/>
    <n v="7"/>
  </r>
  <r>
    <n v="41"/>
    <x v="0"/>
    <s v="Travel_Rarely"/>
    <n v="1360"/>
    <x v="1"/>
    <n v="12"/>
    <n v="3"/>
    <s v="Technical Degree"/>
    <n v="58"/>
    <n v="2"/>
    <s v="Female"/>
    <n v="49"/>
    <n v="3"/>
    <n v="5"/>
    <s v="Research Director"/>
    <n v="3"/>
    <s v="Married"/>
    <n v="19545"/>
    <n v="16280"/>
    <n v="1"/>
    <s v="No"/>
    <n v="12"/>
    <n v="3"/>
    <n v="4"/>
    <n v="0"/>
    <n v="23"/>
    <n v="0"/>
    <n v="3"/>
    <n v="22"/>
    <n v="15"/>
    <n v="15"/>
    <n v="8"/>
  </r>
  <r>
    <n v="34"/>
    <x v="1"/>
    <s v="Non-Travel"/>
    <n v="1065"/>
    <x v="0"/>
    <n v="23"/>
    <n v="4"/>
    <s v="Marketing"/>
    <n v="60"/>
    <n v="2"/>
    <s v="Male"/>
    <n v="72"/>
    <n v="3"/>
    <n v="2"/>
    <s v="Sales Executive"/>
    <n v="3"/>
    <s v="Single"/>
    <n v="4568"/>
    <n v="10034"/>
    <n v="0"/>
    <s v="No"/>
    <n v="20"/>
    <n v="4"/>
    <n v="3"/>
    <n v="0"/>
    <n v="10"/>
    <n v="2"/>
    <n v="3"/>
    <n v="9"/>
    <n v="5"/>
    <n v="8"/>
    <n v="7"/>
  </r>
  <r>
    <n v="37"/>
    <x v="1"/>
    <s v="Travel_Rarely"/>
    <n v="408"/>
    <x v="1"/>
    <n v="19"/>
    <n v="2"/>
    <s v="Life Sciences"/>
    <n v="61"/>
    <n v="2"/>
    <s v="Male"/>
    <n v="73"/>
    <n v="3"/>
    <n v="1"/>
    <s v="Research Scientist"/>
    <n v="2"/>
    <s v="Married"/>
    <n v="3022"/>
    <n v="10227"/>
    <n v="4"/>
    <s v="No"/>
    <n v="21"/>
    <n v="4"/>
    <n v="1"/>
    <n v="0"/>
    <n v="8"/>
    <n v="1"/>
    <n v="3"/>
    <n v="1"/>
    <n v="0"/>
    <n v="0"/>
    <n v="0"/>
  </r>
  <r>
    <n v="46"/>
    <x v="1"/>
    <s v="Travel_Frequently"/>
    <n v="1211"/>
    <x v="0"/>
    <n v="5"/>
    <n v="4"/>
    <s v="Marketing"/>
    <n v="62"/>
    <n v="1"/>
    <s v="Male"/>
    <n v="98"/>
    <n v="3"/>
    <n v="2"/>
    <s v="Sales Executive"/>
    <n v="4"/>
    <s v="Single"/>
    <n v="5772"/>
    <n v="20445"/>
    <n v="4"/>
    <s v="Yes"/>
    <n v="21"/>
    <n v="4"/>
    <n v="3"/>
    <n v="0"/>
    <n v="14"/>
    <n v="4"/>
    <n v="3"/>
    <n v="9"/>
    <n v="6"/>
    <n v="0"/>
    <n v="8"/>
  </r>
  <r>
    <n v="35"/>
    <x v="1"/>
    <s v="Travel_Rarely"/>
    <n v="1229"/>
    <x v="1"/>
    <n v="8"/>
    <n v="1"/>
    <s v="Life Sciences"/>
    <n v="63"/>
    <n v="4"/>
    <s v="Male"/>
    <n v="36"/>
    <n v="4"/>
    <n v="1"/>
    <s v="Laboratory Technician"/>
    <n v="4"/>
    <s v="Married"/>
    <n v="2269"/>
    <n v="4892"/>
    <n v="1"/>
    <s v="No"/>
    <n v="19"/>
    <n v="3"/>
    <n v="4"/>
    <n v="0"/>
    <n v="1"/>
    <n v="2"/>
    <n v="3"/>
    <n v="1"/>
    <n v="0"/>
    <n v="0"/>
    <n v="1"/>
  </r>
  <r>
    <n v="48"/>
    <x v="0"/>
    <s v="Travel_Rarely"/>
    <n v="626"/>
    <x v="1"/>
    <n v="1"/>
    <n v="2"/>
    <s v="Life Sciences"/>
    <n v="64"/>
    <n v="1"/>
    <s v="Male"/>
    <n v="98"/>
    <n v="2"/>
    <n v="3"/>
    <s v="Laboratory Technician"/>
    <n v="3"/>
    <s v="Single"/>
    <n v="5381"/>
    <n v="19294"/>
    <n v="9"/>
    <s v="Yes"/>
    <n v="13"/>
    <n v="3"/>
    <n v="4"/>
    <n v="0"/>
    <n v="23"/>
    <n v="2"/>
    <n v="3"/>
    <n v="1"/>
    <n v="0"/>
    <n v="0"/>
    <n v="0"/>
  </r>
  <r>
    <n v="28"/>
    <x v="0"/>
    <s v="Travel_Rarely"/>
    <n v="1434"/>
    <x v="1"/>
    <n v="5"/>
    <n v="4"/>
    <s v="Technical Degree"/>
    <n v="65"/>
    <n v="3"/>
    <s v="Male"/>
    <n v="50"/>
    <n v="3"/>
    <n v="1"/>
    <s v="Laboratory Technician"/>
    <n v="3"/>
    <s v="Single"/>
    <n v="3441"/>
    <n v="11179"/>
    <n v="1"/>
    <s v="Yes"/>
    <n v="13"/>
    <n v="3"/>
    <n v="3"/>
    <n v="0"/>
    <n v="2"/>
    <n v="3"/>
    <n v="2"/>
    <n v="2"/>
    <n v="2"/>
    <n v="2"/>
    <n v="2"/>
  </r>
  <r>
    <n v="44"/>
    <x v="1"/>
    <s v="Travel_Rarely"/>
    <n v="1488"/>
    <x v="0"/>
    <n v="1"/>
    <n v="5"/>
    <s v="Marketing"/>
    <n v="68"/>
    <n v="2"/>
    <s v="Female"/>
    <n v="75"/>
    <n v="3"/>
    <n v="2"/>
    <s v="Sales Executive"/>
    <n v="1"/>
    <s v="Divorced"/>
    <n v="5454"/>
    <n v="4009"/>
    <n v="5"/>
    <s v="Yes"/>
    <n v="21"/>
    <n v="4"/>
    <n v="3"/>
    <n v="1"/>
    <n v="9"/>
    <n v="2"/>
    <n v="2"/>
    <n v="4"/>
    <n v="3"/>
    <n v="1"/>
    <n v="3"/>
  </r>
  <r>
    <n v="35"/>
    <x v="1"/>
    <s v="Non-Travel"/>
    <n v="1097"/>
    <x v="1"/>
    <n v="11"/>
    <n v="2"/>
    <s v="Medical"/>
    <n v="70"/>
    <n v="3"/>
    <s v="Male"/>
    <n v="79"/>
    <n v="2"/>
    <n v="3"/>
    <s v="Healthcare Representative"/>
    <n v="1"/>
    <s v="Married"/>
    <n v="9884"/>
    <n v="8302"/>
    <n v="2"/>
    <s v="Yes"/>
    <n v="13"/>
    <n v="3"/>
    <n v="3"/>
    <n v="1"/>
    <n v="10"/>
    <n v="3"/>
    <n v="3"/>
    <n v="4"/>
    <n v="0"/>
    <n v="2"/>
    <n v="3"/>
  </r>
  <r>
    <n v="26"/>
    <x v="1"/>
    <s v="Travel_Rarely"/>
    <n v="1443"/>
    <x v="0"/>
    <n v="23"/>
    <n v="3"/>
    <s v="Marketing"/>
    <n v="72"/>
    <n v="3"/>
    <s v="Female"/>
    <n v="47"/>
    <n v="2"/>
    <n v="2"/>
    <s v="Sales Executive"/>
    <n v="4"/>
    <s v="Married"/>
    <n v="4157"/>
    <n v="21436"/>
    <n v="7"/>
    <s v="Yes"/>
    <n v="19"/>
    <n v="3"/>
    <n v="3"/>
    <n v="1"/>
    <n v="5"/>
    <n v="2"/>
    <n v="2"/>
    <n v="2"/>
    <n v="2"/>
    <n v="0"/>
    <n v="0"/>
  </r>
  <r>
    <n v="33"/>
    <x v="1"/>
    <s v="Travel_Frequently"/>
    <n v="515"/>
    <x v="1"/>
    <n v="1"/>
    <n v="2"/>
    <s v="Life Sciences"/>
    <n v="73"/>
    <n v="1"/>
    <s v="Female"/>
    <n v="98"/>
    <n v="3"/>
    <n v="3"/>
    <s v="Research Director"/>
    <n v="4"/>
    <s v="Single"/>
    <n v="13458"/>
    <n v="15146"/>
    <n v="1"/>
    <s v="Yes"/>
    <n v="12"/>
    <n v="3"/>
    <n v="3"/>
    <n v="0"/>
    <n v="15"/>
    <n v="1"/>
    <n v="3"/>
    <n v="15"/>
    <n v="14"/>
    <n v="8"/>
    <n v="12"/>
  </r>
  <r>
    <n v="35"/>
    <x v="1"/>
    <s v="Travel_Frequently"/>
    <n v="853"/>
    <x v="0"/>
    <n v="18"/>
    <n v="5"/>
    <s v="Life Sciences"/>
    <n v="74"/>
    <n v="2"/>
    <s v="Male"/>
    <n v="71"/>
    <n v="3"/>
    <n v="3"/>
    <s v="Sales Executive"/>
    <n v="1"/>
    <s v="Married"/>
    <n v="9069"/>
    <n v="11031"/>
    <n v="1"/>
    <s v="No"/>
    <n v="22"/>
    <n v="4"/>
    <n v="4"/>
    <n v="1"/>
    <n v="9"/>
    <n v="3"/>
    <n v="2"/>
    <n v="9"/>
    <n v="8"/>
    <n v="1"/>
    <n v="8"/>
  </r>
  <r>
    <n v="35"/>
    <x v="1"/>
    <s v="Travel_Rarely"/>
    <n v="1142"/>
    <x v="1"/>
    <n v="23"/>
    <n v="4"/>
    <s v="Medical"/>
    <n v="75"/>
    <n v="3"/>
    <s v="Female"/>
    <n v="30"/>
    <n v="3"/>
    <n v="1"/>
    <s v="Laboratory Technician"/>
    <n v="1"/>
    <s v="Married"/>
    <n v="4014"/>
    <n v="16002"/>
    <n v="3"/>
    <s v="Yes"/>
    <n v="15"/>
    <n v="3"/>
    <n v="3"/>
    <n v="1"/>
    <n v="4"/>
    <n v="3"/>
    <n v="3"/>
    <n v="2"/>
    <n v="2"/>
    <n v="2"/>
    <n v="2"/>
  </r>
  <r>
    <n v="31"/>
    <x v="1"/>
    <s v="Travel_Rarely"/>
    <n v="655"/>
    <x v="1"/>
    <n v="7"/>
    <n v="4"/>
    <s v="Life Sciences"/>
    <n v="76"/>
    <n v="4"/>
    <s v="Male"/>
    <n v="48"/>
    <n v="3"/>
    <n v="2"/>
    <s v="Laboratory Technician"/>
    <n v="4"/>
    <s v="Divorced"/>
    <n v="5915"/>
    <n v="9528"/>
    <n v="3"/>
    <s v="No"/>
    <n v="22"/>
    <n v="4"/>
    <n v="4"/>
    <n v="1"/>
    <n v="10"/>
    <n v="3"/>
    <n v="2"/>
    <n v="7"/>
    <n v="7"/>
    <n v="1"/>
    <n v="7"/>
  </r>
  <r>
    <n v="37"/>
    <x v="1"/>
    <s v="Travel_Rarely"/>
    <n v="1115"/>
    <x v="1"/>
    <n v="1"/>
    <n v="4"/>
    <s v="Life Sciences"/>
    <n v="77"/>
    <n v="1"/>
    <s v="Male"/>
    <n v="51"/>
    <n v="2"/>
    <n v="2"/>
    <s v="Manufacturing Director"/>
    <n v="3"/>
    <s v="Divorced"/>
    <n v="5993"/>
    <n v="2689"/>
    <n v="1"/>
    <s v="No"/>
    <n v="18"/>
    <n v="3"/>
    <n v="3"/>
    <n v="1"/>
    <n v="7"/>
    <n v="2"/>
    <n v="4"/>
    <n v="7"/>
    <n v="5"/>
    <n v="0"/>
    <n v="7"/>
  </r>
  <r>
    <n v="32"/>
    <x v="1"/>
    <s v="Travel_Rarely"/>
    <n v="427"/>
    <x v="1"/>
    <n v="1"/>
    <n v="3"/>
    <s v="Medical"/>
    <n v="78"/>
    <n v="1"/>
    <s v="Male"/>
    <n v="33"/>
    <n v="3"/>
    <n v="2"/>
    <s v="Manufacturing Director"/>
    <n v="4"/>
    <s v="Married"/>
    <n v="6162"/>
    <n v="10877"/>
    <n v="1"/>
    <s v="Yes"/>
    <n v="22"/>
    <n v="4"/>
    <n v="2"/>
    <n v="1"/>
    <n v="9"/>
    <n v="3"/>
    <n v="3"/>
    <n v="9"/>
    <n v="8"/>
    <n v="7"/>
    <n v="8"/>
  </r>
  <r>
    <n v="38"/>
    <x v="1"/>
    <s v="Travel_Frequently"/>
    <n v="653"/>
    <x v="1"/>
    <n v="29"/>
    <n v="5"/>
    <s v="Life Sciences"/>
    <n v="79"/>
    <n v="4"/>
    <s v="Female"/>
    <n v="50"/>
    <n v="3"/>
    <n v="2"/>
    <s v="Laboratory Technician"/>
    <n v="4"/>
    <s v="Single"/>
    <n v="2406"/>
    <n v="5456"/>
    <n v="1"/>
    <s v="No"/>
    <n v="11"/>
    <n v="3"/>
    <n v="4"/>
    <n v="0"/>
    <n v="10"/>
    <n v="2"/>
    <n v="3"/>
    <n v="10"/>
    <n v="3"/>
    <n v="9"/>
    <n v="9"/>
  </r>
  <r>
    <n v="50"/>
    <x v="1"/>
    <s v="Travel_Rarely"/>
    <n v="989"/>
    <x v="1"/>
    <n v="7"/>
    <n v="2"/>
    <s v="Medical"/>
    <n v="80"/>
    <n v="2"/>
    <s v="Female"/>
    <n v="43"/>
    <n v="2"/>
    <n v="5"/>
    <s v="Research Director"/>
    <n v="3"/>
    <s v="Divorced"/>
    <n v="18740"/>
    <n v="16701"/>
    <n v="5"/>
    <s v="Yes"/>
    <n v="12"/>
    <n v="3"/>
    <n v="4"/>
    <n v="1"/>
    <n v="29"/>
    <n v="2"/>
    <n v="2"/>
    <n v="27"/>
    <n v="3"/>
    <n v="13"/>
    <n v="8"/>
  </r>
  <r>
    <n v="59"/>
    <x v="1"/>
    <s v="Travel_Rarely"/>
    <n v="1435"/>
    <x v="0"/>
    <n v="25"/>
    <n v="3"/>
    <s v="Life Sciences"/>
    <n v="81"/>
    <n v="1"/>
    <s v="Female"/>
    <n v="99"/>
    <n v="3"/>
    <n v="3"/>
    <s v="Sales Executive"/>
    <n v="1"/>
    <s v="Single"/>
    <n v="7637"/>
    <n v="2354"/>
    <n v="7"/>
    <s v="No"/>
    <n v="11"/>
    <n v="3"/>
    <n v="4"/>
    <n v="0"/>
    <n v="28"/>
    <n v="3"/>
    <n v="2"/>
    <n v="21"/>
    <n v="16"/>
    <n v="7"/>
    <n v="9"/>
  </r>
  <r>
    <n v="36"/>
    <x v="1"/>
    <s v="Travel_Rarely"/>
    <n v="1223"/>
    <x v="1"/>
    <n v="8"/>
    <n v="3"/>
    <s v="Technical Degree"/>
    <n v="83"/>
    <n v="3"/>
    <s v="Female"/>
    <n v="59"/>
    <n v="3"/>
    <n v="3"/>
    <s v="Healthcare Representative"/>
    <n v="3"/>
    <s v="Divorced"/>
    <n v="10096"/>
    <n v="8202"/>
    <n v="1"/>
    <s v="No"/>
    <n v="13"/>
    <n v="3"/>
    <n v="2"/>
    <n v="3"/>
    <n v="17"/>
    <n v="2"/>
    <n v="3"/>
    <n v="17"/>
    <n v="14"/>
    <n v="12"/>
    <n v="8"/>
  </r>
  <r>
    <n v="55"/>
    <x v="1"/>
    <s v="Travel_Rarely"/>
    <n v="836"/>
    <x v="1"/>
    <n v="8"/>
    <n v="3"/>
    <s v="Medical"/>
    <n v="84"/>
    <n v="4"/>
    <s v="Female"/>
    <n v="33"/>
    <n v="3"/>
    <n v="4"/>
    <s v="Manager"/>
    <n v="3"/>
    <s v="Divorced"/>
    <n v="14756"/>
    <n v="19730"/>
    <n v="2"/>
    <s v="Yes"/>
    <n v="14"/>
    <n v="3"/>
    <n v="3"/>
    <n v="3"/>
    <n v="21"/>
    <n v="2"/>
    <n v="3"/>
    <n v="5"/>
    <n v="0"/>
    <n v="0"/>
    <n v="2"/>
  </r>
  <r>
    <n v="36"/>
    <x v="1"/>
    <s v="Travel_Frequently"/>
    <n v="1195"/>
    <x v="1"/>
    <n v="11"/>
    <n v="3"/>
    <s v="Life Sciences"/>
    <n v="85"/>
    <n v="2"/>
    <s v="Male"/>
    <n v="95"/>
    <n v="2"/>
    <n v="2"/>
    <s v="Manufacturing Director"/>
    <n v="2"/>
    <s v="Single"/>
    <n v="6499"/>
    <n v="22656"/>
    <n v="1"/>
    <s v="No"/>
    <n v="13"/>
    <n v="3"/>
    <n v="3"/>
    <n v="0"/>
    <n v="6"/>
    <n v="3"/>
    <n v="3"/>
    <n v="6"/>
    <n v="5"/>
    <n v="0"/>
    <n v="3"/>
  </r>
  <r>
    <n v="45"/>
    <x v="1"/>
    <s v="Travel_Rarely"/>
    <n v="1339"/>
    <x v="1"/>
    <n v="7"/>
    <n v="3"/>
    <s v="Life Sciences"/>
    <n v="86"/>
    <n v="2"/>
    <s v="Male"/>
    <n v="59"/>
    <n v="3"/>
    <n v="3"/>
    <s v="Research Scientist"/>
    <n v="1"/>
    <s v="Divorced"/>
    <n v="9724"/>
    <n v="18787"/>
    <n v="2"/>
    <s v="No"/>
    <n v="17"/>
    <n v="3"/>
    <n v="3"/>
    <n v="1"/>
    <n v="25"/>
    <n v="2"/>
    <n v="3"/>
    <n v="1"/>
    <n v="0"/>
    <n v="0"/>
    <n v="0"/>
  </r>
  <r>
    <n v="35"/>
    <x v="1"/>
    <s v="Travel_Frequently"/>
    <n v="664"/>
    <x v="1"/>
    <n v="1"/>
    <n v="3"/>
    <s v="Medical"/>
    <n v="88"/>
    <n v="2"/>
    <s v="Male"/>
    <n v="79"/>
    <n v="3"/>
    <n v="1"/>
    <s v="Research Scientist"/>
    <n v="1"/>
    <s v="Married"/>
    <n v="2194"/>
    <n v="5868"/>
    <n v="4"/>
    <s v="No"/>
    <n v="13"/>
    <n v="3"/>
    <n v="4"/>
    <n v="1"/>
    <n v="5"/>
    <n v="2"/>
    <n v="2"/>
    <n v="3"/>
    <n v="2"/>
    <n v="1"/>
    <n v="2"/>
  </r>
  <r>
    <n v="36"/>
    <x v="0"/>
    <s v="Travel_Rarely"/>
    <n v="318"/>
    <x v="1"/>
    <n v="9"/>
    <n v="3"/>
    <s v="Medical"/>
    <n v="90"/>
    <n v="4"/>
    <s v="Male"/>
    <n v="79"/>
    <n v="2"/>
    <n v="1"/>
    <s v="Research Scientist"/>
    <n v="3"/>
    <s v="Married"/>
    <n v="3388"/>
    <n v="21777"/>
    <n v="0"/>
    <s v="Yes"/>
    <n v="17"/>
    <n v="3"/>
    <n v="1"/>
    <n v="1"/>
    <n v="2"/>
    <n v="0"/>
    <n v="2"/>
    <n v="1"/>
    <n v="0"/>
    <n v="0"/>
    <n v="0"/>
  </r>
  <r>
    <n v="59"/>
    <x v="1"/>
    <s v="Travel_Frequently"/>
    <n v="1225"/>
    <x v="0"/>
    <n v="1"/>
    <n v="1"/>
    <s v="Life Sciences"/>
    <n v="91"/>
    <n v="1"/>
    <s v="Female"/>
    <n v="57"/>
    <n v="2"/>
    <n v="2"/>
    <s v="Sales Executive"/>
    <n v="3"/>
    <s v="Single"/>
    <n v="5473"/>
    <n v="24668"/>
    <n v="7"/>
    <s v="No"/>
    <n v="11"/>
    <n v="3"/>
    <n v="4"/>
    <n v="0"/>
    <n v="20"/>
    <n v="2"/>
    <n v="2"/>
    <n v="4"/>
    <n v="3"/>
    <n v="1"/>
    <n v="3"/>
  </r>
  <r>
    <n v="29"/>
    <x v="1"/>
    <s v="Travel_Rarely"/>
    <n v="1328"/>
    <x v="1"/>
    <n v="2"/>
    <n v="3"/>
    <s v="Life Sciences"/>
    <n v="94"/>
    <n v="3"/>
    <s v="Male"/>
    <n v="76"/>
    <n v="3"/>
    <n v="1"/>
    <s v="Research Scientist"/>
    <n v="2"/>
    <s v="Married"/>
    <n v="2703"/>
    <n v="4956"/>
    <n v="0"/>
    <s v="No"/>
    <n v="23"/>
    <n v="4"/>
    <n v="4"/>
    <n v="1"/>
    <n v="6"/>
    <n v="3"/>
    <n v="3"/>
    <n v="5"/>
    <n v="4"/>
    <n v="0"/>
    <n v="4"/>
  </r>
  <r>
    <n v="31"/>
    <x v="1"/>
    <s v="Travel_Rarely"/>
    <n v="1082"/>
    <x v="1"/>
    <n v="1"/>
    <n v="4"/>
    <s v="Medical"/>
    <n v="95"/>
    <n v="3"/>
    <s v="Male"/>
    <n v="87"/>
    <n v="3"/>
    <n v="1"/>
    <s v="Research Scientist"/>
    <n v="2"/>
    <s v="Single"/>
    <n v="2501"/>
    <n v="18775"/>
    <n v="1"/>
    <s v="No"/>
    <n v="17"/>
    <n v="3"/>
    <n v="2"/>
    <n v="0"/>
    <n v="1"/>
    <n v="4"/>
    <n v="3"/>
    <n v="1"/>
    <n v="1"/>
    <n v="1"/>
    <n v="0"/>
  </r>
  <r>
    <n v="32"/>
    <x v="1"/>
    <s v="Travel_Rarely"/>
    <n v="548"/>
    <x v="1"/>
    <n v="1"/>
    <n v="3"/>
    <s v="Life Sciences"/>
    <n v="96"/>
    <n v="2"/>
    <s v="Male"/>
    <n v="66"/>
    <n v="3"/>
    <n v="2"/>
    <s v="Research Scientist"/>
    <n v="2"/>
    <s v="Married"/>
    <n v="6220"/>
    <n v="7346"/>
    <n v="1"/>
    <s v="No"/>
    <n v="17"/>
    <n v="3"/>
    <n v="2"/>
    <n v="2"/>
    <n v="10"/>
    <n v="3"/>
    <n v="3"/>
    <n v="10"/>
    <n v="4"/>
    <n v="0"/>
    <n v="9"/>
  </r>
  <r>
    <n v="36"/>
    <x v="1"/>
    <s v="Travel_Rarely"/>
    <n v="132"/>
    <x v="1"/>
    <n v="6"/>
    <n v="3"/>
    <s v="Life Sciences"/>
    <n v="97"/>
    <n v="2"/>
    <s v="Female"/>
    <n v="55"/>
    <n v="4"/>
    <n v="1"/>
    <s v="Laboratory Technician"/>
    <n v="4"/>
    <s v="Married"/>
    <n v="3038"/>
    <n v="22002"/>
    <n v="3"/>
    <s v="No"/>
    <n v="12"/>
    <n v="3"/>
    <n v="2"/>
    <n v="0"/>
    <n v="5"/>
    <n v="3"/>
    <n v="3"/>
    <n v="1"/>
    <n v="0"/>
    <n v="0"/>
    <n v="0"/>
  </r>
  <r>
    <n v="31"/>
    <x v="1"/>
    <s v="Travel_Rarely"/>
    <n v="746"/>
    <x v="1"/>
    <n v="8"/>
    <n v="4"/>
    <s v="Life Sciences"/>
    <n v="98"/>
    <n v="3"/>
    <s v="Female"/>
    <n v="61"/>
    <n v="3"/>
    <n v="2"/>
    <s v="Manufacturing Director"/>
    <n v="4"/>
    <s v="Single"/>
    <n v="4424"/>
    <n v="20682"/>
    <n v="1"/>
    <s v="No"/>
    <n v="23"/>
    <n v="4"/>
    <n v="4"/>
    <n v="0"/>
    <n v="11"/>
    <n v="2"/>
    <n v="3"/>
    <n v="11"/>
    <n v="7"/>
    <n v="1"/>
    <n v="8"/>
  </r>
  <r>
    <n v="35"/>
    <x v="1"/>
    <s v="Travel_Rarely"/>
    <n v="776"/>
    <x v="0"/>
    <n v="1"/>
    <n v="4"/>
    <s v="Marketing"/>
    <n v="100"/>
    <n v="3"/>
    <s v="Male"/>
    <n v="32"/>
    <n v="2"/>
    <n v="2"/>
    <s v="Sales Executive"/>
    <n v="1"/>
    <s v="Single"/>
    <n v="4312"/>
    <n v="23016"/>
    <n v="0"/>
    <s v="No"/>
    <n v="14"/>
    <n v="3"/>
    <n v="2"/>
    <n v="0"/>
    <n v="16"/>
    <n v="2"/>
    <n v="3"/>
    <n v="15"/>
    <n v="13"/>
    <n v="2"/>
    <n v="8"/>
  </r>
  <r>
    <n v="45"/>
    <x v="1"/>
    <s v="Travel_Rarely"/>
    <n v="193"/>
    <x v="1"/>
    <n v="6"/>
    <n v="4"/>
    <s v="Other"/>
    <n v="101"/>
    <n v="4"/>
    <s v="Male"/>
    <n v="52"/>
    <n v="3"/>
    <n v="3"/>
    <s v="Research Director"/>
    <n v="1"/>
    <s v="Married"/>
    <n v="13245"/>
    <n v="15067"/>
    <n v="4"/>
    <s v="Yes"/>
    <n v="14"/>
    <n v="3"/>
    <n v="2"/>
    <n v="0"/>
    <n v="17"/>
    <n v="3"/>
    <n v="4"/>
    <n v="0"/>
    <n v="0"/>
    <n v="0"/>
    <n v="0"/>
  </r>
  <r>
    <n v="37"/>
    <x v="1"/>
    <s v="Travel_Rarely"/>
    <n v="397"/>
    <x v="1"/>
    <n v="7"/>
    <n v="4"/>
    <s v="Medical"/>
    <n v="102"/>
    <n v="1"/>
    <s v="Male"/>
    <n v="30"/>
    <n v="3"/>
    <n v="3"/>
    <s v="Research Director"/>
    <n v="3"/>
    <s v="Single"/>
    <n v="13664"/>
    <n v="25258"/>
    <n v="4"/>
    <s v="No"/>
    <n v="13"/>
    <n v="3"/>
    <n v="1"/>
    <n v="0"/>
    <n v="16"/>
    <n v="3"/>
    <n v="4"/>
    <n v="5"/>
    <n v="2"/>
    <n v="0"/>
    <n v="2"/>
  </r>
  <r>
    <n v="46"/>
    <x v="1"/>
    <s v="Travel_Rarely"/>
    <n v="945"/>
    <x v="2"/>
    <n v="5"/>
    <n v="2"/>
    <s v="Medical"/>
    <n v="103"/>
    <n v="2"/>
    <s v="Male"/>
    <n v="80"/>
    <n v="3"/>
    <n v="2"/>
    <s v="Human Resources"/>
    <n v="2"/>
    <s v="Divorced"/>
    <n v="5021"/>
    <n v="10425"/>
    <n v="8"/>
    <s v="Yes"/>
    <n v="22"/>
    <n v="4"/>
    <n v="4"/>
    <n v="1"/>
    <n v="16"/>
    <n v="2"/>
    <n v="3"/>
    <n v="4"/>
    <n v="2"/>
    <n v="0"/>
    <n v="2"/>
  </r>
  <r>
    <n v="30"/>
    <x v="1"/>
    <s v="Travel_Rarely"/>
    <n v="852"/>
    <x v="1"/>
    <n v="1"/>
    <n v="1"/>
    <s v="Life Sciences"/>
    <n v="104"/>
    <n v="4"/>
    <s v="Male"/>
    <n v="55"/>
    <n v="2"/>
    <n v="2"/>
    <s v="Laboratory Technician"/>
    <n v="4"/>
    <s v="Married"/>
    <n v="5126"/>
    <n v="15998"/>
    <n v="1"/>
    <s v="Yes"/>
    <n v="12"/>
    <n v="3"/>
    <n v="3"/>
    <n v="2"/>
    <n v="10"/>
    <n v="1"/>
    <n v="2"/>
    <n v="10"/>
    <n v="8"/>
    <n v="3"/>
    <n v="0"/>
  </r>
  <r>
    <n v="35"/>
    <x v="1"/>
    <s v="Travel_Rarely"/>
    <n v="1214"/>
    <x v="1"/>
    <n v="1"/>
    <n v="3"/>
    <s v="Medical"/>
    <n v="105"/>
    <n v="2"/>
    <s v="Male"/>
    <n v="30"/>
    <n v="2"/>
    <n v="1"/>
    <s v="Research Scientist"/>
    <n v="3"/>
    <s v="Single"/>
    <n v="2859"/>
    <n v="26278"/>
    <n v="1"/>
    <s v="No"/>
    <n v="18"/>
    <n v="3"/>
    <n v="1"/>
    <n v="0"/>
    <n v="6"/>
    <n v="3"/>
    <n v="3"/>
    <n v="6"/>
    <n v="4"/>
    <n v="0"/>
    <n v="4"/>
  </r>
  <r>
    <n v="55"/>
    <x v="1"/>
    <s v="Travel_Rarely"/>
    <n v="111"/>
    <x v="0"/>
    <n v="1"/>
    <n v="2"/>
    <s v="Life Sciences"/>
    <n v="106"/>
    <n v="1"/>
    <s v="Male"/>
    <n v="70"/>
    <n v="3"/>
    <n v="3"/>
    <s v="Sales Executive"/>
    <n v="4"/>
    <s v="Married"/>
    <n v="10239"/>
    <n v="18092"/>
    <n v="3"/>
    <s v="No"/>
    <n v="14"/>
    <n v="3"/>
    <n v="4"/>
    <n v="1"/>
    <n v="24"/>
    <n v="4"/>
    <n v="3"/>
    <n v="1"/>
    <n v="0"/>
    <n v="1"/>
    <n v="0"/>
  </r>
  <r>
    <n v="38"/>
    <x v="1"/>
    <s v="Non-Travel"/>
    <n v="573"/>
    <x v="1"/>
    <n v="6"/>
    <n v="3"/>
    <s v="Medical"/>
    <n v="107"/>
    <n v="2"/>
    <s v="Female"/>
    <n v="79"/>
    <n v="1"/>
    <n v="2"/>
    <s v="Research Scientist"/>
    <n v="4"/>
    <s v="Divorced"/>
    <n v="5329"/>
    <n v="15717"/>
    <n v="7"/>
    <s v="Yes"/>
    <n v="12"/>
    <n v="3"/>
    <n v="4"/>
    <n v="3"/>
    <n v="17"/>
    <n v="3"/>
    <n v="3"/>
    <n v="13"/>
    <n v="11"/>
    <n v="1"/>
    <n v="9"/>
  </r>
  <r>
    <n v="34"/>
    <x v="1"/>
    <s v="Travel_Rarely"/>
    <n v="1153"/>
    <x v="1"/>
    <n v="1"/>
    <n v="2"/>
    <s v="Medical"/>
    <n v="110"/>
    <n v="1"/>
    <s v="Male"/>
    <n v="94"/>
    <n v="3"/>
    <n v="2"/>
    <s v="Manufacturing Director"/>
    <n v="2"/>
    <s v="Married"/>
    <n v="4325"/>
    <n v="17736"/>
    <n v="1"/>
    <s v="No"/>
    <n v="15"/>
    <n v="3"/>
    <n v="3"/>
    <n v="0"/>
    <n v="5"/>
    <n v="2"/>
    <n v="3"/>
    <n v="5"/>
    <n v="2"/>
    <n v="1"/>
    <n v="3"/>
  </r>
  <r>
    <n v="56"/>
    <x v="1"/>
    <s v="Travel_Rarely"/>
    <n v="1400"/>
    <x v="1"/>
    <n v="7"/>
    <n v="3"/>
    <s v="Life Sciences"/>
    <n v="112"/>
    <n v="4"/>
    <s v="Male"/>
    <n v="49"/>
    <n v="1"/>
    <n v="3"/>
    <s v="Manufacturing Director"/>
    <n v="4"/>
    <s v="Single"/>
    <n v="7260"/>
    <n v="21698"/>
    <n v="4"/>
    <s v="No"/>
    <n v="11"/>
    <n v="3"/>
    <n v="1"/>
    <n v="0"/>
    <n v="37"/>
    <n v="3"/>
    <n v="2"/>
    <n v="6"/>
    <n v="4"/>
    <n v="0"/>
    <n v="2"/>
  </r>
  <r>
    <n v="23"/>
    <x v="1"/>
    <s v="Travel_Rarely"/>
    <n v="541"/>
    <x v="0"/>
    <n v="2"/>
    <n v="1"/>
    <s v="Technical Degree"/>
    <n v="113"/>
    <n v="3"/>
    <s v="Male"/>
    <n v="62"/>
    <n v="3"/>
    <n v="1"/>
    <s v="Sales Representative"/>
    <n v="1"/>
    <s v="Divorced"/>
    <n v="2322"/>
    <n v="9518"/>
    <n v="3"/>
    <s v="No"/>
    <n v="13"/>
    <n v="3"/>
    <n v="3"/>
    <n v="1"/>
    <n v="3"/>
    <n v="3"/>
    <n v="3"/>
    <n v="0"/>
    <n v="0"/>
    <n v="0"/>
    <n v="0"/>
  </r>
  <r>
    <n v="51"/>
    <x v="1"/>
    <s v="Travel_Rarely"/>
    <n v="432"/>
    <x v="1"/>
    <n v="9"/>
    <n v="4"/>
    <s v="Life Sciences"/>
    <n v="116"/>
    <n v="4"/>
    <s v="Male"/>
    <n v="96"/>
    <n v="3"/>
    <n v="1"/>
    <s v="Laboratory Technician"/>
    <n v="4"/>
    <s v="Married"/>
    <n v="2075"/>
    <n v="18725"/>
    <n v="3"/>
    <s v="No"/>
    <n v="23"/>
    <n v="4"/>
    <n v="2"/>
    <n v="2"/>
    <n v="10"/>
    <n v="4"/>
    <n v="3"/>
    <n v="4"/>
    <n v="2"/>
    <n v="0"/>
    <n v="3"/>
  </r>
  <r>
    <n v="30"/>
    <x v="1"/>
    <s v="Travel_Rarely"/>
    <n v="288"/>
    <x v="1"/>
    <n v="2"/>
    <n v="3"/>
    <s v="Life Sciences"/>
    <n v="117"/>
    <n v="3"/>
    <s v="Male"/>
    <n v="99"/>
    <n v="2"/>
    <n v="2"/>
    <s v="Healthcare Representative"/>
    <n v="4"/>
    <s v="Married"/>
    <n v="4152"/>
    <n v="15830"/>
    <n v="1"/>
    <s v="No"/>
    <n v="19"/>
    <n v="3"/>
    <n v="1"/>
    <n v="3"/>
    <n v="11"/>
    <n v="3"/>
    <n v="3"/>
    <n v="11"/>
    <n v="10"/>
    <n v="10"/>
    <n v="8"/>
  </r>
  <r>
    <n v="46"/>
    <x v="0"/>
    <s v="Travel_Rarely"/>
    <n v="669"/>
    <x v="0"/>
    <n v="9"/>
    <n v="2"/>
    <s v="Medical"/>
    <n v="118"/>
    <n v="3"/>
    <s v="Male"/>
    <n v="64"/>
    <n v="2"/>
    <n v="3"/>
    <s v="Sales Executive"/>
    <n v="4"/>
    <s v="Single"/>
    <n v="9619"/>
    <n v="13596"/>
    <n v="1"/>
    <s v="No"/>
    <n v="16"/>
    <n v="3"/>
    <n v="4"/>
    <n v="0"/>
    <n v="9"/>
    <n v="3"/>
    <n v="3"/>
    <n v="9"/>
    <n v="8"/>
    <n v="4"/>
    <n v="7"/>
  </r>
  <r>
    <n v="40"/>
    <x v="1"/>
    <s v="Travel_Frequently"/>
    <n v="530"/>
    <x v="1"/>
    <n v="1"/>
    <n v="4"/>
    <s v="Life Sciences"/>
    <n v="119"/>
    <n v="3"/>
    <s v="Male"/>
    <n v="78"/>
    <n v="2"/>
    <n v="4"/>
    <s v="Healthcare Representative"/>
    <n v="2"/>
    <s v="Married"/>
    <n v="13503"/>
    <n v="14115"/>
    <n v="1"/>
    <s v="No"/>
    <n v="22"/>
    <n v="4"/>
    <n v="4"/>
    <n v="1"/>
    <n v="22"/>
    <n v="3"/>
    <n v="2"/>
    <n v="22"/>
    <n v="3"/>
    <n v="11"/>
    <n v="11"/>
  </r>
  <r>
    <n v="51"/>
    <x v="1"/>
    <s v="Travel_Rarely"/>
    <n v="632"/>
    <x v="0"/>
    <n v="21"/>
    <n v="4"/>
    <s v="Marketing"/>
    <n v="120"/>
    <n v="3"/>
    <s v="Male"/>
    <n v="71"/>
    <n v="3"/>
    <n v="2"/>
    <s v="Sales Executive"/>
    <n v="4"/>
    <s v="Single"/>
    <n v="5441"/>
    <n v="8423"/>
    <n v="0"/>
    <s v="Yes"/>
    <n v="22"/>
    <n v="4"/>
    <n v="4"/>
    <n v="0"/>
    <n v="11"/>
    <n v="2"/>
    <n v="1"/>
    <n v="10"/>
    <n v="7"/>
    <n v="1"/>
    <n v="0"/>
  </r>
  <r>
    <n v="30"/>
    <x v="1"/>
    <s v="Travel_Rarely"/>
    <n v="1334"/>
    <x v="0"/>
    <n v="4"/>
    <n v="2"/>
    <s v="Medical"/>
    <n v="121"/>
    <n v="3"/>
    <s v="Female"/>
    <n v="63"/>
    <n v="2"/>
    <n v="2"/>
    <s v="Sales Executive"/>
    <n v="2"/>
    <s v="Divorced"/>
    <n v="5209"/>
    <n v="19760"/>
    <n v="1"/>
    <s v="Yes"/>
    <n v="12"/>
    <n v="3"/>
    <n v="2"/>
    <n v="3"/>
    <n v="11"/>
    <n v="4"/>
    <n v="2"/>
    <n v="11"/>
    <n v="8"/>
    <n v="2"/>
    <n v="7"/>
  </r>
  <r>
    <n v="46"/>
    <x v="1"/>
    <s v="Travel_Frequently"/>
    <n v="638"/>
    <x v="1"/>
    <n v="1"/>
    <n v="3"/>
    <s v="Medical"/>
    <n v="124"/>
    <n v="3"/>
    <s v="Male"/>
    <n v="40"/>
    <n v="2"/>
    <n v="3"/>
    <s v="Healthcare Representative"/>
    <n v="1"/>
    <s v="Married"/>
    <n v="10673"/>
    <n v="3142"/>
    <n v="2"/>
    <s v="Yes"/>
    <n v="13"/>
    <n v="3"/>
    <n v="3"/>
    <n v="1"/>
    <n v="21"/>
    <n v="5"/>
    <n v="2"/>
    <n v="10"/>
    <n v="9"/>
    <n v="9"/>
    <n v="5"/>
  </r>
  <r>
    <n v="32"/>
    <x v="1"/>
    <s v="Travel_Rarely"/>
    <n v="1093"/>
    <x v="0"/>
    <n v="6"/>
    <n v="4"/>
    <s v="Medical"/>
    <n v="125"/>
    <n v="2"/>
    <s v="Male"/>
    <n v="87"/>
    <n v="3"/>
    <n v="2"/>
    <s v="Sales Executive"/>
    <n v="3"/>
    <s v="Single"/>
    <n v="5010"/>
    <n v="24301"/>
    <n v="1"/>
    <s v="No"/>
    <n v="16"/>
    <n v="3"/>
    <n v="1"/>
    <n v="0"/>
    <n v="12"/>
    <n v="0"/>
    <n v="3"/>
    <n v="11"/>
    <n v="8"/>
    <n v="5"/>
    <n v="7"/>
  </r>
  <r>
    <n v="54"/>
    <x v="1"/>
    <s v="Travel_Rarely"/>
    <n v="1217"/>
    <x v="1"/>
    <n v="2"/>
    <n v="4"/>
    <s v="Technical Degree"/>
    <n v="126"/>
    <n v="1"/>
    <s v="Female"/>
    <n v="60"/>
    <n v="3"/>
    <n v="3"/>
    <s v="Research Director"/>
    <n v="3"/>
    <s v="Married"/>
    <n v="13549"/>
    <n v="24001"/>
    <n v="9"/>
    <s v="No"/>
    <n v="12"/>
    <n v="3"/>
    <n v="1"/>
    <n v="1"/>
    <n v="16"/>
    <n v="5"/>
    <n v="1"/>
    <n v="4"/>
    <n v="3"/>
    <n v="0"/>
    <n v="3"/>
  </r>
  <r>
    <n v="24"/>
    <x v="1"/>
    <s v="Travel_Rarely"/>
    <n v="1353"/>
    <x v="0"/>
    <n v="3"/>
    <n v="2"/>
    <s v="Other"/>
    <n v="128"/>
    <n v="1"/>
    <s v="Female"/>
    <n v="33"/>
    <n v="3"/>
    <n v="2"/>
    <s v="Sales Executive"/>
    <n v="3"/>
    <s v="Married"/>
    <n v="4999"/>
    <n v="17519"/>
    <n v="0"/>
    <s v="No"/>
    <n v="21"/>
    <n v="4"/>
    <n v="1"/>
    <n v="1"/>
    <n v="4"/>
    <n v="2"/>
    <n v="2"/>
    <n v="3"/>
    <n v="2"/>
    <n v="0"/>
    <n v="2"/>
  </r>
  <r>
    <n v="28"/>
    <x v="1"/>
    <s v="Non-Travel"/>
    <n v="120"/>
    <x v="0"/>
    <n v="4"/>
    <n v="3"/>
    <s v="Medical"/>
    <n v="129"/>
    <n v="2"/>
    <s v="Male"/>
    <n v="43"/>
    <n v="3"/>
    <n v="2"/>
    <s v="Sales Executive"/>
    <n v="3"/>
    <s v="Married"/>
    <n v="4221"/>
    <n v="8863"/>
    <n v="1"/>
    <s v="No"/>
    <n v="15"/>
    <n v="3"/>
    <n v="2"/>
    <n v="0"/>
    <n v="5"/>
    <n v="3"/>
    <n v="4"/>
    <n v="5"/>
    <n v="4"/>
    <n v="0"/>
    <n v="4"/>
  </r>
  <r>
    <n v="58"/>
    <x v="1"/>
    <s v="Travel_Rarely"/>
    <n v="682"/>
    <x v="0"/>
    <n v="10"/>
    <n v="4"/>
    <s v="Medical"/>
    <n v="131"/>
    <n v="4"/>
    <s v="Male"/>
    <n v="37"/>
    <n v="3"/>
    <n v="4"/>
    <s v="Sales Executive"/>
    <n v="3"/>
    <s v="Single"/>
    <n v="13872"/>
    <n v="24409"/>
    <n v="0"/>
    <s v="No"/>
    <n v="13"/>
    <n v="3"/>
    <n v="3"/>
    <n v="0"/>
    <n v="38"/>
    <n v="1"/>
    <n v="2"/>
    <n v="37"/>
    <n v="10"/>
    <n v="1"/>
    <n v="8"/>
  </r>
  <r>
    <n v="44"/>
    <x v="1"/>
    <s v="Non-Travel"/>
    <n v="489"/>
    <x v="1"/>
    <n v="23"/>
    <n v="3"/>
    <s v="Medical"/>
    <n v="132"/>
    <n v="2"/>
    <s v="Male"/>
    <n v="67"/>
    <n v="3"/>
    <n v="2"/>
    <s v="Laboratory Technician"/>
    <n v="2"/>
    <s v="Married"/>
    <n v="2042"/>
    <n v="25043"/>
    <n v="4"/>
    <s v="No"/>
    <n v="12"/>
    <n v="3"/>
    <n v="3"/>
    <n v="1"/>
    <n v="17"/>
    <n v="3"/>
    <n v="4"/>
    <n v="3"/>
    <n v="2"/>
    <n v="1"/>
    <n v="2"/>
  </r>
  <r>
    <n v="37"/>
    <x v="0"/>
    <s v="Travel_Rarely"/>
    <n v="807"/>
    <x v="2"/>
    <n v="6"/>
    <n v="4"/>
    <s v="Human Resources"/>
    <n v="133"/>
    <n v="3"/>
    <s v="Male"/>
    <n v="63"/>
    <n v="3"/>
    <n v="1"/>
    <s v="Human Resources"/>
    <n v="1"/>
    <s v="Divorced"/>
    <n v="2073"/>
    <n v="23648"/>
    <n v="4"/>
    <s v="Yes"/>
    <n v="22"/>
    <n v="4"/>
    <n v="4"/>
    <n v="0"/>
    <n v="7"/>
    <n v="3"/>
    <n v="3"/>
    <n v="3"/>
    <n v="2"/>
    <n v="0"/>
    <n v="2"/>
  </r>
  <r>
    <n v="32"/>
    <x v="1"/>
    <s v="Travel_Rarely"/>
    <n v="827"/>
    <x v="1"/>
    <n v="1"/>
    <n v="1"/>
    <s v="Life Sciences"/>
    <n v="134"/>
    <n v="4"/>
    <s v="Male"/>
    <n v="71"/>
    <n v="3"/>
    <n v="1"/>
    <s v="Research Scientist"/>
    <n v="1"/>
    <s v="Single"/>
    <n v="2956"/>
    <n v="15178"/>
    <n v="1"/>
    <s v="No"/>
    <n v="13"/>
    <n v="3"/>
    <n v="4"/>
    <n v="0"/>
    <n v="1"/>
    <n v="2"/>
    <n v="3"/>
    <n v="1"/>
    <n v="0"/>
    <n v="0"/>
    <n v="0"/>
  </r>
  <r>
    <n v="20"/>
    <x v="0"/>
    <s v="Travel_Frequently"/>
    <n v="871"/>
    <x v="1"/>
    <n v="6"/>
    <n v="3"/>
    <s v="Life Sciences"/>
    <n v="137"/>
    <n v="4"/>
    <s v="Female"/>
    <n v="66"/>
    <n v="2"/>
    <n v="1"/>
    <s v="Laboratory Technician"/>
    <n v="4"/>
    <s v="Single"/>
    <n v="2926"/>
    <n v="19783"/>
    <n v="1"/>
    <s v="Yes"/>
    <n v="18"/>
    <n v="3"/>
    <n v="2"/>
    <n v="0"/>
    <n v="1"/>
    <n v="5"/>
    <n v="3"/>
    <n v="1"/>
    <n v="0"/>
    <n v="1"/>
    <n v="0"/>
  </r>
  <r>
    <n v="34"/>
    <x v="1"/>
    <s v="Travel_Rarely"/>
    <n v="665"/>
    <x v="1"/>
    <n v="6"/>
    <n v="4"/>
    <s v="Other"/>
    <n v="138"/>
    <n v="1"/>
    <s v="Female"/>
    <n v="41"/>
    <n v="3"/>
    <n v="2"/>
    <s v="Research Scientist"/>
    <n v="3"/>
    <s v="Single"/>
    <n v="4809"/>
    <n v="12482"/>
    <n v="1"/>
    <s v="No"/>
    <n v="14"/>
    <n v="3"/>
    <n v="3"/>
    <n v="0"/>
    <n v="16"/>
    <n v="3"/>
    <n v="3"/>
    <n v="16"/>
    <n v="13"/>
    <n v="2"/>
    <n v="10"/>
  </r>
  <r>
    <n v="37"/>
    <x v="1"/>
    <s v="Non-Travel"/>
    <n v="1040"/>
    <x v="1"/>
    <n v="2"/>
    <n v="2"/>
    <s v="Life Sciences"/>
    <n v="139"/>
    <n v="3"/>
    <s v="Male"/>
    <n v="100"/>
    <n v="2"/>
    <n v="2"/>
    <s v="Healthcare Representative"/>
    <n v="4"/>
    <s v="Divorced"/>
    <n v="5163"/>
    <n v="15850"/>
    <n v="5"/>
    <s v="No"/>
    <n v="14"/>
    <n v="3"/>
    <n v="4"/>
    <n v="1"/>
    <n v="17"/>
    <n v="2"/>
    <n v="4"/>
    <n v="1"/>
    <n v="0"/>
    <n v="0"/>
    <n v="0"/>
  </r>
  <r>
    <n v="59"/>
    <x v="1"/>
    <s v="Non-Travel"/>
    <n v="1420"/>
    <x v="2"/>
    <n v="2"/>
    <n v="4"/>
    <s v="Human Resources"/>
    <n v="140"/>
    <n v="3"/>
    <s v="Female"/>
    <n v="32"/>
    <n v="2"/>
    <n v="5"/>
    <s v="Manager"/>
    <n v="4"/>
    <s v="Married"/>
    <n v="18844"/>
    <n v="21922"/>
    <n v="9"/>
    <s v="No"/>
    <n v="21"/>
    <n v="4"/>
    <n v="4"/>
    <n v="1"/>
    <n v="30"/>
    <n v="3"/>
    <n v="3"/>
    <n v="3"/>
    <n v="2"/>
    <n v="2"/>
    <n v="2"/>
  </r>
  <r>
    <n v="50"/>
    <x v="1"/>
    <s v="Travel_Frequently"/>
    <n v="1115"/>
    <x v="1"/>
    <n v="1"/>
    <n v="3"/>
    <s v="Life Sciences"/>
    <n v="141"/>
    <n v="1"/>
    <s v="Female"/>
    <n v="73"/>
    <n v="3"/>
    <n v="5"/>
    <s v="Research Director"/>
    <n v="2"/>
    <s v="Married"/>
    <n v="18172"/>
    <n v="9755"/>
    <n v="3"/>
    <s v="Yes"/>
    <n v="19"/>
    <n v="3"/>
    <n v="1"/>
    <n v="0"/>
    <n v="28"/>
    <n v="1"/>
    <n v="2"/>
    <n v="8"/>
    <n v="3"/>
    <n v="0"/>
    <n v="7"/>
  </r>
  <r>
    <n v="25"/>
    <x v="0"/>
    <s v="Travel_Rarely"/>
    <n v="240"/>
    <x v="0"/>
    <n v="5"/>
    <n v="3"/>
    <s v="Marketing"/>
    <n v="142"/>
    <n v="3"/>
    <s v="Male"/>
    <n v="46"/>
    <n v="2"/>
    <n v="2"/>
    <s v="Sales Executive"/>
    <n v="3"/>
    <s v="Single"/>
    <n v="5744"/>
    <n v="26959"/>
    <n v="1"/>
    <s v="Yes"/>
    <n v="11"/>
    <n v="3"/>
    <n v="4"/>
    <n v="0"/>
    <n v="6"/>
    <n v="1"/>
    <n v="3"/>
    <n v="6"/>
    <n v="4"/>
    <n v="0"/>
    <n v="3"/>
  </r>
  <r>
    <n v="25"/>
    <x v="1"/>
    <s v="Travel_Rarely"/>
    <n v="1280"/>
    <x v="1"/>
    <n v="7"/>
    <n v="1"/>
    <s v="Medical"/>
    <n v="143"/>
    <n v="4"/>
    <s v="Male"/>
    <n v="64"/>
    <n v="2"/>
    <n v="1"/>
    <s v="Research Scientist"/>
    <n v="4"/>
    <s v="Married"/>
    <n v="2889"/>
    <n v="26897"/>
    <n v="1"/>
    <s v="No"/>
    <n v="11"/>
    <n v="3"/>
    <n v="3"/>
    <n v="2"/>
    <n v="2"/>
    <n v="2"/>
    <n v="3"/>
    <n v="2"/>
    <n v="2"/>
    <n v="2"/>
    <n v="1"/>
  </r>
  <r>
    <n v="22"/>
    <x v="1"/>
    <s v="Travel_Rarely"/>
    <n v="534"/>
    <x v="1"/>
    <n v="15"/>
    <n v="3"/>
    <s v="Medical"/>
    <n v="144"/>
    <n v="2"/>
    <s v="Female"/>
    <n v="59"/>
    <n v="3"/>
    <n v="1"/>
    <s v="Laboratory Technician"/>
    <n v="4"/>
    <s v="Single"/>
    <n v="2871"/>
    <n v="23785"/>
    <n v="1"/>
    <s v="No"/>
    <n v="15"/>
    <n v="3"/>
    <n v="3"/>
    <n v="0"/>
    <n v="1"/>
    <n v="5"/>
    <n v="3"/>
    <n v="0"/>
    <n v="0"/>
    <n v="0"/>
    <n v="0"/>
  </r>
  <r>
    <n v="51"/>
    <x v="1"/>
    <s v="Travel_Frequently"/>
    <n v="1456"/>
    <x v="1"/>
    <n v="1"/>
    <n v="4"/>
    <s v="Medical"/>
    <n v="145"/>
    <n v="1"/>
    <s v="Female"/>
    <n v="30"/>
    <n v="2"/>
    <n v="3"/>
    <s v="Healthcare Representative"/>
    <n v="1"/>
    <s v="Single"/>
    <n v="7484"/>
    <n v="25796"/>
    <n v="3"/>
    <s v="No"/>
    <n v="20"/>
    <n v="4"/>
    <n v="3"/>
    <n v="0"/>
    <n v="23"/>
    <n v="1"/>
    <n v="2"/>
    <n v="13"/>
    <n v="12"/>
    <n v="12"/>
    <n v="8"/>
  </r>
  <r>
    <n v="34"/>
    <x v="0"/>
    <s v="Travel_Frequently"/>
    <n v="658"/>
    <x v="1"/>
    <n v="7"/>
    <n v="3"/>
    <s v="Life Sciences"/>
    <n v="147"/>
    <n v="1"/>
    <s v="Male"/>
    <n v="66"/>
    <n v="1"/>
    <n v="2"/>
    <s v="Laboratory Technician"/>
    <n v="3"/>
    <s v="Single"/>
    <n v="6074"/>
    <n v="22887"/>
    <n v="1"/>
    <s v="Yes"/>
    <n v="24"/>
    <n v="4"/>
    <n v="4"/>
    <n v="0"/>
    <n v="9"/>
    <n v="3"/>
    <n v="3"/>
    <n v="9"/>
    <n v="7"/>
    <n v="0"/>
    <n v="6"/>
  </r>
  <r>
    <n v="54"/>
    <x v="1"/>
    <s v="Non-Travel"/>
    <n v="142"/>
    <x v="2"/>
    <n v="26"/>
    <n v="3"/>
    <s v="Human Resources"/>
    <n v="148"/>
    <n v="4"/>
    <s v="Female"/>
    <n v="30"/>
    <n v="4"/>
    <n v="4"/>
    <s v="Manager"/>
    <n v="4"/>
    <s v="Single"/>
    <n v="17328"/>
    <n v="13871"/>
    <n v="2"/>
    <s v="Yes"/>
    <n v="12"/>
    <n v="3"/>
    <n v="3"/>
    <n v="0"/>
    <n v="23"/>
    <n v="3"/>
    <n v="3"/>
    <n v="5"/>
    <n v="3"/>
    <n v="4"/>
    <n v="4"/>
  </r>
  <r>
    <n v="24"/>
    <x v="1"/>
    <s v="Travel_Rarely"/>
    <n v="1127"/>
    <x v="1"/>
    <n v="18"/>
    <n v="1"/>
    <s v="Life Sciences"/>
    <n v="150"/>
    <n v="2"/>
    <s v="Male"/>
    <n v="52"/>
    <n v="3"/>
    <n v="1"/>
    <s v="Laboratory Technician"/>
    <n v="3"/>
    <s v="Married"/>
    <n v="2774"/>
    <n v="13257"/>
    <n v="0"/>
    <s v="No"/>
    <n v="12"/>
    <n v="3"/>
    <n v="3"/>
    <n v="1"/>
    <n v="6"/>
    <n v="2"/>
    <n v="3"/>
    <n v="5"/>
    <n v="3"/>
    <n v="1"/>
    <n v="2"/>
  </r>
  <r>
    <n v="34"/>
    <x v="1"/>
    <s v="Travel_Rarely"/>
    <n v="1031"/>
    <x v="1"/>
    <n v="6"/>
    <n v="4"/>
    <s v="Life Sciences"/>
    <n v="151"/>
    <n v="3"/>
    <s v="Female"/>
    <n v="45"/>
    <n v="2"/>
    <n v="2"/>
    <s v="Research Scientist"/>
    <n v="2"/>
    <s v="Divorced"/>
    <n v="4505"/>
    <n v="15000"/>
    <n v="6"/>
    <s v="No"/>
    <n v="15"/>
    <n v="3"/>
    <n v="3"/>
    <n v="1"/>
    <n v="12"/>
    <n v="3"/>
    <n v="3"/>
    <n v="1"/>
    <n v="0"/>
    <n v="0"/>
    <n v="0"/>
  </r>
  <r>
    <n v="37"/>
    <x v="1"/>
    <s v="Travel_Rarely"/>
    <n v="1189"/>
    <x v="0"/>
    <n v="3"/>
    <n v="3"/>
    <s v="Life Sciences"/>
    <n v="152"/>
    <n v="3"/>
    <s v="Male"/>
    <n v="87"/>
    <n v="3"/>
    <n v="3"/>
    <s v="Sales Executive"/>
    <n v="4"/>
    <s v="Single"/>
    <n v="7428"/>
    <n v="14506"/>
    <n v="2"/>
    <s v="No"/>
    <n v="12"/>
    <n v="3"/>
    <n v="1"/>
    <n v="0"/>
    <n v="12"/>
    <n v="3"/>
    <n v="3"/>
    <n v="5"/>
    <n v="3"/>
    <n v="1"/>
    <n v="3"/>
  </r>
  <r>
    <n v="34"/>
    <x v="1"/>
    <s v="Travel_Rarely"/>
    <n v="1354"/>
    <x v="1"/>
    <n v="5"/>
    <n v="3"/>
    <s v="Medical"/>
    <n v="153"/>
    <n v="3"/>
    <s v="Female"/>
    <n v="45"/>
    <n v="2"/>
    <n v="3"/>
    <s v="Manager"/>
    <n v="1"/>
    <s v="Single"/>
    <n v="11631"/>
    <n v="5615"/>
    <n v="2"/>
    <s v="No"/>
    <n v="12"/>
    <n v="3"/>
    <n v="4"/>
    <n v="0"/>
    <n v="14"/>
    <n v="6"/>
    <n v="3"/>
    <n v="11"/>
    <n v="10"/>
    <n v="5"/>
    <n v="8"/>
  </r>
  <r>
    <n v="36"/>
    <x v="1"/>
    <s v="Travel_Frequently"/>
    <n v="1467"/>
    <x v="0"/>
    <n v="11"/>
    <n v="2"/>
    <s v="Technical Degree"/>
    <n v="154"/>
    <n v="2"/>
    <s v="Female"/>
    <n v="92"/>
    <n v="3"/>
    <n v="3"/>
    <s v="Sales Executive"/>
    <n v="4"/>
    <s v="Married"/>
    <n v="9738"/>
    <n v="22952"/>
    <n v="0"/>
    <s v="No"/>
    <n v="14"/>
    <n v="3"/>
    <n v="3"/>
    <n v="1"/>
    <n v="10"/>
    <n v="6"/>
    <n v="3"/>
    <n v="9"/>
    <n v="7"/>
    <n v="2"/>
    <n v="8"/>
  </r>
  <r>
    <n v="36"/>
    <x v="1"/>
    <s v="Travel_Rarely"/>
    <n v="922"/>
    <x v="1"/>
    <n v="3"/>
    <n v="2"/>
    <s v="Life Sciences"/>
    <n v="155"/>
    <n v="1"/>
    <s v="Female"/>
    <n v="39"/>
    <n v="3"/>
    <n v="1"/>
    <s v="Laboratory Technician"/>
    <n v="4"/>
    <s v="Divorced"/>
    <n v="2835"/>
    <n v="2561"/>
    <n v="5"/>
    <s v="No"/>
    <n v="22"/>
    <n v="4"/>
    <n v="1"/>
    <n v="1"/>
    <n v="7"/>
    <n v="2"/>
    <n v="3"/>
    <n v="1"/>
    <n v="0"/>
    <n v="0"/>
    <n v="0"/>
  </r>
  <r>
    <n v="43"/>
    <x v="1"/>
    <s v="Travel_Frequently"/>
    <n v="394"/>
    <x v="0"/>
    <n v="26"/>
    <n v="2"/>
    <s v="Life Sciences"/>
    <n v="158"/>
    <n v="3"/>
    <s v="Male"/>
    <n v="92"/>
    <n v="3"/>
    <n v="4"/>
    <s v="Manager"/>
    <n v="4"/>
    <s v="Married"/>
    <n v="16959"/>
    <n v="19494"/>
    <n v="1"/>
    <s v="Yes"/>
    <n v="12"/>
    <n v="3"/>
    <n v="4"/>
    <n v="2"/>
    <n v="25"/>
    <n v="3"/>
    <n v="4"/>
    <n v="25"/>
    <n v="12"/>
    <n v="4"/>
    <n v="12"/>
  </r>
  <r>
    <n v="30"/>
    <x v="1"/>
    <s v="Travel_Frequently"/>
    <n v="1312"/>
    <x v="1"/>
    <n v="23"/>
    <n v="3"/>
    <s v="Life Sciences"/>
    <n v="159"/>
    <n v="1"/>
    <s v="Male"/>
    <n v="96"/>
    <n v="1"/>
    <n v="1"/>
    <s v="Research Scientist"/>
    <n v="3"/>
    <s v="Divorced"/>
    <n v="2613"/>
    <n v="22310"/>
    <n v="1"/>
    <s v="No"/>
    <n v="25"/>
    <n v="4"/>
    <n v="3"/>
    <n v="3"/>
    <n v="10"/>
    <n v="2"/>
    <n v="2"/>
    <n v="10"/>
    <n v="7"/>
    <n v="0"/>
    <n v="9"/>
  </r>
  <r>
    <n v="33"/>
    <x v="1"/>
    <s v="Non-Travel"/>
    <n v="750"/>
    <x v="0"/>
    <n v="22"/>
    <n v="2"/>
    <s v="Marketing"/>
    <n v="160"/>
    <n v="3"/>
    <s v="Male"/>
    <n v="95"/>
    <n v="3"/>
    <n v="2"/>
    <s v="Sales Executive"/>
    <n v="2"/>
    <s v="Married"/>
    <n v="6146"/>
    <n v="15480"/>
    <n v="0"/>
    <s v="No"/>
    <n v="13"/>
    <n v="3"/>
    <n v="1"/>
    <n v="1"/>
    <n v="8"/>
    <n v="2"/>
    <n v="4"/>
    <n v="7"/>
    <n v="7"/>
    <n v="0"/>
    <n v="7"/>
  </r>
  <r>
    <n v="56"/>
    <x v="0"/>
    <s v="Travel_Rarely"/>
    <n v="441"/>
    <x v="1"/>
    <n v="14"/>
    <n v="4"/>
    <s v="Life Sciences"/>
    <n v="161"/>
    <n v="2"/>
    <s v="Female"/>
    <n v="72"/>
    <n v="3"/>
    <n v="1"/>
    <s v="Research Scientist"/>
    <n v="2"/>
    <s v="Married"/>
    <n v="4963"/>
    <n v="4510"/>
    <n v="9"/>
    <s v="Yes"/>
    <n v="18"/>
    <n v="3"/>
    <n v="1"/>
    <n v="3"/>
    <n v="7"/>
    <n v="2"/>
    <n v="3"/>
    <n v="5"/>
    <n v="4"/>
    <n v="4"/>
    <n v="3"/>
  </r>
  <r>
    <n v="51"/>
    <x v="1"/>
    <s v="Travel_Rarely"/>
    <n v="684"/>
    <x v="1"/>
    <n v="6"/>
    <n v="3"/>
    <s v="Life Sciences"/>
    <n v="162"/>
    <n v="1"/>
    <s v="Male"/>
    <n v="51"/>
    <n v="3"/>
    <n v="5"/>
    <s v="Research Director"/>
    <n v="3"/>
    <s v="Single"/>
    <n v="19537"/>
    <n v="6462"/>
    <n v="7"/>
    <s v="No"/>
    <n v="13"/>
    <n v="3"/>
    <n v="3"/>
    <n v="0"/>
    <n v="23"/>
    <n v="5"/>
    <n v="3"/>
    <n v="20"/>
    <n v="18"/>
    <n v="15"/>
    <n v="15"/>
  </r>
  <r>
    <n v="31"/>
    <x v="0"/>
    <s v="Travel_Rarely"/>
    <n v="249"/>
    <x v="0"/>
    <n v="6"/>
    <n v="4"/>
    <s v="Life Sciences"/>
    <n v="163"/>
    <n v="2"/>
    <s v="Male"/>
    <n v="76"/>
    <n v="1"/>
    <n v="2"/>
    <s v="Sales Executive"/>
    <n v="3"/>
    <s v="Married"/>
    <n v="6172"/>
    <n v="20739"/>
    <n v="4"/>
    <s v="Yes"/>
    <n v="18"/>
    <n v="3"/>
    <n v="2"/>
    <n v="0"/>
    <n v="12"/>
    <n v="3"/>
    <n v="2"/>
    <n v="7"/>
    <n v="7"/>
    <n v="7"/>
    <n v="7"/>
  </r>
  <r>
    <n v="26"/>
    <x v="1"/>
    <s v="Travel_Rarely"/>
    <n v="841"/>
    <x v="1"/>
    <n v="6"/>
    <n v="3"/>
    <s v="Other"/>
    <n v="164"/>
    <n v="3"/>
    <s v="Female"/>
    <n v="46"/>
    <n v="2"/>
    <n v="1"/>
    <s v="Research Scientist"/>
    <n v="2"/>
    <s v="Married"/>
    <n v="2368"/>
    <n v="23300"/>
    <n v="1"/>
    <s v="No"/>
    <n v="19"/>
    <n v="3"/>
    <n v="3"/>
    <n v="0"/>
    <n v="5"/>
    <n v="3"/>
    <n v="2"/>
    <n v="5"/>
    <n v="4"/>
    <n v="4"/>
    <n v="3"/>
  </r>
  <r>
    <n v="58"/>
    <x v="0"/>
    <s v="Travel_Rarely"/>
    <n v="147"/>
    <x v="1"/>
    <n v="23"/>
    <n v="4"/>
    <s v="Medical"/>
    <n v="165"/>
    <n v="4"/>
    <s v="Female"/>
    <n v="94"/>
    <n v="3"/>
    <n v="3"/>
    <s v="Healthcare Representative"/>
    <n v="4"/>
    <s v="Married"/>
    <n v="10312"/>
    <n v="3465"/>
    <n v="1"/>
    <s v="No"/>
    <n v="12"/>
    <n v="3"/>
    <n v="4"/>
    <n v="1"/>
    <n v="40"/>
    <n v="3"/>
    <n v="2"/>
    <n v="40"/>
    <n v="10"/>
    <n v="15"/>
    <n v="6"/>
  </r>
  <r>
    <n v="19"/>
    <x v="0"/>
    <s v="Travel_Rarely"/>
    <n v="528"/>
    <x v="0"/>
    <n v="22"/>
    <n v="1"/>
    <s v="Marketing"/>
    <n v="167"/>
    <n v="4"/>
    <s v="Male"/>
    <n v="50"/>
    <n v="3"/>
    <n v="1"/>
    <s v="Sales Representative"/>
    <n v="3"/>
    <s v="Single"/>
    <n v="1675"/>
    <n v="26820"/>
    <n v="1"/>
    <s v="Yes"/>
    <n v="19"/>
    <n v="3"/>
    <n v="4"/>
    <n v="0"/>
    <n v="0"/>
    <n v="2"/>
    <n v="2"/>
    <n v="0"/>
    <n v="0"/>
    <n v="0"/>
    <n v="0"/>
  </r>
  <r>
    <n v="22"/>
    <x v="1"/>
    <s v="Travel_Rarely"/>
    <n v="594"/>
    <x v="1"/>
    <n v="2"/>
    <n v="1"/>
    <s v="Technical Degree"/>
    <n v="169"/>
    <n v="3"/>
    <s v="Male"/>
    <n v="100"/>
    <n v="3"/>
    <n v="1"/>
    <s v="Laboratory Technician"/>
    <n v="4"/>
    <s v="Married"/>
    <n v="2523"/>
    <n v="19299"/>
    <n v="0"/>
    <s v="No"/>
    <n v="14"/>
    <n v="3"/>
    <n v="3"/>
    <n v="1"/>
    <n v="3"/>
    <n v="2"/>
    <n v="3"/>
    <n v="2"/>
    <n v="1"/>
    <n v="2"/>
    <n v="1"/>
  </r>
  <r>
    <n v="49"/>
    <x v="1"/>
    <s v="Travel_Rarely"/>
    <n v="470"/>
    <x v="1"/>
    <n v="20"/>
    <n v="4"/>
    <s v="Medical"/>
    <n v="170"/>
    <n v="3"/>
    <s v="Female"/>
    <n v="96"/>
    <n v="3"/>
    <n v="2"/>
    <s v="Manufacturing Director"/>
    <n v="1"/>
    <s v="Married"/>
    <n v="6567"/>
    <n v="5549"/>
    <n v="1"/>
    <s v="No"/>
    <n v="14"/>
    <n v="3"/>
    <n v="3"/>
    <n v="0"/>
    <n v="16"/>
    <n v="2"/>
    <n v="2"/>
    <n v="15"/>
    <n v="11"/>
    <n v="5"/>
    <n v="11"/>
  </r>
  <r>
    <n v="43"/>
    <x v="1"/>
    <s v="Travel_Frequently"/>
    <n v="957"/>
    <x v="1"/>
    <n v="28"/>
    <n v="3"/>
    <s v="Medical"/>
    <n v="171"/>
    <n v="2"/>
    <s v="Female"/>
    <n v="72"/>
    <n v="4"/>
    <n v="1"/>
    <s v="Research Scientist"/>
    <n v="3"/>
    <s v="Single"/>
    <n v="4739"/>
    <n v="16090"/>
    <n v="4"/>
    <s v="No"/>
    <n v="12"/>
    <n v="3"/>
    <n v="4"/>
    <n v="0"/>
    <n v="18"/>
    <n v="2"/>
    <n v="3"/>
    <n v="3"/>
    <n v="2"/>
    <n v="1"/>
    <n v="2"/>
  </r>
  <r>
    <n v="50"/>
    <x v="1"/>
    <s v="Travel_Frequently"/>
    <n v="809"/>
    <x v="0"/>
    <n v="12"/>
    <n v="3"/>
    <s v="Marketing"/>
    <n v="174"/>
    <n v="3"/>
    <s v="Female"/>
    <n v="77"/>
    <n v="3"/>
    <n v="3"/>
    <s v="Sales Executive"/>
    <n v="4"/>
    <s v="Single"/>
    <n v="9208"/>
    <n v="6645"/>
    <n v="4"/>
    <s v="No"/>
    <n v="11"/>
    <n v="3"/>
    <n v="4"/>
    <n v="0"/>
    <n v="16"/>
    <n v="3"/>
    <n v="3"/>
    <n v="2"/>
    <n v="2"/>
    <n v="2"/>
    <n v="1"/>
  </r>
  <r>
    <n v="31"/>
    <x v="0"/>
    <s v="Travel_Rarely"/>
    <n v="542"/>
    <x v="0"/>
    <n v="20"/>
    <n v="3"/>
    <s v="Life Sciences"/>
    <n v="175"/>
    <n v="2"/>
    <s v="Female"/>
    <n v="71"/>
    <n v="1"/>
    <n v="2"/>
    <s v="Sales Executive"/>
    <n v="3"/>
    <s v="Married"/>
    <n v="4559"/>
    <n v="24788"/>
    <n v="3"/>
    <s v="Yes"/>
    <n v="11"/>
    <n v="3"/>
    <n v="3"/>
    <n v="1"/>
    <n v="4"/>
    <n v="2"/>
    <n v="3"/>
    <n v="2"/>
    <n v="2"/>
    <n v="2"/>
    <n v="2"/>
  </r>
  <r>
    <n v="41"/>
    <x v="1"/>
    <s v="Travel_Rarely"/>
    <n v="802"/>
    <x v="0"/>
    <n v="9"/>
    <n v="1"/>
    <s v="Life Sciences"/>
    <n v="176"/>
    <n v="3"/>
    <s v="Male"/>
    <n v="96"/>
    <n v="3"/>
    <n v="3"/>
    <s v="Sales Executive"/>
    <n v="3"/>
    <s v="Divorced"/>
    <n v="8189"/>
    <n v="21196"/>
    <n v="3"/>
    <s v="Yes"/>
    <n v="13"/>
    <n v="3"/>
    <n v="3"/>
    <n v="1"/>
    <n v="12"/>
    <n v="2"/>
    <n v="3"/>
    <n v="9"/>
    <n v="7"/>
    <n v="0"/>
    <n v="7"/>
  </r>
  <r>
    <n v="26"/>
    <x v="1"/>
    <s v="Travel_Rarely"/>
    <n v="1355"/>
    <x v="2"/>
    <n v="25"/>
    <n v="1"/>
    <s v="Life Sciences"/>
    <n v="177"/>
    <n v="3"/>
    <s v="Female"/>
    <n v="61"/>
    <n v="3"/>
    <n v="1"/>
    <s v="Human Resources"/>
    <n v="3"/>
    <s v="Married"/>
    <n v="2942"/>
    <n v="8916"/>
    <n v="1"/>
    <s v="No"/>
    <n v="23"/>
    <n v="4"/>
    <n v="4"/>
    <n v="1"/>
    <n v="8"/>
    <n v="3"/>
    <n v="3"/>
    <n v="8"/>
    <n v="7"/>
    <n v="5"/>
    <n v="7"/>
  </r>
  <r>
    <n v="36"/>
    <x v="1"/>
    <s v="Travel_Rarely"/>
    <n v="216"/>
    <x v="1"/>
    <n v="6"/>
    <n v="2"/>
    <s v="Medical"/>
    <n v="178"/>
    <n v="2"/>
    <s v="Male"/>
    <n v="84"/>
    <n v="3"/>
    <n v="2"/>
    <s v="Manufacturing Director"/>
    <n v="2"/>
    <s v="Divorced"/>
    <n v="4941"/>
    <n v="2819"/>
    <n v="6"/>
    <s v="No"/>
    <n v="20"/>
    <n v="4"/>
    <n v="4"/>
    <n v="2"/>
    <n v="7"/>
    <n v="0"/>
    <n v="3"/>
    <n v="3"/>
    <n v="2"/>
    <n v="0"/>
    <n v="1"/>
  </r>
  <r>
    <n v="51"/>
    <x v="0"/>
    <s v="Travel_Frequently"/>
    <n v="1150"/>
    <x v="1"/>
    <n v="8"/>
    <n v="4"/>
    <s v="Life Sciences"/>
    <n v="179"/>
    <n v="1"/>
    <s v="Male"/>
    <n v="53"/>
    <n v="1"/>
    <n v="3"/>
    <s v="Manufacturing Director"/>
    <n v="4"/>
    <s v="Single"/>
    <n v="10650"/>
    <n v="25150"/>
    <n v="2"/>
    <s v="No"/>
    <n v="15"/>
    <n v="3"/>
    <n v="4"/>
    <n v="0"/>
    <n v="18"/>
    <n v="2"/>
    <n v="3"/>
    <n v="4"/>
    <n v="2"/>
    <n v="0"/>
    <n v="3"/>
  </r>
  <r>
    <n v="39"/>
    <x v="1"/>
    <s v="Travel_Rarely"/>
    <n v="1329"/>
    <x v="0"/>
    <n v="4"/>
    <n v="4"/>
    <s v="Life Sciences"/>
    <n v="182"/>
    <n v="4"/>
    <s v="Female"/>
    <n v="47"/>
    <n v="2"/>
    <n v="2"/>
    <s v="Sales Executive"/>
    <n v="3"/>
    <s v="Married"/>
    <n v="5902"/>
    <n v="14590"/>
    <n v="4"/>
    <s v="No"/>
    <n v="14"/>
    <n v="3"/>
    <n v="3"/>
    <n v="1"/>
    <n v="17"/>
    <n v="1"/>
    <n v="4"/>
    <n v="15"/>
    <n v="11"/>
    <n v="5"/>
    <n v="9"/>
  </r>
  <r>
    <n v="25"/>
    <x v="1"/>
    <s v="Travel_Rarely"/>
    <n v="959"/>
    <x v="0"/>
    <n v="28"/>
    <n v="3"/>
    <s v="Life Sciences"/>
    <n v="183"/>
    <n v="1"/>
    <s v="Male"/>
    <n v="41"/>
    <n v="2"/>
    <n v="2"/>
    <s v="Sales Executive"/>
    <n v="3"/>
    <s v="Married"/>
    <n v="8639"/>
    <n v="24835"/>
    <n v="2"/>
    <s v="No"/>
    <n v="18"/>
    <n v="3"/>
    <n v="4"/>
    <n v="0"/>
    <n v="6"/>
    <n v="3"/>
    <n v="3"/>
    <n v="2"/>
    <n v="2"/>
    <n v="2"/>
    <n v="2"/>
  </r>
  <r>
    <n v="30"/>
    <x v="1"/>
    <s v="Travel_Rarely"/>
    <n v="1240"/>
    <x v="2"/>
    <n v="9"/>
    <n v="3"/>
    <s v="Human Resources"/>
    <n v="184"/>
    <n v="3"/>
    <s v="Male"/>
    <n v="48"/>
    <n v="3"/>
    <n v="2"/>
    <s v="Human Resources"/>
    <n v="4"/>
    <s v="Married"/>
    <n v="6347"/>
    <n v="13982"/>
    <n v="0"/>
    <s v="Yes"/>
    <n v="19"/>
    <n v="3"/>
    <n v="4"/>
    <n v="0"/>
    <n v="12"/>
    <n v="2"/>
    <n v="1"/>
    <n v="11"/>
    <n v="9"/>
    <n v="4"/>
    <n v="7"/>
  </r>
  <r>
    <n v="32"/>
    <x v="0"/>
    <s v="Travel_Rarely"/>
    <n v="1033"/>
    <x v="1"/>
    <n v="9"/>
    <n v="3"/>
    <s v="Medical"/>
    <n v="190"/>
    <n v="1"/>
    <s v="Female"/>
    <n v="41"/>
    <n v="3"/>
    <n v="1"/>
    <s v="Laboratory Technician"/>
    <n v="1"/>
    <s v="Single"/>
    <n v="4200"/>
    <n v="10224"/>
    <n v="7"/>
    <s v="No"/>
    <n v="22"/>
    <n v="4"/>
    <n v="1"/>
    <n v="0"/>
    <n v="10"/>
    <n v="2"/>
    <n v="4"/>
    <n v="5"/>
    <n v="4"/>
    <n v="0"/>
    <n v="4"/>
  </r>
  <r>
    <n v="45"/>
    <x v="1"/>
    <s v="Travel_Rarely"/>
    <n v="1316"/>
    <x v="1"/>
    <n v="29"/>
    <n v="3"/>
    <s v="Medical"/>
    <n v="192"/>
    <n v="3"/>
    <s v="Male"/>
    <n v="83"/>
    <n v="3"/>
    <n v="1"/>
    <s v="Research Scientist"/>
    <n v="4"/>
    <s v="Single"/>
    <n v="3452"/>
    <n v="9752"/>
    <n v="5"/>
    <s v="No"/>
    <n v="13"/>
    <n v="3"/>
    <n v="2"/>
    <n v="0"/>
    <n v="9"/>
    <n v="2"/>
    <n v="2"/>
    <n v="6"/>
    <n v="5"/>
    <n v="0"/>
    <n v="3"/>
  </r>
  <r>
    <n v="38"/>
    <x v="1"/>
    <s v="Travel_Rarely"/>
    <n v="364"/>
    <x v="1"/>
    <n v="3"/>
    <n v="5"/>
    <s v="Technical Degree"/>
    <n v="193"/>
    <n v="4"/>
    <s v="Female"/>
    <n v="32"/>
    <n v="3"/>
    <n v="2"/>
    <s v="Research Scientist"/>
    <n v="3"/>
    <s v="Single"/>
    <n v="4317"/>
    <n v="2302"/>
    <n v="3"/>
    <s v="Yes"/>
    <n v="20"/>
    <n v="4"/>
    <n v="2"/>
    <n v="0"/>
    <n v="19"/>
    <n v="2"/>
    <n v="3"/>
    <n v="3"/>
    <n v="2"/>
    <n v="2"/>
    <n v="2"/>
  </r>
  <r>
    <n v="30"/>
    <x v="1"/>
    <s v="Travel_Rarely"/>
    <n v="438"/>
    <x v="1"/>
    <n v="18"/>
    <n v="3"/>
    <s v="Life Sciences"/>
    <n v="194"/>
    <n v="1"/>
    <s v="Female"/>
    <n v="75"/>
    <n v="3"/>
    <n v="1"/>
    <s v="Research Scientist"/>
    <n v="3"/>
    <s v="Single"/>
    <n v="2632"/>
    <n v="23910"/>
    <n v="1"/>
    <s v="No"/>
    <n v="14"/>
    <n v="3"/>
    <n v="3"/>
    <n v="0"/>
    <n v="5"/>
    <n v="4"/>
    <n v="2"/>
    <n v="5"/>
    <n v="4"/>
    <n v="0"/>
    <n v="4"/>
  </r>
  <r>
    <n v="32"/>
    <x v="1"/>
    <s v="Travel_Frequently"/>
    <n v="689"/>
    <x v="0"/>
    <n v="9"/>
    <n v="2"/>
    <s v="Medical"/>
    <n v="195"/>
    <n v="4"/>
    <s v="Male"/>
    <n v="35"/>
    <n v="1"/>
    <n v="2"/>
    <s v="Sales Executive"/>
    <n v="4"/>
    <s v="Divorced"/>
    <n v="4668"/>
    <n v="22812"/>
    <n v="0"/>
    <s v="No"/>
    <n v="17"/>
    <n v="3"/>
    <n v="4"/>
    <n v="3"/>
    <n v="9"/>
    <n v="2"/>
    <n v="4"/>
    <n v="8"/>
    <n v="7"/>
    <n v="0"/>
    <n v="7"/>
  </r>
  <r>
    <n v="30"/>
    <x v="1"/>
    <s v="Travel_Rarely"/>
    <n v="201"/>
    <x v="1"/>
    <n v="5"/>
    <n v="3"/>
    <s v="Technical Degree"/>
    <n v="197"/>
    <n v="4"/>
    <s v="Female"/>
    <n v="84"/>
    <n v="3"/>
    <n v="1"/>
    <s v="Research Scientist"/>
    <n v="1"/>
    <s v="Divorced"/>
    <n v="3204"/>
    <n v="10415"/>
    <n v="5"/>
    <s v="No"/>
    <n v="14"/>
    <n v="3"/>
    <n v="4"/>
    <n v="1"/>
    <n v="8"/>
    <n v="3"/>
    <n v="3"/>
    <n v="3"/>
    <n v="2"/>
    <n v="2"/>
    <n v="2"/>
  </r>
  <r>
    <n v="30"/>
    <x v="1"/>
    <s v="Travel_Rarely"/>
    <n v="1427"/>
    <x v="1"/>
    <n v="2"/>
    <n v="1"/>
    <s v="Medical"/>
    <n v="198"/>
    <n v="2"/>
    <s v="Male"/>
    <n v="35"/>
    <n v="2"/>
    <n v="1"/>
    <s v="Laboratory Technician"/>
    <n v="4"/>
    <s v="Single"/>
    <n v="2720"/>
    <n v="11162"/>
    <n v="0"/>
    <s v="No"/>
    <n v="13"/>
    <n v="3"/>
    <n v="4"/>
    <n v="0"/>
    <n v="6"/>
    <n v="3"/>
    <n v="3"/>
    <n v="5"/>
    <n v="3"/>
    <n v="1"/>
    <n v="2"/>
  </r>
  <r>
    <n v="41"/>
    <x v="1"/>
    <s v="Travel_Frequently"/>
    <n v="857"/>
    <x v="1"/>
    <n v="10"/>
    <n v="3"/>
    <s v="Life Sciences"/>
    <n v="199"/>
    <n v="4"/>
    <s v="Male"/>
    <n v="91"/>
    <n v="2"/>
    <n v="4"/>
    <s v="Manager"/>
    <n v="1"/>
    <s v="Divorced"/>
    <n v="17181"/>
    <n v="12888"/>
    <n v="4"/>
    <s v="No"/>
    <n v="13"/>
    <n v="3"/>
    <n v="2"/>
    <n v="1"/>
    <n v="21"/>
    <n v="2"/>
    <n v="2"/>
    <n v="7"/>
    <n v="6"/>
    <n v="7"/>
    <n v="7"/>
  </r>
  <r>
    <n v="41"/>
    <x v="1"/>
    <s v="Travel_Rarely"/>
    <n v="933"/>
    <x v="1"/>
    <n v="9"/>
    <n v="4"/>
    <s v="Life Sciences"/>
    <n v="200"/>
    <n v="3"/>
    <s v="Male"/>
    <n v="94"/>
    <n v="3"/>
    <n v="1"/>
    <s v="Laboratory Technician"/>
    <n v="1"/>
    <s v="Married"/>
    <n v="2238"/>
    <n v="6961"/>
    <n v="2"/>
    <s v="No"/>
    <n v="21"/>
    <n v="4"/>
    <n v="4"/>
    <n v="1"/>
    <n v="7"/>
    <n v="2"/>
    <n v="3"/>
    <n v="5"/>
    <n v="0"/>
    <n v="1"/>
    <n v="4"/>
  </r>
  <r>
    <n v="19"/>
    <x v="1"/>
    <s v="Travel_Rarely"/>
    <n v="1181"/>
    <x v="1"/>
    <n v="3"/>
    <n v="1"/>
    <s v="Medical"/>
    <n v="201"/>
    <n v="2"/>
    <s v="Female"/>
    <n v="79"/>
    <n v="3"/>
    <n v="1"/>
    <s v="Laboratory Technician"/>
    <n v="2"/>
    <s v="Single"/>
    <n v="1483"/>
    <n v="16102"/>
    <n v="1"/>
    <s v="No"/>
    <n v="14"/>
    <n v="3"/>
    <n v="4"/>
    <n v="0"/>
    <n v="1"/>
    <n v="3"/>
    <n v="3"/>
    <n v="1"/>
    <n v="0"/>
    <n v="0"/>
    <n v="0"/>
  </r>
  <r>
    <n v="40"/>
    <x v="1"/>
    <s v="Travel_Frequently"/>
    <n v="1395"/>
    <x v="1"/>
    <n v="26"/>
    <n v="3"/>
    <s v="Medical"/>
    <n v="202"/>
    <n v="2"/>
    <s v="Female"/>
    <n v="54"/>
    <n v="3"/>
    <n v="2"/>
    <s v="Research Scientist"/>
    <n v="2"/>
    <s v="Divorced"/>
    <n v="5605"/>
    <n v="8504"/>
    <n v="1"/>
    <s v="No"/>
    <n v="11"/>
    <n v="3"/>
    <n v="1"/>
    <n v="1"/>
    <n v="20"/>
    <n v="2"/>
    <n v="3"/>
    <n v="20"/>
    <n v="7"/>
    <n v="2"/>
    <n v="13"/>
  </r>
  <r>
    <n v="35"/>
    <x v="1"/>
    <s v="Travel_Rarely"/>
    <n v="662"/>
    <x v="0"/>
    <n v="1"/>
    <n v="5"/>
    <s v="Marketing"/>
    <n v="204"/>
    <n v="3"/>
    <s v="Male"/>
    <n v="94"/>
    <n v="3"/>
    <n v="3"/>
    <s v="Sales Executive"/>
    <n v="2"/>
    <s v="Married"/>
    <n v="7295"/>
    <n v="11439"/>
    <n v="1"/>
    <s v="No"/>
    <n v="13"/>
    <n v="3"/>
    <n v="1"/>
    <n v="2"/>
    <n v="10"/>
    <n v="3"/>
    <n v="3"/>
    <n v="10"/>
    <n v="8"/>
    <n v="0"/>
    <n v="6"/>
  </r>
  <r>
    <n v="53"/>
    <x v="1"/>
    <s v="Travel_Rarely"/>
    <n v="1436"/>
    <x v="0"/>
    <n v="6"/>
    <n v="2"/>
    <s v="Marketing"/>
    <n v="205"/>
    <n v="2"/>
    <s v="Male"/>
    <n v="34"/>
    <n v="3"/>
    <n v="2"/>
    <s v="Sales Representative"/>
    <n v="3"/>
    <s v="Married"/>
    <n v="2306"/>
    <n v="16047"/>
    <n v="2"/>
    <s v="Yes"/>
    <n v="20"/>
    <n v="4"/>
    <n v="4"/>
    <n v="1"/>
    <n v="13"/>
    <n v="3"/>
    <n v="1"/>
    <n v="7"/>
    <n v="7"/>
    <n v="4"/>
    <n v="5"/>
  </r>
  <r>
    <n v="45"/>
    <x v="1"/>
    <s v="Travel_Rarely"/>
    <n v="194"/>
    <x v="1"/>
    <n v="9"/>
    <n v="3"/>
    <s v="Life Sciences"/>
    <n v="206"/>
    <n v="2"/>
    <s v="Male"/>
    <n v="60"/>
    <n v="3"/>
    <n v="2"/>
    <s v="Laboratory Technician"/>
    <n v="2"/>
    <s v="Divorced"/>
    <n v="2348"/>
    <n v="10901"/>
    <n v="8"/>
    <s v="No"/>
    <n v="18"/>
    <n v="3"/>
    <n v="3"/>
    <n v="1"/>
    <n v="20"/>
    <n v="2"/>
    <n v="1"/>
    <n v="17"/>
    <n v="9"/>
    <n v="0"/>
    <n v="15"/>
  </r>
  <r>
    <n v="32"/>
    <x v="1"/>
    <s v="Travel_Frequently"/>
    <n v="967"/>
    <x v="0"/>
    <n v="8"/>
    <n v="3"/>
    <s v="Marketing"/>
    <n v="207"/>
    <n v="2"/>
    <s v="Female"/>
    <n v="43"/>
    <n v="3"/>
    <n v="3"/>
    <s v="Sales Executive"/>
    <n v="4"/>
    <s v="Single"/>
    <n v="8998"/>
    <n v="15589"/>
    <n v="1"/>
    <s v="No"/>
    <n v="14"/>
    <n v="3"/>
    <n v="4"/>
    <n v="0"/>
    <n v="9"/>
    <n v="2"/>
    <n v="3"/>
    <n v="9"/>
    <n v="8"/>
    <n v="3"/>
    <n v="7"/>
  </r>
  <r>
    <n v="29"/>
    <x v="1"/>
    <s v="Non-Travel"/>
    <n v="1496"/>
    <x v="1"/>
    <n v="1"/>
    <n v="1"/>
    <s v="Technical Degree"/>
    <n v="208"/>
    <n v="4"/>
    <s v="Male"/>
    <n v="41"/>
    <n v="3"/>
    <n v="2"/>
    <s v="Manufacturing Director"/>
    <n v="3"/>
    <s v="Married"/>
    <n v="4319"/>
    <n v="26283"/>
    <n v="1"/>
    <s v="No"/>
    <n v="13"/>
    <n v="3"/>
    <n v="1"/>
    <n v="1"/>
    <n v="10"/>
    <n v="1"/>
    <n v="3"/>
    <n v="10"/>
    <n v="7"/>
    <n v="0"/>
    <n v="9"/>
  </r>
  <r>
    <n v="51"/>
    <x v="1"/>
    <s v="Travel_Rarely"/>
    <n v="1169"/>
    <x v="1"/>
    <n v="7"/>
    <n v="4"/>
    <s v="Medical"/>
    <n v="211"/>
    <n v="2"/>
    <s v="Male"/>
    <n v="34"/>
    <n v="2"/>
    <n v="2"/>
    <s v="Manufacturing Director"/>
    <n v="3"/>
    <s v="Married"/>
    <n v="6132"/>
    <n v="13983"/>
    <n v="2"/>
    <s v="No"/>
    <n v="17"/>
    <n v="3"/>
    <n v="3"/>
    <n v="0"/>
    <n v="10"/>
    <n v="2"/>
    <n v="3"/>
    <n v="1"/>
    <n v="0"/>
    <n v="0"/>
    <n v="0"/>
  </r>
  <r>
    <n v="58"/>
    <x v="1"/>
    <s v="Travel_Rarely"/>
    <n v="1145"/>
    <x v="1"/>
    <n v="9"/>
    <n v="3"/>
    <s v="Medical"/>
    <n v="214"/>
    <n v="2"/>
    <s v="Female"/>
    <n v="75"/>
    <n v="2"/>
    <n v="1"/>
    <s v="Research Scientist"/>
    <n v="2"/>
    <s v="Married"/>
    <n v="3346"/>
    <n v="11873"/>
    <n v="4"/>
    <s v="Yes"/>
    <n v="20"/>
    <n v="4"/>
    <n v="2"/>
    <n v="1"/>
    <n v="9"/>
    <n v="3"/>
    <n v="2"/>
    <n v="1"/>
    <n v="0"/>
    <n v="0"/>
    <n v="0"/>
  </r>
  <r>
    <n v="40"/>
    <x v="1"/>
    <s v="Travel_Rarely"/>
    <n v="630"/>
    <x v="0"/>
    <n v="4"/>
    <n v="4"/>
    <s v="Marketing"/>
    <n v="215"/>
    <n v="3"/>
    <s v="Male"/>
    <n v="67"/>
    <n v="2"/>
    <n v="3"/>
    <s v="Sales Executive"/>
    <n v="4"/>
    <s v="Married"/>
    <n v="10855"/>
    <n v="8552"/>
    <n v="7"/>
    <s v="No"/>
    <n v="11"/>
    <n v="3"/>
    <n v="1"/>
    <n v="1"/>
    <n v="15"/>
    <n v="2"/>
    <n v="2"/>
    <n v="12"/>
    <n v="11"/>
    <n v="2"/>
    <n v="11"/>
  </r>
  <r>
    <n v="34"/>
    <x v="1"/>
    <s v="Travel_Frequently"/>
    <n v="303"/>
    <x v="0"/>
    <n v="2"/>
    <n v="4"/>
    <s v="Marketing"/>
    <n v="216"/>
    <n v="3"/>
    <s v="Female"/>
    <n v="75"/>
    <n v="3"/>
    <n v="1"/>
    <s v="Sales Representative"/>
    <n v="3"/>
    <s v="Married"/>
    <n v="2231"/>
    <n v="11314"/>
    <n v="6"/>
    <s v="No"/>
    <n v="18"/>
    <n v="3"/>
    <n v="4"/>
    <n v="1"/>
    <n v="6"/>
    <n v="3"/>
    <n v="3"/>
    <n v="4"/>
    <n v="3"/>
    <n v="1"/>
    <n v="2"/>
  </r>
  <r>
    <n v="22"/>
    <x v="1"/>
    <s v="Travel_Rarely"/>
    <n v="1256"/>
    <x v="1"/>
    <n v="19"/>
    <n v="1"/>
    <s v="Medical"/>
    <n v="217"/>
    <n v="3"/>
    <s v="Male"/>
    <n v="80"/>
    <n v="3"/>
    <n v="1"/>
    <s v="Research Scientist"/>
    <n v="4"/>
    <s v="Married"/>
    <n v="2323"/>
    <n v="11992"/>
    <n v="1"/>
    <s v="No"/>
    <n v="24"/>
    <n v="4"/>
    <n v="1"/>
    <n v="2"/>
    <n v="2"/>
    <n v="6"/>
    <n v="3"/>
    <n v="2"/>
    <n v="2"/>
    <n v="2"/>
    <n v="2"/>
  </r>
  <r>
    <n v="27"/>
    <x v="1"/>
    <s v="Non-Travel"/>
    <n v="691"/>
    <x v="1"/>
    <n v="9"/>
    <n v="3"/>
    <s v="Medical"/>
    <n v="218"/>
    <n v="4"/>
    <s v="Male"/>
    <n v="57"/>
    <n v="3"/>
    <n v="1"/>
    <s v="Research Scientist"/>
    <n v="2"/>
    <s v="Divorced"/>
    <n v="2024"/>
    <n v="5970"/>
    <n v="6"/>
    <s v="No"/>
    <n v="18"/>
    <n v="3"/>
    <n v="4"/>
    <n v="1"/>
    <n v="6"/>
    <n v="1"/>
    <n v="1"/>
    <n v="2"/>
    <n v="2"/>
    <n v="2"/>
    <n v="2"/>
  </r>
  <r>
    <n v="28"/>
    <x v="1"/>
    <s v="Travel_Rarely"/>
    <n v="440"/>
    <x v="1"/>
    <n v="21"/>
    <n v="3"/>
    <s v="Medical"/>
    <n v="221"/>
    <n v="3"/>
    <s v="Male"/>
    <n v="42"/>
    <n v="3"/>
    <n v="1"/>
    <s v="Research Scientist"/>
    <n v="4"/>
    <s v="Married"/>
    <n v="2713"/>
    <n v="6672"/>
    <n v="1"/>
    <s v="No"/>
    <n v="11"/>
    <n v="3"/>
    <n v="3"/>
    <n v="1"/>
    <n v="5"/>
    <n v="2"/>
    <n v="1"/>
    <n v="5"/>
    <n v="2"/>
    <n v="0"/>
    <n v="2"/>
  </r>
  <r>
    <n v="57"/>
    <x v="1"/>
    <s v="Travel_Rarely"/>
    <n v="334"/>
    <x v="1"/>
    <n v="24"/>
    <n v="2"/>
    <s v="Life Sciences"/>
    <n v="223"/>
    <n v="3"/>
    <s v="Male"/>
    <n v="83"/>
    <n v="4"/>
    <n v="3"/>
    <s v="Healthcare Representative"/>
    <n v="4"/>
    <s v="Divorced"/>
    <n v="9439"/>
    <n v="23402"/>
    <n v="3"/>
    <s v="Yes"/>
    <n v="16"/>
    <n v="3"/>
    <n v="2"/>
    <n v="1"/>
    <n v="12"/>
    <n v="2"/>
    <n v="1"/>
    <n v="5"/>
    <n v="3"/>
    <n v="1"/>
    <n v="4"/>
  </r>
  <r>
    <n v="27"/>
    <x v="1"/>
    <s v="Non-Travel"/>
    <n v="1450"/>
    <x v="1"/>
    <n v="3"/>
    <n v="3"/>
    <s v="Medical"/>
    <n v="224"/>
    <n v="3"/>
    <s v="Male"/>
    <n v="79"/>
    <n v="2"/>
    <n v="1"/>
    <s v="Research Scientist"/>
    <n v="3"/>
    <s v="Divorced"/>
    <n v="2566"/>
    <n v="25326"/>
    <n v="1"/>
    <s v="Yes"/>
    <n v="15"/>
    <n v="3"/>
    <n v="4"/>
    <n v="1"/>
    <n v="1"/>
    <n v="2"/>
    <n v="2"/>
    <n v="1"/>
    <n v="1"/>
    <n v="0"/>
    <n v="1"/>
  </r>
  <r>
    <n v="50"/>
    <x v="1"/>
    <s v="Travel_Rarely"/>
    <n v="1452"/>
    <x v="1"/>
    <n v="11"/>
    <n v="3"/>
    <s v="Life Sciences"/>
    <n v="226"/>
    <n v="3"/>
    <s v="Female"/>
    <n v="53"/>
    <n v="3"/>
    <n v="5"/>
    <s v="Manager"/>
    <n v="2"/>
    <s v="Single"/>
    <n v="19926"/>
    <n v="17053"/>
    <n v="3"/>
    <s v="No"/>
    <n v="15"/>
    <n v="3"/>
    <n v="2"/>
    <n v="0"/>
    <n v="21"/>
    <n v="5"/>
    <n v="3"/>
    <n v="5"/>
    <n v="4"/>
    <n v="4"/>
    <n v="4"/>
  </r>
  <r>
    <n v="41"/>
    <x v="1"/>
    <s v="Travel_Rarely"/>
    <n v="465"/>
    <x v="1"/>
    <n v="14"/>
    <n v="3"/>
    <s v="Life Sciences"/>
    <n v="227"/>
    <n v="1"/>
    <s v="Male"/>
    <n v="56"/>
    <n v="3"/>
    <n v="1"/>
    <s v="Research Scientist"/>
    <n v="3"/>
    <s v="Divorced"/>
    <n v="2451"/>
    <n v="4609"/>
    <n v="4"/>
    <s v="No"/>
    <n v="12"/>
    <n v="3"/>
    <n v="1"/>
    <n v="1"/>
    <n v="13"/>
    <n v="2"/>
    <n v="3"/>
    <n v="9"/>
    <n v="8"/>
    <n v="1"/>
    <n v="8"/>
  </r>
  <r>
    <n v="30"/>
    <x v="1"/>
    <s v="Travel_Rarely"/>
    <n v="1339"/>
    <x v="0"/>
    <n v="5"/>
    <n v="3"/>
    <s v="Life Sciences"/>
    <n v="228"/>
    <n v="2"/>
    <s v="Female"/>
    <n v="41"/>
    <n v="3"/>
    <n v="3"/>
    <s v="Sales Executive"/>
    <n v="4"/>
    <s v="Married"/>
    <n v="9419"/>
    <n v="8053"/>
    <n v="2"/>
    <s v="No"/>
    <n v="12"/>
    <n v="3"/>
    <n v="3"/>
    <n v="1"/>
    <n v="12"/>
    <n v="2"/>
    <n v="3"/>
    <n v="10"/>
    <n v="9"/>
    <n v="7"/>
    <n v="4"/>
  </r>
  <r>
    <n v="38"/>
    <x v="1"/>
    <s v="Travel_Rarely"/>
    <n v="702"/>
    <x v="0"/>
    <n v="1"/>
    <n v="4"/>
    <s v="Life Sciences"/>
    <n v="230"/>
    <n v="1"/>
    <s v="Female"/>
    <n v="59"/>
    <n v="2"/>
    <n v="2"/>
    <s v="Sales Executive"/>
    <n v="4"/>
    <s v="Single"/>
    <n v="8686"/>
    <n v="12930"/>
    <n v="4"/>
    <s v="No"/>
    <n v="22"/>
    <n v="4"/>
    <n v="3"/>
    <n v="0"/>
    <n v="12"/>
    <n v="2"/>
    <n v="4"/>
    <n v="8"/>
    <n v="3"/>
    <n v="0"/>
    <n v="7"/>
  </r>
  <r>
    <n v="32"/>
    <x v="1"/>
    <s v="Travel_Rarely"/>
    <n v="120"/>
    <x v="1"/>
    <n v="6"/>
    <n v="5"/>
    <s v="Life Sciences"/>
    <n v="231"/>
    <n v="3"/>
    <s v="Male"/>
    <n v="43"/>
    <n v="3"/>
    <n v="1"/>
    <s v="Research Scientist"/>
    <n v="3"/>
    <s v="Single"/>
    <n v="3038"/>
    <n v="12430"/>
    <n v="3"/>
    <s v="No"/>
    <n v="20"/>
    <n v="4"/>
    <n v="1"/>
    <n v="0"/>
    <n v="8"/>
    <n v="2"/>
    <n v="3"/>
    <n v="5"/>
    <n v="4"/>
    <n v="1"/>
    <n v="4"/>
  </r>
  <r>
    <n v="27"/>
    <x v="1"/>
    <s v="Travel_Rarely"/>
    <n v="1157"/>
    <x v="1"/>
    <n v="17"/>
    <n v="3"/>
    <s v="Technical Degree"/>
    <n v="233"/>
    <n v="3"/>
    <s v="Male"/>
    <n v="51"/>
    <n v="3"/>
    <n v="1"/>
    <s v="Research Scientist"/>
    <n v="2"/>
    <s v="Married"/>
    <n v="3058"/>
    <n v="13364"/>
    <n v="0"/>
    <s v="Yes"/>
    <n v="16"/>
    <n v="3"/>
    <n v="4"/>
    <n v="1"/>
    <n v="6"/>
    <n v="3"/>
    <n v="2"/>
    <n v="5"/>
    <n v="2"/>
    <n v="1"/>
    <n v="1"/>
  </r>
  <r>
    <n v="19"/>
    <x v="0"/>
    <s v="Travel_Frequently"/>
    <n v="602"/>
    <x v="0"/>
    <n v="1"/>
    <n v="1"/>
    <s v="Technical Degree"/>
    <n v="235"/>
    <n v="3"/>
    <s v="Female"/>
    <n v="100"/>
    <n v="1"/>
    <n v="1"/>
    <s v="Sales Representative"/>
    <n v="1"/>
    <s v="Single"/>
    <n v="2325"/>
    <n v="20989"/>
    <n v="0"/>
    <s v="No"/>
    <n v="21"/>
    <n v="4"/>
    <n v="1"/>
    <n v="0"/>
    <n v="1"/>
    <n v="5"/>
    <n v="4"/>
    <n v="0"/>
    <n v="0"/>
    <n v="0"/>
    <n v="0"/>
  </r>
  <r>
    <n v="36"/>
    <x v="1"/>
    <s v="Travel_Frequently"/>
    <n v="1480"/>
    <x v="1"/>
    <n v="3"/>
    <n v="2"/>
    <s v="Medical"/>
    <n v="238"/>
    <n v="4"/>
    <s v="Male"/>
    <n v="30"/>
    <n v="3"/>
    <n v="1"/>
    <s v="Laboratory Technician"/>
    <n v="2"/>
    <s v="Single"/>
    <n v="2088"/>
    <n v="15062"/>
    <n v="4"/>
    <s v="No"/>
    <n v="12"/>
    <n v="3"/>
    <n v="3"/>
    <n v="0"/>
    <n v="13"/>
    <n v="3"/>
    <n v="2"/>
    <n v="8"/>
    <n v="7"/>
    <n v="7"/>
    <n v="2"/>
  </r>
  <r>
    <n v="30"/>
    <x v="1"/>
    <s v="Non-Travel"/>
    <n v="111"/>
    <x v="1"/>
    <n v="9"/>
    <n v="3"/>
    <s v="Medical"/>
    <n v="239"/>
    <n v="3"/>
    <s v="Male"/>
    <n v="66"/>
    <n v="3"/>
    <n v="2"/>
    <s v="Laboratory Technician"/>
    <n v="1"/>
    <s v="Divorced"/>
    <n v="3072"/>
    <n v="11012"/>
    <n v="1"/>
    <s v="No"/>
    <n v="11"/>
    <n v="3"/>
    <n v="3"/>
    <n v="2"/>
    <n v="12"/>
    <n v="4"/>
    <n v="3"/>
    <n v="12"/>
    <n v="9"/>
    <n v="6"/>
    <n v="10"/>
  </r>
  <r>
    <n v="45"/>
    <x v="1"/>
    <s v="Travel_Rarely"/>
    <n v="1268"/>
    <x v="0"/>
    <n v="4"/>
    <n v="2"/>
    <s v="Life Sciences"/>
    <n v="240"/>
    <n v="3"/>
    <s v="Female"/>
    <n v="30"/>
    <n v="3"/>
    <n v="2"/>
    <s v="Sales Executive"/>
    <n v="1"/>
    <s v="Divorced"/>
    <n v="5006"/>
    <n v="6319"/>
    <n v="4"/>
    <s v="Yes"/>
    <n v="11"/>
    <n v="3"/>
    <n v="1"/>
    <n v="1"/>
    <n v="9"/>
    <n v="3"/>
    <n v="4"/>
    <n v="5"/>
    <n v="4"/>
    <n v="0"/>
    <n v="3"/>
  </r>
  <r>
    <n v="56"/>
    <x v="1"/>
    <s v="Travel_Rarely"/>
    <n v="713"/>
    <x v="1"/>
    <n v="8"/>
    <n v="3"/>
    <s v="Life Sciences"/>
    <n v="241"/>
    <n v="3"/>
    <s v="Female"/>
    <n v="67"/>
    <n v="3"/>
    <n v="1"/>
    <s v="Research Scientist"/>
    <n v="1"/>
    <s v="Divorced"/>
    <n v="4257"/>
    <n v="13939"/>
    <n v="4"/>
    <s v="Yes"/>
    <n v="18"/>
    <n v="3"/>
    <n v="3"/>
    <n v="1"/>
    <n v="19"/>
    <n v="3"/>
    <n v="3"/>
    <n v="2"/>
    <n v="2"/>
    <n v="2"/>
    <n v="2"/>
  </r>
  <r>
    <n v="33"/>
    <x v="1"/>
    <s v="Travel_Rarely"/>
    <n v="134"/>
    <x v="1"/>
    <n v="2"/>
    <n v="3"/>
    <s v="Life Sciences"/>
    <n v="242"/>
    <n v="3"/>
    <s v="Male"/>
    <n v="90"/>
    <n v="3"/>
    <n v="1"/>
    <s v="Research Scientist"/>
    <n v="4"/>
    <s v="Single"/>
    <n v="2500"/>
    <n v="10515"/>
    <n v="0"/>
    <s v="No"/>
    <n v="14"/>
    <n v="3"/>
    <n v="1"/>
    <n v="0"/>
    <n v="4"/>
    <n v="2"/>
    <n v="4"/>
    <n v="3"/>
    <n v="1"/>
    <n v="0"/>
    <n v="2"/>
  </r>
  <r>
    <n v="19"/>
    <x v="0"/>
    <s v="Travel_Rarely"/>
    <n v="303"/>
    <x v="1"/>
    <n v="2"/>
    <n v="3"/>
    <s v="Life Sciences"/>
    <n v="243"/>
    <n v="2"/>
    <s v="Male"/>
    <n v="47"/>
    <n v="2"/>
    <n v="1"/>
    <s v="Laboratory Technician"/>
    <n v="4"/>
    <s v="Single"/>
    <n v="1102"/>
    <n v="9241"/>
    <n v="1"/>
    <s v="No"/>
    <n v="22"/>
    <n v="4"/>
    <n v="3"/>
    <n v="0"/>
    <n v="1"/>
    <n v="3"/>
    <n v="2"/>
    <n v="1"/>
    <n v="0"/>
    <n v="1"/>
    <n v="0"/>
  </r>
  <r>
    <n v="46"/>
    <x v="1"/>
    <s v="Travel_Rarely"/>
    <n v="526"/>
    <x v="0"/>
    <n v="1"/>
    <n v="2"/>
    <s v="Marketing"/>
    <n v="244"/>
    <n v="2"/>
    <s v="Female"/>
    <n v="92"/>
    <n v="3"/>
    <n v="3"/>
    <s v="Sales Executive"/>
    <n v="1"/>
    <s v="Divorced"/>
    <n v="10453"/>
    <n v="2137"/>
    <n v="1"/>
    <s v="No"/>
    <n v="25"/>
    <n v="4"/>
    <n v="3"/>
    <n v="3"/>
    <n v="24"/>
    <n v="2"/>
    <n v="3"/>
    <n v="24"/>
    <n v="13"/>
    <n v="15"/>
    <n v="7"/>
  </r>
  <r>
    <n v="38"/>
    <x v="1"/>
    <s v="Travel_Rarely"/>
    <n v="1380"/>
    <x v="1"/>
    <n v="9"/>
    <n v="2"/>
    <s v="Life Sciences"/>
    <n v="245"/>
    <n v="3"/>
    <s v="Female"/>
    <n v="75"/>
    <n v="3"/>
    <n v="1"/>
    <s v="Laboratory Technician"/>
    <n v="4"/>
    <s v="Single"/>
    <n v="2288"/>
    <n v="6319"/>
    <n v="1"/>
    <s v="No"/>
    <n v="12"/>
    <n v="3"/>
    <n v="3"/>
    <n v="0"/>
    <n v="2"/>
    <n v="3"/>
    <n v="3"/>
    <n v="2"/>
    <n v="2"/>
    <n v="2"/>
    <n v="1"/>
  </r>
  <r>
    <n v="31"/>
    <x v="1"/>
    <s v="Travel_Rarely"/>
    <n v="140"/>
    <x v="1"/>
    <n v="12"/>
    <n v="1"/>
    <s v="Medical"/>
    <n v="246"/>
    <n v="3"/>
    <s v="Female"/>
    <n v="95"/>
    <n v="3"/>
    <n v="1"/>
    <s v="Research Scientist"/>
    <n v="4"/>
    <s v="Married"/>
    <n v="3929"/>
    <n v="6984"/>
    <n v="8"/>
    <s v="Yes"/>
    <n v="23"/>
    <n v="4"/>
    <n v="3"/>
    <n v="1"/>
    <n v="7"/>
    <n v="0"/>
    <n v="3"/>
    <n v="4"/>
    <n v="2"/>
    <n v="0"/>
    <n v="2"/>
  </r>
  <r>
    <n v="34"/>
    <x v="1"/>
    <s v="Travel_Rarely"/>
    <n v="629"/>
    <x v="1"/>
    <n v="27"/>
    <n v="2"/>
    <s v="Medical"/>
    <n v="247"/>
    <n v="4"/>
    <s v="Female"/>
    <n v="95"/>
    <n v="3"/>
    <n v="1"/>
    <s v="Research Scientist"/>
    <n v="2"/>
    <s v="Single"/>
    <n v="2311"/>
    <n v="5711"/>
    <n v="2"/>
    <s v="No"/>
    <n v="15"/>
    <n v="3"/>
    <n v="4"/>
    <n v="0"/>
    <n v="9"/>
    <n v="3"/>
    <n v="3"/>
    <n v="3"/>
    <n v="2"/>
    <n v="1"/>
    <n v="2"/>
  </r>
  <r>
    <n v="41"/>
    <x v="0"/>
    <s v="Travel_Rarely"/>
    <n v="1356"/>
    <x v="0"/>
    <n v="20"/>
    <n v="2"/>
    <s v="Marketing"/>
    <n v="248"/>
    <n v="2"/>
    <s v="Female"/>
    <n v="70"/>
    <n v="3"/>
    <n v="1"/>
    <s v="Sales Representative"/>
    <n v="2"/>
    <s v="Single"/>
    <n v="3140"/>
    <n v="21728"/>
    <n v="1"/>
    <s v="Yes"/>
    <n v="22"/>
    <n v="4"/>
    <n v="4"/>
    <n v="0"/>
    <n v="4"/>
    <n v="5"/>
    <n v="2"/>
    <n v="4"/>
    <n v="3"/>
    <n v="0"/>
    <n v="2"/>
  </r>
  <r>
    <n v="50"/>
    <x v="1"/>
    <s v="Travel_Rarely"/>
    <n v="328"/>
    <x v="1"/>
    <n v="1"/>
    <n v="3"/>
    <s v="Medical"/>
    <n v="249"/>
    <n v="3"/>
    <s v="Male"/>
    <n v="86"/>
    <n v="2"/>
    <n v="1"/>
    <s v="Laboratory Technician"/>
    <n v="3"/>
    <s v="Married"/>
    <n v="3690"/>
    <n v="3425"/>
    <n v="2"/>
    <s v="No"/>
    <n v="15"/>
    <n v="3"/>
    <n v="4"/>
    <n v="1"/>
    <n v="5"/>
    <n v="2"/>
    <n v="2"/>
    <n v="3"/>
    <n v="2"/>
    <n v="0"/>
    <n v="2"/>
  </r>
  <r>
    <n v="53"/>
    <x v="1"/>
    <s v="Travel_Rarely"/>
    <n v="1084"/>
    <x v="1"/>
    <n v="13"/>
    <n v="2"/>
    <s v="Medical"/>
    <n v="250"/>
    <n v="4"/>
    <s v="Female"/>
    <n v="57"/>
    <n v="4"/>
    <n v="2"/>
    <s v="Manufacturing Director"/>
    <n v="1"/>
    <s v="Divorced"/>
    <n v="4450"/>
    <n v="26250"/>
    <n v="1"/>
    <s v="No"/>
    <n v="11"/>
    <n v="3"/>
    <n v="3"/>
    <n v="2"/>
    <n v="5"/>
    <n v="3"/>
    <n v="3"/>
    <n v="4"/>
    <n v="2"/>
    <n v="1"/>
    <n v="3"/>
  </r>
  <r>
    <n v="33"/>
    <x v="1"/>
    <s v="Travel_Rarely"/>
    <n v="931"/>
    <x v="1"/>
    <n v="14"/>
    <n v="3"/>
    <s v="Medical"/>
    <n v="252"/>
    <n v="4"/>
    <s v="Female"/>
    <n v="72"/>
    <n v="3"/>
    <n v="1"/>
    <s v="Research Scientist"/>
    <n v="2"/>
    <s v="Married"/>
    <n v="2756"/>
    <n v="4673"/>
    <n v="1"/>
    <s v="No"/>
    <n v="13"/>
    <n v="3"/>
    <n v="4"/>
    <n v="1"/>
    <n v="8"/>
    <n v="5"/>
    <n v="3"/>
    <n v="8"/>
    <n v="7"/>
    <n v="1"/>
    <n v="6"/>
  </r>
  <r>
    <n v="40"/>
    <x v="1"/>
    <s v="Travel_Rarely"/>
    <n v="989"/>
    <x v="1"/>
    <n v="4"/>
    <n v="1"/>
    <s v="Medical"/>
    <n v="253"/>
    <n v="4"/>
    <s v="Female"/>
    <n v="46"/>
    <n v="3"/>
    <n v="5"/>
    <s v="Manager"/>
    <n v="3"/>
    <s v="Married"/>
    <n v="19033"/>
    <n v="6499"/>
    <n v="1"/>
    <s v="No"/>
    <n v="14"/>
    <n v="3"/>
    <n v="2"/>
    <n v="1"/>
    <n v="21"/>
    <n v="2"/>
    <n v="3"/>
    <n v="20"/>
    <n v="8"/>
    <n v="9"/>
    <n v="9"/>
  </r>
  <r>
    <n v="55"/>
    <x v="1"/>
    <s v="Travel_Rarely"/>
    <n v="692"/>
    <x v="1"/>
    <n v="14"/>
    <n v="4"/>
    <s v="Medical"/>
    <n v="254"/>
    <n v="3"/>
    <s v="Male"/>
    <n v="61"/>
    <n v="4"/>
    <n v="5"/>
    <s v="Research Director"/>
    <n v="2"/>
    <s v="Single"/>
    <n v="18722"/>
    <n v="13339"/>
    <n v="8"/>
    <s v="No"/>
    <n v="11"/>
    <n v="3"/>
    <n v="4"/>
    <n v="0"/>
    <n v="36"/>
    <n v="3"/>
    <n v="3"/>
    <n v="24"/>
    <n v="15"/>
    <n v="2"/>
    <n v="15"/>
  </r>
  <r>
    <n v="34"/>
    <x v="1"/>
    <s v="Travel_Frequently"/>
    <n v="1069"/>
    <x v="1"/>
    <n v="2"/>
    <n v="1"/>
    <s v="Life Sciences"/>
    <n v="256"/>
    <n v="4"/>
    <s v="Male"/>
    <n v="45"/>
    <n v="2"/>
    <n v="2"/>
    <s v="Manufacturing Director"/>
    <n v="3"/>
    <s v="Married"/>
    <n v="9547"/>
    <n v="14074"/>
    <n v="1"/>
    <s v="No"/>
    <n v="17"/>
    <n v="3"/>
    <n v="3"/>
    <n v="0"/>
    <n v="10"/>
    <n v="2"/>
    <n v="2"/>
    <n v="10"/>
    <n v="9"/>
    <n v="1"/>
    <n v="9"/>
  </r>
  <r>
    <n v="51"/>
    <x v="1"/>
    <s v="Travel_Rarely"/>
    <n v="313"/>
    <x v="1"/>
    <n v="3"/>
    <n v="3"/>
    <s v="Medical"/>
    <n v="258"/>
    <n v="4"/>
    <s v="Female"/>
    <n v="98"/>
    <n v="3"/>
    <n v="4"/>
    <s v="Healthcare Representative"/>
    <n v="2"/>
    <s v="Single"/>
    <n v="13734"/>
    <n v="7192"/>
    <n v="3"/>
    <s v="No"/>
    <n v="18"/>
    <n v="3"/>
    <n v="3"/>
    <n v="0"/>
    <n v="21"/>
    <n v="6"/>
    <n v="3"/>
    <n v="7"/>
    <n v="7"/>
    <n v="1"/>
    <n v="0"/>
  </r>
  <r>
    <n v="52"/>
    <x v="1"/>
    <s v="Travel_Rarely"/>
    <n v="699"/>
    <x v="1"/>
    <n v="1"/>
    <n v="4"/>
    <s v="Life Sciences"/>
    <n v="259"/>
    <n v="3"/>
    <s v="Male"/>
    <n v="65"/>
    <n v="2"/>
    <n v="5"/>
    <s v="Manager"/>
    <n v="3"/>
    <s v="Married"/>
    <n v="19999"/>
    <n v="5678"/>
    <n v="0"/>
    <s v="No"/>
    <n v="14"/>
    <n v="3"/>
    <n v="1"/>
    <n v="1"/>
    <n v="34"/>
    <n v="5"/>
    <n v="3"/>
    <n v="33"/>
    <n v="18"/>
    <n v="11"/>
    <n v="9"/>
  </r>
  <r>
    <n v="27"/>
    <x v="1"/>
    <s v="Travel_Rarely"/>
    <n v="894"/>
    <x v="1"/>
    <n v="9"/>
    <n v="3"/>
    <s v="Medical"/>
    <n v="260"/>
    <n v="4"/>
    <s v="Female"/>
    <n v="99"/>
    <n v="3"/>
    <n v="1"/>
    <s v="Research Scientist"/>
    <n v="2"/>
    <s v="Single"/>
    <n v="2279"/>
    <n v="11781"/>
    <n v="1"/>
    <s v="No"/>
    <n v="16"/>
    <n v="3"/>
    <n v="4"/>
    <n v="0"/>
    <n v="7"/>
    <n v="2"/>
    <n v="2"/>
    <n v="7"/>
    <n v="7"/>
    <n v="0"/>
    <n v="3"/>
  </r>
  <r>
    <n v="35"/>
    <x v="0"/>
    <s v="Travel_Rarely"/>
    <n v="556"/>
    <x v="1"/>
    <n v="23"/>
    <n v="2"/>
    <s v="Life Sciences"/>
    <n v="261"/>
    <n v="2"/>
    <s v="Male"/>
    <n v="50"/>
    <n v="2"/>
    <n v="2"/>
    <s v="Manufacturing Director"/>
    <n v="3"/>
    <s v="Married"/>
    <n v="5916"/>
    <n v="15497"/>
    <n v="3"/>
    <s v="Yes"/>
    <n v="13"/>
    <n v="3"/>
    <n v="1"/>
    <n v="0"/>
    <n v="8"/>
    <n v="1"/>
    <n v="3"/>
    <n v="1"/>
    <n v="0"/>
    <n v="0"/>
    <n v="1"/>
  </r>
  <r>
    <n v="43"/>
    <x v="1"/>
    <s v="Non-Travel"/>
    <n v="1344"/>
    <x v="1"/>
    <n v="7"/>
    <n v="3"/>
    <s v="Medical"/>
    <n v="262"/>
    <n v="4"/>
    <s v="Male"/>
    <n v="37"/>
    <n v="4"/>
    <n v="1"/>
    <s v="Research Scientist"/>
    <n v="4"/>
    <s v="Divorced"/>
    <n v="2089"/>
    <n v="5228"/>
    <n v="4"/>
    <s v="No"/>
    <n v="14"/>
    <n v="3"/>
    <n v="4"/>
    <n v="3"/>
    <n v="7"/>
    <n v="3"/>
    <n v="4"/>
    <n v="5"/>
    <n v="4"/>
    <n v="2"/>
    <n v="2"/>
  </r>
  <r>
    <n v="45"/>
    <x v="1"/>
    <s v="Non-Travel"/>
    <n v="1195"/>
    <x v="1"/>
    <n v="2"/>
    <n v="2"/>
    <s v="Medical"/>
    <n v="264"/>
    <n v="1"/>
    <s v="Male"/>
    <n v="65"/>
    <n v="2"/>
    <n v="4"/>
    <s v="Manager"/>
    <n v="4"/>
    <s v="Married"/>
    <n v="16792"/>
    <n v="20462"/>
    <n v="9"/>
    <s v="No"/>
    <n v="23"/>
    <n v="4"/>
    <n v="4"/>
    <n v="1"/>
    <n v="22"/>
    <n v="1"/>
    <n v="3"/>
    <n v="20"/>
    <n v="8"/>
    <n v="11"/>
    <n v="8"/>
  </r>
  <r>
    <n v="37"/>
    <x v="1"/>
    <s v="Travel_Rarely"/>
    <n v="290"/>
    <x v="1"/>
    <n v="21"/>
    <n v="3"/>
    <s v="Life Sciences"/>
    <n v="267"/>
    <n v="2"/>
    <s v="Male"/>
    <n v="65"/>
    <n v="4"/>
    <n v="1"/>
    <s v="Research Scientist"/>
    <n v="1"/>
    <s v="Married"/>
    <n v="3564"/>
    <n v="22977"/>
    <n v="1"/>
    <s v="Yes"/>
    <n v="12"/>
    <n v="3"/>
    <n v="1"/>
    <n v="1"/>
    <n v="8"/>
    <n v="3"/>
    <n v="2"/>
    <n v="8"/>
    <n v="7"/>
    <n v="1"/>
    <n v="7"/>
  </r>
  <r>
    <n v="35"/>
    <x v="1"/>
    <s v="Travel_Frequently"/>
    <n v="138"/>
    <x v="1"/>
    <n v="2"/>
    <n v="3"/>
    <s v="Medical"/>
    <n v="269"/>
    <n v="2"/>
    <s v="Female"/>
    <n v="37"/>
    <n v="3"/>
    <n v="2"/>
    <s v="Laboratory Technician"/>
    <n v="2"/>
    <s v="Single"/>
    <n v="4425"/>
    <n v="15986"/>
    <n v="5"/>
    <s v="No"/>
    <n v="11"/>
    <n v="3"/>
    <n v="4"/>
    <n v="0"/>
    <n v="10"/>
    <n v="5"/>
    <n v="3"/>
    <n v="6"/>
    <n v="2"/>
    <n v="1"/>
    <n v="2"/>
  </r>
  <r>
    <n v="42"/>
    <x v="1"/>
    <s v="Non-Travel"/>
    <n v="926"/>
    <x v="1"/>
    <n v="21"/>
    <n v="2"/>
    <s v="Medical"/>
    <n v="270"/>
    <n v="3"/>
    <s v="Female"/>
    <n v="36"/>
    <n v="3"/>
    <n v="2"/>
    <s v="Manufacturing Director"/>
    <n v="3"/>
    <s v="Divorced"/>
    <n v="5265"/>
    <n v="16439"/>
    <n v="2"/>
    <s v="No"/>
    <n v="16"/>
    <n v="3"/>
    <n v="2"/>
    <n v="1"/>
    <n v="11"/>
    <n v="5"/>
    <n v="3"/>
    <n v="5"/>
    <n v="3"/>
    <n v="0"/>
    <n v="2"/>
  </r>
  <r>
    <n v="38"/>
    <x v="1"/>
    <s v="Travel_Rarely"/>
    <n v="1261"/>
    <x v="1"/>
    <n v="2"/>
    <n v="4"/>
    <s v="Life Sciences"/>
    <n v="271"/>
    <n v="4"/>
    <s v="Male"/>
    <n v="88"/>
    <n v="3"/>
    <n v="2"/>
    <s v="Manufacturing Director"/>
    <n v="3"/>
    <s v="Married"/>
    <n v="6553"/>
    <n v="7259"/>
    <n v="9"/>
    <s v="No"/>
    <n v="14"/>
    <n v="3"/>
    <n v="2"/>
    <n v="0"/>
    <n v="14"/>
    <n v="3"/>
    <n v="3"/>
    <n v="1"/>
    <n v="0"/>
    <n v="0"/>
    <n v="0"/>
  </r>
  <r>
    <n v="38"/>
    <x v="1"/>
    <s v="Travel_Rarely"/>
    <n v="1084"/>
    <x v="1"/>
    <n v="29"/>
    <n v="3"/>
    <s v="Technical Degree"/>
    <n v="273"/>
    <n v="4"/>
    <s v="Male"/>
    <n v="54"/>
    <n v="3"/>
    <n v="2"/>
    <s v="Manufacturing Director"/>
    <n v="4"/>
    <s v="Married"/>
    <n v="6261"/>
    <n v="4185"/>
    <n v="3"/>
    <s v="No"/>
    <n v="18"/>
    <n v="3"/>
    <n v="1"/>
    <n v="1"/>
    <n v="9"/>
    <n v="3"/>
    <n v="1"/>
    <n v="7"/>
    <n v="7"/>
    <n v="1"/>
    <n v="7"/>
  </r>
  <r>
    <n v="27"/>
    <x v="1"/>
    <s v="Travel_Frequently"/>
    <n v="472"/>
    <x v="1"/>
    <n v="1"/>
    <n v="1"/>
    <s v="Technical Degree"/>
    <n v="274"/>
    <n v="3"/>
    <s v="Male"/>
    <n v="60"/>
    <n v="2"/>
    <n v="2"/>
    <s v="Manufacturing Director"/>
    <n v="1"/>
    <s v="Married"/>
    <n v="4298"/>
    <n v="9679"/>
    <n v="5"/>
    <s v="No"/>
    <n v="19"/>
    <n v="3"/>
    <n v="3"/>
    <n v="1"/>
    <n v="6"/>
    <n v="1"/>
    <n v="3"/>
    <n v="2"/>
    <n v="2"/>
    <n v="2"/>
    <n v="0"/>
  </r>
  <r>
    <n v="49"/>
    <x v="1"/>
    <s v="Non-Travel"/>
    <n v="1002"/>
    <x v="1"/>
    <n v="18"/>
    <n v="4"/>
    <s v="Life Sciences"/>
    <n v="275"/>
    <n v="4"/>
    <s v="Male"/>
    <n v="92"/>
    <n v="3"/>
    <n v="2"/>
    <s v="Manufacturing Director"/>
    <n v="4"/>
    <s v="Divorced"/>
    <n v="6804"/>
    <n v="23793"/>
    <n v="1"/>
    <s v="Yes"/>
    <n v="15"/>
    <n v="3"/>
    <n v="1"/>
    <n v="2"/>
    <n v="7"/>
    <n v="0"/>
    <n v="3"/>
    <n v="7"/>
    <n v="7"/>
    <n v="1"/>
    <n v="7"/>
  </r>
  <r>
    <n v="34"/>
    <x v="1"/>
    <s v="Travel_Frequently"/>
    <n v="878"/>
    <x v="1"/>
    <n v="10"/>
    <n v="4"/>
    <s v="Medical"/>
    <n v="277"/>
    <n v="4"/>
    <s v="Male"/>
    <n v="43"/>
    <n v="3"/>
    <n v="1"/>
    <s v="Research Scientist"/>
    <n v="3"/>
    <s v="Divorced"/>
    <n v="3815"/>
    <n v="5972"/>
    <n v="1"/>
    <s v="Yes"/>
    <n v="17"/>
    <n v="3"/>
    <n v="4"/>
    <n v="1"/>
    <n v="5"/>
    <n v="4"/>
    <n v="4"/>
    <n v="5"/>
    <n v="3"/>
    <n v="2"/>
    <n v="0"/>
  </r>
  <r>
    <n v="40"/>
    <x v="1"/>
    <s v="Travel_Rarely"/>
    <n v="905"/>
    <x v="1"/>
    <n v="19"/>
    <n v="2"/>
    <s v="Medical"/>
    <n v="281"/>
    <n v="3"/>
    <s v="Male"/>
    <n v="99"/>
    <n v="3"/>
    <n v="2"/>
    <s v="Laboratory Technician"/>
    <n v="4"/>
    <s v="Married"/>
    <n v="2741"/>
    <n v="16523"/>
    <n v="8"/>
    <s v="Yes"/>
    <n v="15"/>
    <n v="3"/>
    <n v="3"/>
    <n v="1"/>
    <n v="15"/>
    <n v="2"/>
    <n v="4"/>
    <n v="7"/>
    <n v="2"/>
    <n v="3"/>
    <n v="7"/>
  </r>
  <r>
    <n v="38"/>
    <x v="0"/>
    <s v="Travel_Rarely"/>
    <n v="1180"/>
    <x v="1"/>
    <n v="29"/>
    <n v="1"/>
    <s v="Medical"/>
    <n v="282"/>
    <n v="2"/>
    <s v="Male"/>
    <n v="70"/>
    <n v="3"/>
    <n v="2"/>
    <s v="Healthcare Representative"/>
    <n v="1"/>
    <s v="Married"/>
    <n v="6673"/>
    <n v="11354"/>
    <n v="7"/>
    <s v="Yes"/>
    <n v="19"/>
    <n v="3"/>
    <n v="2"/>
    <n v="0"/>
    <n v="17"/>
    <n v="2"/>
    <n v="3"/>
    <n v="1"/>
    <n v="0"/>
    <n v="0"/>
    <n v="0"/>
  </r>
  <r>
    <n v="29"/>
    <x v="0"/>
    <s v="Travel_Rarely"/>
    <n v="121"/>
    <x v="0"/>
    <n v="27"/>
    <n v="3"/>
    <s v="Marketing"/>
    <n v="283"/>
    <n v="2"/>
    <s v="Female"/>
    <n v="35"/>
    <n v="3"/>
    <n v="3"/>
    <s v="Sales Executive"/>
    <n v="4"/>
    <s v="Married"/>
    <n v="7639"/>
    <n v="24525"/>
    <n v="1"/>
    <s v="No"/>
    <n v="22"/>
    <n v="4"/>
    <n v="4"/>
    <n v="3"/>
    <n v="10"/>
    <n v="3"/>
    <n v="2"/>
    <n v="10"/>
    <n v="4"/>
    <n v="1"/>
    <n v="9"/>
  </r>
  <r>
    <n v="22"/>
    <x v="1"/>
    <s v="Travel_Rarely"/>
    <n v="1136"/>
    <x v="1"/>
    <n v="5"/>
    <n v="3"/>
    <s v="Life Sciences"/>
    <n v="284"/>
    <n v="4"/>
    <s v="Male"/>
    <n v="60"/>
    <n v="4"/>
    <n v="1"/>
    <s v="Research Scientist"/>
    <n v="2"/>
    <s v="Divorced"/>
    <n v="2328"/>
    <n v="12392"/>
    <n v="1"/>
    <s v="Yes"/>
    <n v="16"/>
    <n v="3"/>
    <n v="1"/>
    <n v="1"/>
    <n v="4"/>
    <n v="2"/>
    <n v="2"/>
    <n v="4"/>
    <n v="2"/>
    <n v="2"/>
    <n v="2"/>
  </r>
  <r>
    <n v="36"/>
    <x v="1"/>
    <s v="Travel_Frequently"/>
    <n v="635"/>
    <x v="1"/>
    <n v="18"/>
    <n v="1"/>
    <s v="Medical"/>
    <n v="286"/>
    <n v="2"/>
    <s v="Female"/>
    <n v="73"/>
    <n v="3"/>
    <n v="1"/>
    <s v="Laboratory Technician"/>
    <n v="4"/>
    <s v="Single"/>
    <n v="2153"/>
    <n v="7703"/>
    <n v="1"/>
    <s v="No"/>
    <n v="13"/>
    <n v="3"/>
    <n v="1"/>
    <n v="0"/>
    <n v="8"/>
    <n v="2"/>
    <n v="3"/>
    <n v="8"/>
    <n v="1"/>
    <n v="1"/>
    <n v="7"/>
  </r>
  <r>
    <n v="40"/>
    <x v="1"/>
    <s v="Non-Travel"/>
    <n v="1151"/>
    <x v="1"/>
    <n v="9"/>
    <n v="5"/>
    <s v="Life Sciences"/>
    <n v="287"/>
    <n v="4"/>
    <s v="Male"/>
    <n v="63"/>
    <n v="2"/>
    <n v="2"/>
    <s v="Healthcare Representative"/>
    <n v="4"/>
    <s v="Married"/>
    <n v="4876"/>
    <n v="14242"/>
    <n v="9"/>
    <s v="No"/>
    <n v="14"/>
    <n v="3"/>
    <n v="4"/>
    <n v="1"/>
    <n v="5"/>
    <n v="5"/>
    <n v="1"/>
    <n v="3"/>
    <n v="2"/>
    <n v="0"/>
    <n v="2"/>
  </r>
  <r>
    <n v="46"/>
    <x v="1"/>
    <s v="Travel_Rarely"/>
    <n v="644"/>
    <x v="1"/>
    <n v="1"/>
    <n v="4"/>
    <s v="Medical"/>
    <n v="288"/>
    <n v="4"/>
    <s v="Male"/>
    <n v="97"/>
    <n v="3"/>
    <n v="3"/>
    <s v="Healthcare Representative"/>
    <n v="1"/>
    <s v="Divorced"/>
    <n v="9396"/>
    <n v="12368"/>
    <n v="7"/>
    <s v="No"/>
    <n v="16"/>
    <n v="3"/>
    <n v="3"/>
    <n v="1"/>
    <n v="17"/>
    <n v="3"/>
    <n v="3"/>
    <n v="4"/>
    <n v="2"/>
    <n v="0"/>
    <n v="3"/>
  </r>
  <r>
    <n v="32"/>
    <x v="0"/>
    <s v="Travel_Rarely"/>
    <n v="1045"/>
    <x v="0"/>
    <n v="4"/>
    <n v="4"/>
    <s v="Medical"/>
    <n v="291"/>
    <n v="4"/>
    <s v="Male"/>
    <n v="32"/>
    <n v="1"/>
    <n v="3"/>
    <s v="Sales Executive"/>
    <n v="4"/>
    <s v="Married"/>
    <n v="10400"/>
    <n v="25812"/>
    <n v="1"/>
    <s v="No"/>
    <n v="11"/>
    <n v="3"/>
    <n v="3"/>
    <n v="0"/>
    <n v="14"/>
    <n v="2"/>
    <n v="2"/>
    <n v="14"/>
    <n v="8"/>
    <n v="9"/>
    <n v="8"/>
  </r>
  <r>
    <n v="30"/>
    <x v="1"/>
    <s v="Non-Travel"/>
    <n v="829"/>
    <x v="1"/>
    <n v="1"/>
    <n v="1"/>
    <s v="Life Sciences"/>
    <n v="292"/>
    <n v="3"/>
    <s v="Male"/>
    <n v="88"/>
    <n v="2"/>
    <n v="3"/>
    <s v="Manufacturing Director"/>
    <n v="3"/>
    <s v="Single"/>
    <n v="8474"/>
    <n v="20925"/>
    <n v="1"/>
    <s v="No"/>
    <n v="22"/>
    <n v="4"/>
    <n v="3"/>
    <n v="0"/>
    <n v="12"/>
    <n v="2"/>
    <n v="3"/>
    <n v="11"/>
    <n v="8"/>
    <n v="5"/>
    <n v="8"/>
  </r>
  <r>
    <n v="27"/>
    <x v="1"/>
    <s v="Travel_Frequently"/>
    <n v="1242"/>
    <x v="0"/>
    <n v="20"/>
    <n v="3"/>
    <s v="Life Sciences"/>
    <n v="293"/>
    <n v="4"/>
    <s v="Female"/>
    <n v="90"/>
    <n v="3"/>
    <n v="2"/>
    <s v="Sales Executive"/>
    <n v="3"/>
    <s v="Single"/>
    <n v="9981"/>
    <n v="12916"/>
    <n v="1"/>
    <s v="No"/>
    <n v="14"/>
    <n v="3"/>
    <n v="4"/>
    <n v="0"/>
    <n v="7"/>
    <n v="2"/>
    <n v="3"/>
    <n v="7"/>
    <n v="7"/>
    <n v="0"/>
    <n v="7"/>
  </r>
  <r>
    <n v="51"/>
    <x v="1"/>
    <s v="Travel_Rarely"/>
    <n v="1469"/>
    <x v="1"/>
    <n v="8"/>
    <n v="4"/>
    <s v="Life Sciences"/>
    <n v="296"/>
    <n v="2"/>
    <s v="Male"/>
    <n v="81"/>
    <n v="2"/>
    <n v="3"/>
    <s v="Research Director"/>
    <n v="2"/>
    <s v="Married"/>
    <n v="12490"/>
    <n v="15736"/>
    <n v="5"/>
    <s v="No"/>
    <n v="16"/>
    <n v="3"/>
    <n v="4"/>
    <n v="2"/>
    <n v="16"/>
    <n v="5"/>
    <n v="1"/>
    <n v="10"/>
    <n v="9"/>
    <n v="4"/>
    <n v="7"/>
  </r>
  <r>
    <n v="30"/>
    <x v="0"/>
    <s v="Travel_Rarely"/>
    <n v="1005"/>
    <x v="1"/>
    <n v="3"/>
    <n v="3"/>
    <s v="Technical Degree"/>
    <n v="297"/>
    <n v="4"/>
    <s v="Female"/>
    <n v="88"/>
    <n v="3"/>
    <n v="1"/>
    <s v="Research Scientist"/>
    <n v="1"/>
    <s v="Single"/>
    <n v="2657"/>
    <n v="8556"/>
    <n v="5"/>
    <s v="Yes"/>
    <n v="11"/>
    <n v="3"/>
    <n v="3"/>
    <n v="0"/>
    <n v="8"/>
    <n v="5"/>
    <n v="3"/>
    <n v="5"/>
    <n v="2"/>
    <n v="0"/>
    <n v="4"/>
  </r>
  <r>
    <n v="41"/>
    <x v="1"/>
    <s v="Travel_Rarely"/>
    <n v="896"/>
    <x v="0"/>
    <n v="6"/>
    <n v="3"/>
    <s v="Life Sciences"/>
    <n v="298"/>
    <n v="4"/>
    <s v="Female"/>
    <n v="75"/>
    <n v="3"/>
    <n v="3"/>
    <s v="Manager"/>
    <n v="4"/>
    <s v="Single"/>
    <n v="13591"/>
    <n v="14674"/>
    <n v="3"/>
    <s v="Yes"/>
    <n v="18"/>
    <n v="3"/>
    <n v="3"/>
    <n v="0"/>
    <n v="16"/>
    <n v="3"/>
    <n v="3"/>
    <n v="1"/>
    <n v="0"/>
    <n v="0"/>
    <n v="0"/>
  </r>
  <r>
    <n v="30"/>
    <x v="0"/>
    <s v="Travel_Frequently"/>
    <n v="334"/>
    <x v="0"/>
    <n v="26"/>
    <n v="4"/>
    <s v="Marketing"/>
    <n v="299"/>
    <n v="3"/>
    <s v="Female"/>
    <n v="52"/>
    <n v="2"/>
    <n v="2"/>
    <s v="Sales Executive"/>
    <n v="1"/>
    <s v="Single"/>
    <n v="6696"/>
    <n v="22967"/>
    <n v="5"/>
    <s v="No"/>
    <n v="15"/>
    <n v="3"/>
    <n v="3"/>
    <n v="0"/>
    <n v="9"/>
    <n v="5"/>
    <n v="2"/>
    <n v="6"/>
    <n v="3"/>
    <n v="0"/>
    <n v="1"/>
  </r>
  <r>
    <n v="29"/>
    <x v="0"/>
    <s v="Travel_Rarely"/>
    <n v="992"/>
    <x v="1"/>
    <n v="1"/>
    <n v="3"/>
    <s v="Technical Degree"/>
    <n v="300"/>
    <n v="3"/>
    <s v="Male"/>
    <n v="85"/>
    <n v="3"/>
    <n v="1"/>
    <s v="Research Scientist"/>
    <n v="3"/>
    <s v="Single"/>
    <n v="2058"/>
    <n v="19757"/>
    <n v="0"/>
    <s v="No"/>
    <n v="14"/>
    <n v="3"/>
    <n v="4"/>
    <n v="0"/>
    <n v="7"/>
    <n v="1"/>
    <n v="2"/>
    <n v="6"/>
    <n v="2"/>
    <n v="1"/>
    <n v="5"/>
  </r>
  <r>
    <n v="45"/>
    <x v="1"/>
    <s v="Non-Travel"/>
    <n v="1052"/>
    <x v="0"/>
    <n v="6"/>
    <n v="3"/>
    <s v="Medical"/>
    <n v="302"/>
    <n v="4"/>
    <s v="Female"/>
    <n v="57"/>
    <n v="2"/>
    <n v="3"/>
    <s v="Sales Executive"/>
    <n v="4"/>
    <s v="Single"/>
    <n v="8865"/>
    <n v="16840"/>
    <n v="6"/>
    <s v="No"/>
    <n v="12"/>
    <n v="3"/>
    <n v="4"/>
    <n v="0"/>
    <n v="23"/>
    <n v="2"/>
    <n v="3"/>
    <n v="19"/>
    <n v="7"/>
    <n v="12"/>
    <n v="8"/>
  </r>
  <r>
    <n v="54"/>
    <x v="1"/>
    <s v="Travel_Rarely"/>
    <n v="1147"/>
    <x v="0"/>
    <n v="3"/>
    <n v="3"/>
    <s v="Marketing"/>
    <n v="303"/>
    <n v="4"/>
    <s v="Female"/>
    <n v="52"/>
    <n v="3"/>
    <n v="2"/>
    <s v="Sales Executive"/>
    <n v="1"/>
    <s v="Married"/>
    <n v="5940"/>
    <n v="17011"/>
    <n v="2"/>
    <s v="No"/>
    <n v="14"/>
    <n v="3"/>
    <n v="4"/>
    <n v="1"/>
    <n v="16"/>
    <n v="4"/>
    <n v="3"/>
    <n v="6"/>
    <n v="2"/>
    <n v="0"/>
    <n v="5"/>
  </r>
  <r>
    <n v="36"/>
    <x v="1"/>
    <s v="Travel_Rarely"/>
    <n v="1396"/>
    <x v="1"/>
    <n v="5"/>
    <n v="2"/>
    <s v="Life Sciences"/>
    <n v="304"/>
    <n v="4"/>
    <s v="Male"/>
    <n v="62"/>
    <n v="3"/>
    <n v="2"/>
    <s v="Laboratory Technician"/>
    <n v="2"/>
    <s v="Single"/>
    <n v="5914"/>
    <n v="9945"/>
    <n v="8"/>
    <s v="No"/>
    <n v="16"/>
    <n v="3"/>
    <n v="4"/>
    <n v="0"/>
    <n v="16"/>
    <n v="3"/>
    <n v="4"/>
    <n v="13"/>
    <n v="11"/>
    <n v="3"/>
    <n v="7"/>
  </r>
  <r>
    <n v="33"/>
    <x v="1"/>
    <s v="Travel_Rarely"/>
    <n v="147"/>
    <x v="1"/>
    <n v="4"/>
    <n v="4"/>
    <s v="Medical"/>
    <n v="305"/>
    <n v="3"/>
    <s v="Female"/>
    <n v="47"/>
    <n v="2"/>
    <n v="1"/>
    <s v="Research Scientist"/>
    <n v="2"/>
    <s v="Married"/>
    <n v="2622"/>
    <n v="13248"/>
    <n v="6"/>
    <s v="No"/>
    <n v="21"/>
    <n v="4"/>
    <n v="4"/>
    <n v="0"/>
    <n v="7"/>
    <n v="3"/>
    <n v="3"/>
    <n v="3"/>
    <n v="2"/>
    <n v="1"/>
    <n v="1"/>
  </r>
  <r>
    <n v="37"/>
    <x v="1"/>
    <s v="Travel_Frequently"/>
    <n v="663"/>
    <x v="1"/>
    <n v="11"/>
    <n v="3"/>
    <s v="Other"/>
    <n v="306"/>
    <n v="2"/>
    <s v="Male"/>
    <n v="47"/>
    <n v="3"/>
    <n v="3"/>
    <s v="Research Director"/>
    <n v="4"/>
    <s v="Divorced"/>
    <n v="12185"/>
    <n v="10056"/>
    <n v="1"/>
    <s v="Yes"/>
    <n v="14"/>
    <n v="3"/>
    <n v="3"/>
    <n v="3"/>
    <n v="10"/>
    <n v="1"/>
    <n v="3"/>
    <n v="10"/>
    <n v="8"/>
    <n v="0"/>
    <n v="7"/>
  </r>
  <r>
    <n v="38"/>
    <x v="1"/>
    <s v="Travel_Rarely"/>
    <n v="119"/>
    <x v="0"/>
    <n v="3"/>
    <n v="3"/>
    <s v="Life Sciences"/>
    <n v="307"/>
    <n v="1"/>
    <s v="Male"/>
    <n v="76"/>
    <n v="3"/>
    <n v="3"/>
    <s v="Sales Executive"/>
    <n v="3"/>
    <s v="Divorced"/>
    <n v="10609"/>
    <n v="9647"/>
    <n v="0"/>
    <s v="No"/>
    <n v="12"/>
    <n v="3"/>
    <n v="3"/>
    <n v="2"/>
    <n v="17"/>
    <n v="6"/>
    <n v="2"/>
    <n v="16"/>
    <n v="10"/>
    <n v="5"/>
    <n v="13"/>
  </r>
  <r>
    <n v="31"/>
    <x v="1"/>
    <s v="Non-Travel"/>
    <n v="979"/>
    <x v="1"/>
    <n v="1"/>
    <n v="4"/>
    <s v="Medical"/>
    <n v="308"/>
    <n v="3"/>
    <s v="Male"/>
    <n v="90"/>
    <n v="1"/>
    <n v="2"/>
    <s v="Manufacturing Director"/>
    <n v="3"/>
    <s v="Married"/>
    <n v="4345"/>
    <n v="4381"/>
    <n v="0"/>
    <s v="No"/>
    <n v="12"/>
    <n v="3"/>
    <n v="4"/>
    <n v="1"/>
    <n v="6"/>
    <n v="2"/>
    <n v="3"/>
    <n v="5"/>
    <n v="4"/>
    <n v="1"/>
    <n v="4"/>
  </r>
  <r>
    <n v="59"/>
    <x v="1"/>
    <s v="Travel_Rarely"/>
    <n v="142"/>
    <x v="1"/>
    <n v="3"/>
    <n v="3"/>
    <s v="Life Sciences"/>
    <n v="309"/>
    <n v="3"/>
    <s v="Male"/>
    <n v="70"/>
    <n v="2"/>
    <n v="1"/>
    <s v="Research Scientist"/>
    <n v="4"/>
    <s v="Married"/>
    <n v="2177"/>
    <n v="8456"/>
    <n v="3"/>
    <s v="No"/>
    <n v="17"/>
    <n v="3"/>
    <n v="1"/>
    <n v="1"/>
    <n v="7"/>
    <n v="6"/>
    <n v="3"/>
    <n v="1"/>
    <n v="0"/>
    <n v="0"/>
    <n v="0"/>
  </r>
  <r>
    <n v="37"/>
    <x v="1"/>
    <s v="Travel_Frequently"/>
    <n v="319"/>
    <x v="0"/>
    <n v="4"/>
    <n v="4"/>
    <s v="Marketing"/>
    <n v="311"/>
    <n v="1"/>
    <s v="Male"/>
    <n v="41"/>
    <n v="3"/>
    <n v="1"/>
    <s v="Sales Representative"/>
    <n v="4"/>
    <s v="Divorced"/>
    <n v="2793"/>
    <n v="2539"/>
    <n v="4"/>
    <s v="No"/>
    <n v="17"/>
    <n v="3"/>
    <n v="3"/>
    <n v="1"/>
    <n v="13"/>
    <n v="2"/>
    <n v="3"/>
    <n v="9"/>
    <n v="8"/>
    <n v="5"/>
    <n v="8"/>
  </r>
  <r>
    <n v="29"/>
    <x v="1"/>
    <s v="Travel_Frequently"/>
    <n v="1413"/>
    <x v="0"/>
    <n v="1"/>
    <n v="1"/>
    <s v="Medical"/>
    <n v="312"/>
    <n v="2"/>
    <s v="Female"/>
    <n v="42"/>
    <n v="3"/>
    <n v="3"/>
    <s v="Sales Executive"/>
    <n v="4"/>
    <s v="Married"/>
    <n v="7918"/>
    <n v="6599"/>
    <n v="1"/>
    <s v="No"/>
    <n v="14"/>
    <n v="3"/>
    <n v="4"/>
    <n v="1"/>
    <n v="11"/>
    <n v="5"/>
    <n v="3"/>
    <n v="11"/>
    <n v="10"/>
    <n v="4"/>
    <n v="1"/>
  </r>
  <r>
    <n v="35"/>
    <x v="1"/>
    <s v="Travel_Frequently"/>
    <n v="944"/>
    <x v="0"/>
    <n v="1"/>
    <n v="3"/>
    <s v="Marketing"/>
    <n v="314"/>
    <n v="3"/>
    <s v="Female"/>
    <n v="92"/>
    <n v="3"/>
    <n v="3"/>
    <s v="Sales Executive"/>
    <n v="3"/>
    <s v="Single"/>
    <n v="8789"/>
    <n v="9096"/>
    <n v="1"/>
    <s v="No"/>
    <n v="14"/>
    <n v="3"/>
    <n v="1"/>
    <n v="0"/>
    <n v="10"/>
    <n v="3"/>
    <n v="4"/>
    <n v="10"/>
    <n v="7"/>
    <n v="0"/>
    <n v="8"/>
  </r>
  <r>
    <n v="29"/>
    <x v="0"/>
    <s v="Travel_Rarely"/>
    <n v="896"/>
    <x v="1"/>
    <n v="18"/>
    <n v="1"/>
    <s v="Medical"/>
    <n v="315"/>
    <n v="3"/>
    <s v="Male"/>
    <n v="86"/>
    <n v="2"/>
    <n v="1"/>
    <s v="Research Scientist"/>
    <n v="4"/>
    <s v="Single"/>
    <n v="2389"/>
    <n v="14961"/>
    <n v="1"/>
    <s v="Yes"/>
    <n v="13"/>
    <n v="3"/>
    <n v="3"/>
    <n v="0"/>
    <n v="4"/>
    <n v="3"/>
    <n v="2"/>
    <n v="4"/>
    <n v="3"/>
    <n v="0"/>
    <n v="1"/>
  </r>
  <r>
    <n v="52"/>
    <x v="1"/>
    <s v="Travel_Rarely"/>
    <n v="1323"/>
    <x v="1"/>
    <n v="2"/>
    <n v="3"/>
    <s v="Life Sciences"/>
    <n v="316"/>
    <n v="3"/>
    <s v="Female"/>
    <n v="89"/>
    <n v="2"/>
    <n v="1"/>
    <s v="Laboratory Technician"/>
    <n v="4"/>
    <s v="Single"/>
    <n v="3212"/>
    <n v="3300"/>
    <n v="7"/>
    <s v="No"/>
    <n v="15"/>
    <n v="3"/>
    <n v="2"/>
    <n v="0"/>
    <n v="6"/>
    <n v="3"/>
    <n v="2"/>
    <n v="2"/>
    <n v="2"/>
    <n v="2"/>
    <n v="2"/>
  </r>
  <r>
    <n v="42"/>
    <x v="1"/>
    <s v="Travel_Rarely"/>
    <n v="532"/>
    <x v="1"/>
    <n v="4"/>
    <n v="2"/>
    <s v="Technical Degree"/>
    <n v="319"/>
    <n v="3"/>
    <s v="Male"/>
    <n v="58"/>
    <n v="3"/>
    <n v="5"/>
    <s v="Manager"/>
    <n v="4"/>
    <s v="Married"/>
    <n v="19232"/>
    <n v="4933"/>
    <n v="1"/>
    <s v="No"/>
    <n v="11"/>
    <n v="3"/>
    <n v="4"/>
    <n v="0"/>
    <n v="22"/>
    <n v="3"/>
    <n v="3"/>
    <n v="22"/>
    <n v="17"/>
    <n v="11"/>
    <n v="15"/>
  </r>
  <r>
    <n v="59"/>
    <x v="1"/>
    <s v="Travel_Rarely"/>
    <n v="818"/>
    <x v="2"/>
    <n v="6"/>
    <n v="2"/>
    <s v="Medical"/>
    <n v="321"/>
    <n v="2"/>
    <s v="Male"/>
    <n v="52"/>
    <n v="3"/>
    <n v="1"/>
    <s v="Human Resources"/>
    <n v="3"/>
    <s v="Married"/>
    <n v="2267"/>
    <n v="25657"/>
    <n v="8"/>
    <s v="No"/>
    <n v="17"/>
    <n v="3"/>
    <n v="4"/>
    <n v="0"/>
    <n v="7"/>
    <n v="2"/>
    <n v="2"/>
    <n v="2"/>
    <n v="2"/>
    <n v="2"/>
    <n v="2"/>
  </r>
  <r>
    <n v="50"/>
    <x v="1"/>
    <s v="Travel_Rarely"/>
    <n v="854"/>
    <x v="0"/>
    <n v="1"/>
    <n v="4"/>
    <s v="Medical"/>
    <n v="323"/>
    <n v="4"/>
    <s v="Female"/>
    <n v="68"/>
    <n v="3"/>
    <n v="5"/>
    <s v="Manager"/>
    <n v="4"/>
    <s v="Divorced"/>
    <n v="19517"/>
    <n v="24118"/>
    <n v="3"/>
    <s v="No"/>
    <n v="11"/>
    <n v="3"/>
    <n v="3"/>
    <n v="1"/>
    <n v="32"/>
    <n v="3"/>
    <n v="2"/>
    <n v="7"/>
    <n v="0"/>
    <n v="0"/>
    <n v="6"/>
  </r>
  <r>
    <n v="33"/>
    <x v="0"/>
    <s v="Travel_Rarely"/>
    <n v="813"/>
    <x v="1"/>
    <n v="14"/>
    <n v="3"/>
    <s v="Medical"/>
    <n v="325"/>
    <n v="3"/>
    <s v="Male"/>
    <n v="58"/>
    <n v="3"/>
    <n v="1"/>
    <s v="Laboratory Technician"/>
    <n v="4"/>
    <s v="Married"/>
    <n v="2436"/>
    <n v="22149"/>
    <n v="5"/>
    <s v="Yes"/>
    <n v="13"/>
    <n v="3"/>
    <n v="3"/>
    <n v="1"/>
    <n v="8"/>
    <n v="2"/>
    <n v="1"/>
    <n v="5"/>
    <n v="4"/>
    <n v="0"/>
    <n v="4"/>
  </r>
  <r>
    <n v="43"/>
    <x v="1"/>
    <s v="Travel_Rarely"/>
    <n v="1034"/>
    <x v="0"/>
    <n v="16"/>
    <n v="3"/>
    <s v="Marketing"/>
    <n v="327"/>
    <n v="4"/>
    <s v="Female"/>
    <n v="80"/>
    <n v="3"/>
    <n v="4"/>
    <s v="Manager"/>
    <n v="4"/>
    <s v="Married"/>
    <n v="16064"/>
    <n v="7744"/>
    <n v="5"/>
    <s v="Yes"/>
    <n v="22"/>
    <n v="4"/>
    <n v="3"/>
    <n v="1"/>
    <n v="22"/>
    <n v="3"/>
    <n v="3"/>
    <n v="17"/>
    <n v="13"/>
    <n v="1"/>
    <n v="9"/>
  </r>
  <r>
    <n v="33"/>
    <x v="0"/>
    <s v="Travel_Rarely"/>
    <n v="465"/>
    <x v="1"/>
    <n v="2"/>
    <n v="2"/>
    <s v="Life Sciences"/>
    <n v="328"/>
    <n v="1"/>
    <s v="Female"/>
    <n v="39"/>
    <n v="3"/>
    <n v="1"/>
    <s v="Laboratory Technician"/>
    <n v="1"/>
    <s v="Married"/>
    <n v="2707"/>
    <n v="21509"/>
    <n v="7"/>
    <s v="No"/>
    <n v="20"/>
    <n v="4"/>
    <n v="1"/>
    <n v="0"/>
    <n v="13"/>
    <n v="3"/>
    <n v="4"/>
    <n v="9"/>
    <n v="7"/>
    <n v="1"/>
    <n v="7"/>
  </r>
  <r>
    <n v="52"/>
    <x v="1"/>
    <s v="Non-Travel"/>
    <n v="771"/>
    <x v="0"/>
    <n v="2"/>
    <n v="4"/>
    <s v="Life Sciences"/>
    <n v="329"/>
    <n v="1"/>
    <s v="Male"/>
    <n v="79"/>
    <n v="2"/>
    <n v="5"/>
    <s v="Manager"/>
    <n v="3"/>
    <s v="Single"/>
    <n v="19068"/>
    <n v="21030"/>
    <n v="1"/>
    <s v="Yes"/>
    <n v="18"/>
    <n v="3"/>
    <n v="4"/>
    <n v="0"/>
    <n v="33"/>
    <n v="2"/>
    <n v="4"/>
    <n v="33"/>
    <n v="7"/>
    <n v="15"/>
    <n v="12"/>
  </r>
  <r>
    <n v="32"/>
    <x v="1"/>
    <s v="Travel_Rarely"/>
    <n v="1401"/>
    <x v="0"/>
    <n v="4"/>
    <n v="2"/>
    <s v="Life Sciences"/>
    <n v="330"/>
    <n v="3"/>
    <s v="Female"/>
    <n v="56"/>
    <n v="3"/>
    <n v="1"/>
    <s v="Sales Representative"/>
    <n v="2"/>
    <s v="Married"/>
    <n v="3931"/>
    <n v="20990"/>
    <n v="2"/>
    <s v="No"/>
    <n v="11"/>
    <n v="3"/>
    <n v="1"/>
    <n v="1"/>
    <n v="6"/>
    <n v="5"/>
    <n v="3"/>
    <n v="4"/>
    <n v="3"/>
    <n v="1"/>
    <n v="2"/>
  </r>
  <r>
    <n v="32"/>
    <x v="0"/>
    <s v="Travel_Rarely"/>
    <n v="515"/>
    <x v="1"/>
    <n v="1"/>
    <n v="3"/>
    <s v="Life Sciences"/>
    <n v="331"/>
    <n v="4"/>
    <s v="Male"/>
    <n v="62"/>
    <n v="2"/>
    <n v="1"/>
    <s v="Laboratory Technician"/>
    <n v="3"/>
    <s v="Single"/>
    <n v="3730"/>
    <n v="9571"/>
    <n v="0"/>
    <s v="Yes"/>
    <n v="14"/>
    <n v="3"/>
    <n v="4"/>
    <n v="0"/>
    <n v="4"/>
    <n v="2"/>
    <n v="1"/>
    <n v="3"/>
    <n v="2"/>
    <n v="1"/>
    <n v="2"/>
  </r>
  <r>
    <n v="39"/>
    <x v="1"/>
    <s v="Travel_Rarely"/>
    <n v="1431"/>
    <x v="1"/>
    <n v="1"/>
    <n v="4"/>
    <s v="Medical"/>
    <n v="332"/>
    <n v="3"/>
    <s v="Female"/>
    <n v="96"/>
    <n v="3"/>
    <n v="1"/>
    <s v="Laboratory Technician"/>
    <n v="3"/>
    <s v="Divorced"/>
    <n v="2232"/>
    <n v="15417"/>
    <n v="7"/>
    <s v="No"/>
    <n v="14"/>
    <n v="3"/>
    <n v="3"/>
    <n v="3"/>
    <n v="7"/>
    <n v="1"/>
    <n v="3"/>
    <n v="3"/>
    <n v="2"/>
    <n v="1"/>
    <n v="2"/>
  </r>
  <r>
    <n v="32"/>
    <x v="1"/>
    <s v="Non-Travel"/>
    <n v="976"/>
    <x v="0"/>
    <n v="26"/>
    <n v="4"/>
    <s v="Marketing"/>
    <n v="333"/>
    <n v="3"/>
    <s v="Male"/>
    <n v="100"/>
    <n v="3"/>
    <n v="2"/>
    <s v="Sales Executive"/>
    <n v="4"/>
    <s v="Married"/>
    <n v="4465"/>
    <n v="12069"/>
    <n v="0"/>
    <s v="No"/>
    <n v="18"/>
    <n v="3"/>
    <n v="1"/>
    <n v="0"/>
    <n v="4"/>
    <n v="2"/>
    <n v="3"/>
    <n v="3"/>
    <n v="2"/>
    <n v="2"/>
    <n v="2"/>
  </r>
  <r>
    <n v="41"/>
    <x v="1"/>
    <s v="Travel_Rarely"/>
    <n v="1411"/>
    <x v="1"/>
    <n v="19"/>
    <n v="2"/>
    <s v="Life Sciences"/>
    <n v="334"/>
    <n v="3"/>
    <s v="Male"/>
    <n v="36"/>
    <n v="3"/>
    <n v="2"/>
    <s v="Research Scientist"/>
    <n v="1"/>
    <s v="Divorced"/>
    <n v="3072"/>
    <n v="19877"/>
    <n v="2"/>
    <s v="No"/>
    <n v="16"/>
    <n v="3"/>
    <n v="1"/>
    <n v="2"/>
    <n v="17"/>
    <n v="2"/>
    <n v="2"/>
    <n v="1"/>
    <n v="0"/>
    <n v="0"/>
    <n v="0"/>
  </r>
  <r>
    <n v="40"/>
    <x v="1"/>
    <s v="Travel_Rarely"/>
    <n v="1300"/>
    <x v="1"/>
    <n v="24"/>
    <n v="2"/>
    <s v="Technical Degree"/>
    <n v="335"/>
    <n v="1"/>
    <s v="Male"/>
    <n v="62"/>
    <n v="3"/>
    <n v="2"/>
    <s v="Research Scientist"/>
    <n v="4"/>
    <s v="Divorced"/>
    <n v="3319"/>
    <n v="24447"/>
    <n v="1"/>
    <s v="No"/>
    <n v="17"/>
    <n v="3"/>
    <n v="1"/>
    <n v="2"/>
    <n v="9"/>
    <n v="3"/>
    <n v="3"/>
    <n v="9"/>
    <n v="8"/>
    <n v="4"/>
    <n v="7"/>
  </r>
  <r>
    <n v="45"/>
    <x v="1"/>
    <s v="Travel_Rarely"/>
    <n v="252"/>
    <x v="1"/>
    <n v="1"/>
    <n v="3"/>
    <s v="Other"/>
    <n v="336"/>
    <n v="3"/>
    <s v="Male"/>
    <n v="70"/>
    <n v="4"/>
    <n v="5"/>
    <s v="Manager"/>
    <n v="4"/>
    <s v="Married"/>
    <n v="19202"/>
    <n v="15970"/>
    <n v="0"/>
    <s v="No"/>
    <n v="11"/>
    <n v="3"/>
    <n v="3"/>
    <n v="1"/>
    <n v="25"/>
    <n v="2"/>
    <n v="3"/>
    <n v="24"/>
    <n v="0"/>
    <n v="1"/>
    <n v="7"/>
  </r>
  <r>
    <n v="31"/>
    <x v="1"/>
    <s v="Travel_Frequently"/>
    <n v="1327"/>
    <x v="1"/>
    <n v="3"/>
    <n v="4"/>
    <s v="Medical"/>
    <n v="337"/>
    <n v="2"/>
    <s v="Male"/>
    <n v="73"/>
    <n v="3"/>
    <n v="3"/>
    <s v="Research Director"/>
    <n v="3"/>
    <s v="Divorced"/>
    <n v="13675"/>
    <n v="13523"/>
    <n v="9"/>
    <s v="No"/>
    <n v="12"/>
    <n v="3"/>
    <n v="1"/>
    <n v="1"/>
    <n v="9"/>
    <n v="3"/>
    <n v="3"/>
    <n v="2"/>
    <n v="2"/>
    <n v="2"/>
    <n v="2"/>
  </r>
  <r>
    <n v="33"/>
    <x v="1"/>
    <s v="Travel_Rarely"/>
    <n v="832"/>
    <x v="1"/>
    <n v="5"/>
    <n v="4"/>
    <s v="Life Sciences"/>
    <n v="338"/>
    <n v="3"/>
    <s v="Female"/>
    <n v="63"/>
    <n v="2"/>
    <n v="1"/>
    <s v="Research Scientist"/>
    <n v="4"/>
    <s v="Married"/>
    <n v="2911"/>
    <n v="14776"/>
    <n v="1"/>
    <s v="No"/>
    <n v="13"/>
    <n v="3"/>
    <n v="3"/>
    <n v="1"/>
    <n v="2"/>
    <n v="2"/>
    <n v="2"/>
    <n v="2"/>
    <n v="2"/>
    <n v="0"/>
    <n v="2"/>
  </r>
  <r>
    <n v="34"/>
    <x v="1"/>
    <s v="Travel_Rarely"/>
    <n v="470"/>
    <x v="1"/>
    <n v="2"/>
    <n v="4"/>
    <s v="Life Sciences"/>
    <n v="339"/>
    <n v="4"/>
    <s v="Male"/>
    <n v="84"/>
    <n v="2"/>
    <n v="2"/>
    <s v="Manufacturing Director"/>
    <n v="1"/>
    <s v="Married"/>
    <n v="5957"/>
    <n v="23687"/>
    <n v="6"/>
    <s v="No"/>
    <n v="13"/>
    <n v="3"/>
    <n v="2"/>
    <n v="1"/>
    <n v="13"/>
    <n v="3"/>
    <n v="3"/>
    <n v="11"/>
    <n v="9"/>
    <n v="5"/>
    <n v="9"/>
  </r>
  <r>
    <n v="37"/>
    <x v="1"/>
    <s v="Travel_Rarely"/>
    <n v="1017"/>
    <x v="1"/>
    <n v="1"/>
    <n v="2"/>
    <s v="Medical"/>
    <n v="340"/>
    <n v="3"/>
    <s v="Female"/>
    <n v="83"/>
    <n v="2"/>
    <n v="1"/>
    <s v="Research Scientist"/>
    <n v="1"/>
    <s v="Married"/>
    <n v="3920"/>
    <n v="18697"/>
    <n v="2"/>
    <s v="No"/>
    <n v="14"/>
    <n v="3"/>
    <n v="1"/>
    <n v="1"/>
    <n v="17"/>
    <n v="2"/>
    <n v="2"/>
    <n v="3"/>
    <n v="1"/>
    <n v="0"/>
    <n v="2"/>
  </r>
  <r>
    <n v="45"/>
    <x v="1"/>
    <s v="Travel_Frequently"/>
    <n v="1199"/>
    <x v="1"/>
    <n v="7"/>
    <n v="4"/>
    <s v="Life Sciences"/>
    <n v="341"/>
    <n v="1"/>
    <s v="Male"/>
    <n v="77"/>
    <n v="4"/>
    <n v="2"/>
    <s v="Manufacturing Director"/>
    <n v="3"/>
    <s v="Married"/>
    <n v="6434"/>
    <n v="5118"/>
    <n v="4"/>
    <s v="No"/>
    <n v="17"/>
    <n v="3"/>
    <n v="4"/>
    <n v="1"/>
    <n v="9"/>
    <n v="1"/>
    <n v="3"/>
    <n v="3"/>
    <n v="2"/>
    <n v="0"/>
    <n v="2"/>
  </r>
  <r>
    <n v="37"/>
    <x v="0"/>
    <s v="Travel_Frequently"/>
    <n v="504"/>
    <x v="1"/>
    <n v="10"/>
    <n v="3"/>
    <s v="Medical"/>
    <n v="342"/>
    <n v="1"/>
    <s v="Male"/>
    <n v="61"/>
    <n v="3"/>
    <n v="3"/>
    <s v="Manufacturing Director"/>
    <n v="3"/>
    <s v="Divorced"/>
    <n v="10048"/>
    <n v="22573"/>
    <n v="6"/>
    <s v="No"/>
    <n v="11"/>
    <n v="3"/>
    <n v="2"/>
    <n v="2"/>
    <n v="17"/>
    <n v="5"/>
    <n v="3"/>
    <n v="1"/>
    <n v="0"/>
    <n v="0"/>
    <n v="0"/>
  </r>
  <r>
    <n v="39"/>
    <x v="1"/>
    <s v="Travel_Frequently"/>
    <n v="505"/>
    <x v="1"/>
    <n v="2"/>
    <n v="4"/>
    <s v="Technical Degree"/>
    <n v="343"/>
    <n v="3"/>
    <s v="Female"/>
    <n v="64"/>
    <n v="3"/>
    <n v="3"/>
    <s v="Healthcare Representative"/>
    <n v="3"/>
    <s v="Single"/>
    <n v="10938"/>
    <n v="6420"/>
    <n v="0"/>
    <s v="No"/>
    <n v="25"/>
    <n v="4"/>
    <n v="4"/>
    <n v="0"/>
    <n v="20"/>
    <n v="1"/>
    <n v="3"/>
    <n v="19"/>
    <n v="6"/>
    <n v="11"/>
    <n v="8"/>
  </r>
  <r>
    <n v="29"/>
    <x v="1"/>
    <s v="Travel_Rarely"/>
    <n v="665"/>
    <x v="1"/>
    <n v="15"/>
    <n v="3"/>
    <s v="Life Sciences"/>
    <n v="346"/>
    <n v="3"/>
    <s v="Male"/>
    <n v="60"/>
    <n v="3"/>
    <n v="1"/>
    <s v="Research Scientist"/>
    <n v="4"/>
    <s v="Single"/>
    <n v="2340"/>
    <n v="22673"/>
    <n v="1"/>
    <s v="No"/>
    <n v="19"/>
    <n v="3"/>
    <n v="1"/>
    <n v="0"/>
    <n v="6"/>
    <n v="1"/>
    <n v="3"/>
    <n v="6"/>
    <n v="5"/>
    <n v="1"/>
    <n v="5"/>
  </r>
  <r>
    <n v="42"/>
    <x v="1"/>
    <s v="Travel_Rarely"/>
    <n v="916"/>
    <x v="1"/>
    <n v="17"/>
    <n v="2"/>
    <s v="Life Sciences"/>
    <n v="347"/>
    <n v="4"/>
    <s v="Female"/>
    <n v="82"/>
    <n v="4"/>
    <n v="2"/>
    <s v="Research Scientist"/>
    <n v="1"/>
    <s v="Single"/>
    <n v="6545"/>
    <n v="23016"/>
    <n v="3"/>
    <s v="Yes"/>
    <n v="13"/>
    <n v="3"/>
    <n v="3"/>
    <n v="0"/>
    <n v="10"/>
    <n v="1"/>
    <n v="3"/>
    <n v="3"/>
    <n v="2"/>
    <n v="0"/>
    <n v="2"/>
  </r>
  <r>
    <n v="29"/>
    <x v="1"/>
    <s v="Travel_Rarely"/>
    <n v="1247"/>
    <x v="0"/>
    <n v="20"/>
    <n v="2"/>
    <s v="Marketing"/>
    <n v="349"/>
    <n v="4"/>
    <s v="Male"/>
    <n v="45"/>
    <n v="3"/>
    <n v="2"/>
    <s v="Sales Executive"/>
    <n v="4"/>
    <s v="Divorced"/>
    <n v="6931"/>
    <n v="10732"/>
    <n v="2"/>
    <s v="No"/>
    <n v="14"/>
    <n v="3"/>
    <n v="4"/>
    <n v="1"/>
    <n v="10"/>
    <n v="2"/>
    <n v="3"/>
    <n v="3"/>
    <n v="2"/>
    <n v="0"/>
    <n v="2"/>
  </r>
  <r>
    <n v="25"/>
    <x v="1"/>
    <s v="Travel_Rarely"/>
    <n v="685"/>
    <x v="1"/>
    <n v="1"/>
    <n v="3"/>
    <s v="Life Sciences"/>
    <n v="350"/>
    <n v="1"/>
    <s v="Female"/>
    <n v="62"/>
    <n v="3"/>
    <n v="2"/>
    <s v="Manufacturing Director"/>
    <n v="3"/>
    <s v="Married"/>
    <n v="4898"/>
    <n v="7505"/>
    <n v="0"/>
    <s v="No"/>
    <n v="12"/>
    <n v="3"/>
    <n v="4"/>
    <n v="2"/>
    <n v="5"/>
    <n v="3"/>
    <n v="3"/>
    <n v="4"/>
    <n v="2"/>
    <n v="1"/>
    <n v="2"/>
  </r>
  <r>
    <n v="42"/>
    <x v="1"/>
    <s v="Travel_Rarely"/>
    <n v="269"/>
    <x v="1"/>
    <n v="2"/>
    <n v="3"/>
    <s v="Medical"/>
    <n v="351"/>
    <n v="4"/>
    <s v="Female"/>
    <n v="56"/>
    <n v="2"/>
    <n v="1"/>
    <s v="Laboratory Technician"/>
    <n v="1"/>
    <s v="Divorced"/>
    <n v="2593"/>
    <n v="8007"/>
    <n v="0"/>
    <s v="Yes"/>
    <n v="11"/>
    <n v="3"/>
    <n v="3"/>
    <n v="1"/>
    <n v="10"/>
    <n v="4"/>
    <n v="3"/>
    <n v="9"/>
    <n v="6"/>
    <n v="7"/>
    <n v="8"/>
  </r>
  <r>
    <n v="40"/>
    <x v="1"/>
    <s v="Travel_Rarely"/>
    <n v="1416"/>
    <x v="1"/>
    <n v="2"/>
    <n v="2"/>
    <s v="Medical"/>
    <n v="352"/>
    <n v="1"/>
    <s v="Male"/>
    <n v="49"/>
    <n v="3"/>
    <n v="5"/>
    <s v="Research Director"/>
    <n v="3"/>
    <s v="Divorced"/>
    <n v="19436"/>
    <n v="5949"/>
    <n v="0"/>
    <s v="No"/>
    <n v="19"/>
    <n v="3"/>
    <n v="4"/>
    <n v="1"/>
    <n v="22"/>
    <n v="5"/>
    <n v="3"/>
    <n v="21"/>
    <n v="7"/>
    <n v="3"/>
    <n v="9"/>
  </r>
  <r>
    <n v="51"/>
    <x v="1"/>
    <s v="Travel_Rarely"/>
    <n v="833"/>
    <x v="1"/>
    <n v="1"/>
    <n v="3"/>
    <s v="Life Sciences"/>
    <n v="353"/>
    <n v="3"/>
    <s v="Male"/>
    <n v="96"/>
    <n v="3"/>
    <n v="1"/>
    <s v="Research Scientist"/>
    <n v="4"/>
    <s v="Married"/>
    <n v="2723"/>
    <n v="23231"/>
    <n v="1"/>
    <s v="No"/>
    <n v="11"/>
    <n v="3"/>
    <n v="2"/>
    <n v="0"/>
    <n v="1"/>
    <n v="0"/>
    <n v="2"/>
    <n v="1"/>
    <n v="0"/>
    <n v="0"/>
    <n v="0"/>
  </r>
  <r>
    <n v="31"/>
    <x v="0"/>
    <s v="Travel_Frequently"/>
    <n v="307"/>
    <x v="1"/>
    <n v="29"/>
    <n v="2"/>
    <s v="Medical"/>
    <n v="355"/>
    <n v="3"/>
    <s v="Male"/>
    <n v="71"/>
    <n v="2"/>
    <n v="1"/>
    <s v="Laboratory Technician"/>
    <n v="2"/>
    <s v="Single"/>
    <n v="3479"/>
    <n v="11652"/>
    <n v="0"/>
    <s v="No"/>
    <n v="11"/>
    <n v="3"/>
    <n v="2"/>
    <n v="0"/>
    <n v="6"/>
    <n v="2"/>
    <n v="4"/>
    <n v="5"/>
    <n v="4"/>
    <n v="1"/>
    <n v="4"/>
  </r>
  <r>
    <n v="32"/>
    <x v="1"/>
    <s v="Travel_Frequently"/>
    <n v="1311"/>
    <x v="1"/>
    <n v="7"/>
    <n v="3"/>
    <s v="Life Sciences"/>
    <n v="359"/>
    <n v="2"/>
    <s v="Male"/>
    <n v="100"/>
    <n v="4"/>
    <n v="1"/>
    <s v="Laboratory Technician"/>
    <n v="2"/>
    <s v="Married"/>
    <n v="2794"/>
    <n v="26062"/>
    <n v="1"/>
    <s v="No"/>
    <n v="20"/>
    <n v="4"/>
    <n v="3"/>
    <n v="0"/>
    <n v="5"/>
    <n v="3"/>
    <n v="1"/>
    <n v="5"/>
    <n v="1"/>
    <n v="0"/>
    <n v="3"/>
  </r>
  <r>
    <n v="38"/>
    <x v="1"/>
    <s v="Non-Travel"/>
    <n v="1327"/>
    <x v="0"/>
    <n v="2"/>
    <n v="2"/>
    <s v="Life Sciences"/>
    <n v="361"/>
    <n v="4"/>
    <s v="Male"/>
    <n v="39"/>
    <n v="2"/>
    <n v="2"/>
    <s v="Sales Executive"/>
    <n v="4"/>
    <s v="Married"/>
    <n v="5249"/>
    <n v="19682"/>
    <n v="3"/>
    <s v="No"/>
    <n v="18"/>
    <n v="3"/>
    <n v="4"/>
    <n v="1"/>
    <n v="13"/>
    <n v="0"/>
    <n v="3"/>
    <n v="8"/>
    <n v="7"/>
    <n v="7"/>
    <n v="5"/>
  </r>
  <r>
    <n v="32"/>
    <x v="1"/>
    <s v="Travel_Rarely"/>
    <n v="128"/>
    <x v="1"/>
    <n v="2"/>
    <n v="1"/>
    <s v="Technical Degree"/>
    <n v="362"/>
    <n v="4"/>
    <s v="Male"/>
    <n v="84"/>
    <n v="2"/>
    <n v="2"/>
    <s v="Laboratory Technician"/>
    <n v="1"/>
    <s v="Single"/>
    <n v="2176"/>
    <n v="19737"/>
    <n v="4"/>
    <s v="No"/>
    <n v="13"/>
    <n v="3"/>
    <n v="4"/>
    <n v="0"/>
    <n v="9"/>
    <n v="5"/>
    <n v="3"/>
    <n v="6"/>
    <n v="2"/>
    <n v="0"/>
    <n v="4"/>
  </r>
  <r>
    <n v="46"/>
    <x v="1"/>
    <s v="Travel_Rarely"/>
    <n v="488"/>
    <x v="0"/>
    <n v="2"/>
    <n v="3"/>
    <s v="Technical Degree"/>
    <n v="363"/>
    <n v="3"/>
    <s v="Female"/>
    <n v="75"/>
    <n v="1"/>
    <n v="4"/>
    <s v="Manager"/>
    <n v="2"/>
    <s v="Married"/>
    <n v="16872"/>
    <n v="14977"/>
    <n v="3"/>
    <s v="Yes"/>
    <n v="12"/>
    <n v="3"/>
    <n v="2"/>
    <n v="1"/>
    <n v="28"/>
    <n v="2"/>
    <n v="2"/>
    <n v="7"/>
    <n v="7"/>
    <n v="7"/>
    <n v="7"/>
  </r>
  <r>
    <n v="28"/>
    <x v="0"/>
    <s v="Travel_Rarely"/>
    <n v="529"/>
    <x v="1"/>
    <n v="2"/>
    <n v="4"/>
    <s v="Life Sciences"/>
    <n v="364"/>
    <n v="1"/>
    <s v="Male"/>
    <n v="79"/>
    <n v="3"/>
    <n v="1"/>
    <s v="Laboratory Technician"/>
    <n v="3"/>
    <s v="Single"/>
    <n v="3485"/>
    <n v="14935"/>
    <n v="2"/>
    <s v="No"/>
    <n v="11"/>
    <n v="3"/>
    <n v="3"/>
    <n v="0"/>
    <n v="5"/>
    <n v="5"/>
    <n v="1"/>
    <n v="0"/>
    <n v="0"/>
    <n v="0"/>
    <n v="0"/>
  </r>
  <r>
    <n v="29"/>
    <x v="1"/>
    <s v="Travel_Rarely"/>
    <n v="1210"/>
    <x v="0"/>
    <n v="2"/>
    <n v="3"/>
    <s v="Medical"/>
    <n v="366"/>
    <n v="1"/>
    <s v="Male"/>
    <n v="78"/>
    <n v="2"/>
    <n v="2"/>
    <s v="Sales Executive"/>
    <n v="2"/>
    <s v="Married"/>
    <n v="6644"/>
    <n v="3687"/>
    <n v="2"/>
    <s v="No"/>
    <n v="19"/>
    <n v="3"/>
    <n v="2"/>
    <n v="2"/>
    <n v="10"/>
    <n v="2"/>
    <n v="3"/>
    <n v="0"/>
    <n v="0"/>
    <n v="0"/>
    <n v="0"/>
  </r>
  <r>
    <n v="31"/>
    <x v="1"/>
    <s v="Travel_Rarely"/>
    <n v="1463"/>
    <x v="1"/>
    <n v="23"/>
    <n v="3"/>
    <s v="Medical"/>
    <n v="367"/>
    <n v="2"/>
    <s v="Male"/>
    <n v="64"/>
    <n v="2"/>
    <n v="2"/>
    <s v="Healthcare Representative"/>
    <n v="4"/>
    <s v="Married"/>
    <n v="5582"/>
    <n v="14408"/>
    <n v="0"/>
    <s v="No"/>
    <n v="21"/>
    <n v="4"/>
    <n v="2"/>
    <n v="1"/>
    <n v="10"/>
    <n v="2"/>
    <n v="3"/>
    <n v="9"/>
    <n v="0"/>
    <n v="7"/>
    <n v="8"/>
  </r>
  <r>
    <n v="25"/>
    <x v="1"/>
    <s v="Non-Travel"/>
    <n v="675"/>
    <x v="1"/>
    <n v="5"/>
    <n v="2"/>
    <s v="Life Sciences"/>
    <n v="369"/>
    <n v="2"/>
    <s v="Male"/>
    <n v="85"/>
    <n v="4"/>
    <n v="2"/>
    <s v="Healthcare Representative"/>
    <n v="1"/>
    <s v="Divorced"/>
    <n v="4000"/>
    <n v="18384"/>
    <n v="1"/>
    <s v="No"/>
    <n v="12"/>
    <n v="3"/>
    <n v="4"/>
    <n v="2"/>
    <n v="6"/>
    <n v="2"/>
    <n v="3"/>
    <n v="6"/>
    <n v="3"/>
    <n v="1"/>
    <n v="5"/>
  </r>
  <r>
    <n v="45"/>
    <x v="1"/>
    <s v="Travel_Rarely"/>
    <n v="1385"/>
    <x v="1"/>
    <n v="20"/>
    <n v="2"/>
    <s v="Medical"/>
    <n v="372"/>
    <n v="3"/>
    <s v="Male"/>
    <n v="79"/>
    <n v="3"/>
    <n v="4"/>
    <s v="Healthcare Representative"/>
    <n v="4"/>
    <s v="Married"/>
    <n v="13496"/>
    <n v="7501"/>
    <n v="0"/>
    <s v="Yes"/>
    <n v="14"/>
    <n v="3"/>
    <n v="2"/>
    <n v="0"/>
    <n v="21"/>
    <n v="2"/>
    <n v="3"/>
    <n v="20"/>
    <n v="7"/>
    <n v="4"/>
    <n v="10"/>
  </r>
  <r>
    <n v="36"/>
    <x v="1"/>
    <s v="Travel_Rarely"/>
    <n v="1403"/>
    <x v="1"/>
    <n v="6"/>
    <n v="3"/>
    <s v="Life Sciences"/>
    <n v="373"/>
    <n v="4"/>
    <s v="Male"/>
    <n v="47"/>
    <n v="3"/>
    <n v="1"/>
    <s v="Laboratory Technician"/>
    <n v="4"/>
    <s v="Married"/>
    <n v="3210"/>
    <n v="20251"/>
    <n v="0"/>
    <s v="No"/>
    <n v="11"/>
    <n v="3"/>
    <n v="3"/>
    <n v="1"/>
    <n v="16"/>
    <n v="4"/>
    <n v="3"/>
    <n v="15"/>
    <n v="13"/>
    <n v="10"/>
    <n v="11"/>
  </r>
  <r>
    <n v="55"/>
    <x v="1"/>
    <s v="Travel_Rarely"/>
    <n v="452"/>
    <x v="1"/>
    <n v="1"/>
    <n v="3"/>
    <s v="Medical"/>
    <n v="374"/>
    <n v="4"/>
    <s v="Male"/>
    <n v="81"/>
    <n v="3"/>
    <n v="5"/>
    <s v="Manager"/>
    <n v="1"/>
    <s v="Single"/>
    <n v="19045"/>
    <n v="18938"/>
    <n v="0"/>
    <s v="Yes"/>
    <n v="14"/>
    <n v="3"/>
    <n v="3"/>
    <n v="0"/>
    <n v="37"/>
    <n v="2"/>
    <n v="3"/>
    <n v="36"/>
    <n v="10"/>
    <n v="4"/>
    <n v="13"/>
  </r>
  <r>
    <n v="47"/>
    <x v="0"/>
    <s v="Non-Travel"/>
    <n v="666"/>
    <x v="1"/>
    <n v="29"/>
    <n v="4"/>
    <s v="Life Sciences"/>
    <n v="376"/>
    <n v="1"/>
    <s v="Male"/>
    <n v="88"/>
    <n v="3"/>
    <n v="3"/>
    <s v="Manager"/>
    <n v="2"/>
    <s v="Married"/>
    <n v="11849"/>
    <n v="10268"/>
    <n v="1"/>
    <s v="Yes"/>
    <n v="12"/>
    <n v="3"/>
    <n v="4"/>
    <n v="1"/>
    <n v="10"/>
    <n v="2"/>
    <n v="2"/>
    <n v="10"/>
    <n v="7"/>
    <n v="9"/>
    <n v="9"/>
  </r>
  <r>
    <n v="28"/>
    <x v="1"/>
    <s v="Travel_Rarely"/>
    <n v="1158"/>
    <x v="1"/>
    <n v="9"/>
    <n v="3"/>
    <s v="Medical"/>
    <n v="377"/>
    <n v="4"/>
    <s v="Male"/>
    <n v="94"/>
    <n v="3"/>
    <n v="1"/>
    <s v="Research Scientist"/>
    <n v="4"/>
    <s v="Married"/>
    <n v="2070"/>
    <n v="2613"/>
    <n v="1"/>
    <s v="No"/>
    <n v="23"/>
    <n v="4"/>
    <n v="4"/>
    <n v="1"/>
    <n v="5"/>
    <n v="3"/>
    <n v="2"/>
    <n v="5"/>
    <n v="2"/>
    <n v="0"/>
    <n v="4"/>
  </r>
  <r>
    <n v="37"/>
    <x v="1"/>
    <s v="Travel_Rarely"/>
    <n v="228"/>
    <x v="0"/>
    <n v="6"/>
    <n v="4"/>
    <s v="Medical"/>
    <n v="378"/>
    <n v="3"/>
    <s v="Male"/>
    <n v="98"/>
    <n v="3"/>
    <n v="2"/>
    <s v="Sales Executive"/>
    <n v="4"/>
    <s v="Married"/>
    <n v="6502"/>
    <n v="22825"/>
    <n v="4"/>
    <s v="No"/>
    <n v="14"/>
    <n v="3"/>
    <n v="2"/>
    <n v="1"/>
    <n v="7"/>
    <n v="5"/>
    <n v="4"/>
    <n v="5"/>
    <n v="4"/>
    <n v="0"/>
    <n v="1"/>
  </r>
  <r>
    <n v="21"/>
    <x v="1"/>
    <s v="Travel_Rarely"/>
    <n v="996"/>
    <x v="1"/>
    <n v="3"/>
    <n v="2"/>
    <s v="Medical"/>
    <n v="379"/>
    <n v="4"/>
    <s v="Male"/>
    <n v="100"/>
    <n v="2"/>
    <n v="1"/>
    <s v="Research Scientist"/>
    <n v="3"/>
    <s v="Single"/>
    <n v="3230"/>
    <n v="10531"/>
    <n v="1"/>
    <s v="No"/>
    <n v="17"/>
    <n v="3"/>
    <n v="1"/>
    <n v="0"/>
    <n v="3"/>
    <n v="4"/>
    <n v="4"/>
    <n v="3"/>
    <n v="2"/>
    <n v="1"/>
    <n v="0"/>
  </r>
  <r>
    <n v="37"/>
    <x v="1"/>
    <s v="Non-Travel"/>
    <n v="728"/>
    <x v="1"/>
    <n v="1"/>
    <n v="4"/>
    <s v="Medical"/>
    <n v="380"/>
    <n v="1"/>
    <s v="Female"/>
    <n v="80"/>
    <n v="3"/>
    <n v="3"/>
    <s v="Research Director"/>
    <n v="4"/>
    <s v="Divorced"/>
    <n v="13603"/>
    <n v="11677"/>
    <n v="2"/>
    <s v="Yes"/>
    <n v="18"/>
    <n v="3"/>
    <n v="1"/>
    <n v="2"/>
    <n v="15"/>
    <n v="2"/>
    <n v="3"/>
    <n v="5"/>
    <n v="2"/>
    <n v="0"/>
    <n v="2"/>
  </r>
  <r>
    <n v="35"/>
    <x v="1"/>
    <s v="Travel_Rarely"/>
    <n v="1315"/>
    <x v="1"/>
    <n v="22"/>
    <n v="3"/>
    <s v="Life Sciences"/>
    <n v="381"/>
    <n v="2"/>
    <s v="Female"/>
    <n v="71"/>
    <n v="4"/>
    <n v="3"/>
    <s v="Manager"/>
    <n v="2"/>
    <s v="Divorced"/>
    <n v="11996"/>
    <n v="19100"/>
    <n v="7"/>
    <s v="No"/>
    <n v="18"/>
    <n v="3"/>
    <n v="2"/>
    <n v="1"/>
    <n v="10"/>
    <n v="6"/>
    <n v="2"/>
    <n v="7"/>
    <n v="7"/>
    <n v="6"/>
    <n v="2"/>
  </r>
  <r>
    <n v="38"/>
    <x v="1"/>
    <s v="Travel_Rarely"/>
    <n v="322"/>
    <x v="0"/>
    <n v="7"/>
    <n v="2"/>
    <s v="Medical"/>
    <n v="382"/>
    <n v="1"/>
    <s v="Female"/>
    <n v="44"/>
    <n v="4"/>
    <n v="2"/>
    <s v="Sales Executive"/>
    <n v="1"/>
    <s v="Divorced"/>
    <n v="5605"/>
    <n v="19191"/>
    <n v="1"/>
    <s v="Yes"/>
    <n v="24"/>
    <n v="4"/>
    <n v="3"/>
    <n v="1"/>
    <n v="8"/>
    <n v="3"/>
    <n v="3"/>
    <n v="8"/>
    <n v="0"/>
    <n v="7"/>
    <n v="7"/>
  </r>
  <r>
    <n v="26"/>
    <x v="1"/>
    <s v="Travel_Frequently"/>
    <n v="1479"/>
    <x v="1"/>
    <n v="1"/>
    <n v="3"/>
    <s v="Life Sciences"/>
    <n v="384"/>
    <n v="3"/>
    <s v="Female"/>
    <n v="84"/>
    <n v="3"/>
    <n v="2"/>
    <s v="Manufacturing Director"/>
    <n v="2"/>
    <s v="Divorced"/>
    <n v="6397"/>
    <n v="26767"/>
    <n v="1"/>
    <s v="No"/>
    <n v="20"/>
    <n v="4"/>
    <n v="1"/>
    <n v="1"/>
    <n v="6"/>
    <n v="6"/>
    <n v="1"/>
    <n v="6"/>
    <n v="5"/>
    <n v="1"/>
    <n v="4"/>
  </r>
  <r>
    <n v="50"/>
    <x v="1"/>
    <s v="Travel_Rarely"/>
    <n v="797"/>
    <x v="1"/>
    <n v="4"/>
    <n v="1"/>
    <s v="Life Sciences"/>
    <n v="385"/>
    <n v="1"/>
    <s v="Male"/>
    <n v="96"/>
    <n v="3"/>
    <n v="5"/>
    <s v="Research Director"/>
    <n v="2"/>
    <s v="Divorced"/>
    <n v="19144"/>
    <n v="15815"/>
    <n v="3"/>
    <s v="No"/>
    <n v="14"/>
    <n v="3"/>
    <n v="1"/>
    <n v="2"/>
    <n v="28"/>
    <n v="4"/>
    <n v="2"/>
    <n v="10"/>
    <n v="4"/>
    <n v="1"/>
    <n v="6"/>
  </r>
  <r>
    <n v="53"/>
    <x v="1"/>
    <s v="Travel_Rarely"/>
    <n v="1070"/>
    <x v="1"/>
    <n v="3"/>
    <n v="4"/>
    <s v="Medical"/>
    <n v="386"/>
    <n v="3"/>
    <s v="Male"/>
    <n v="45"/>
    <n v="3"/>
    <n v="4"/>
    <s v="Research Director"/>
    <n v="3"/>
    <s v="Married"/>
    <n v="17584"/>
    <n v="21016"/>
    <n v="3"/>
    <s v="Yes"/>
    <n v="16"/>
    <n v="3"/>
    <n v="4"/>
    <n v="3"/>
    <n v="21"/>
    <n v="5"/>
    <n v="2"/>
    <n v="5"/>
    <n v="3"/>
    <n v="1"/>
    <n v="3"/>
  </r>
  <r>
    <n v="42"/>
    <x v="1"/>
    <s v="Travel_Rarely"/>
    <n v="635"/>
    <x v="0"/>
    <n v="1"/>
    <n v="1"/>
    <s v="Life Sciences"/>
    <n v="387"/>
    <n v="2"/>
    <s v="Male"/>
    <n v="99"/>
    <n v="3"/>
    <n v="2"/>
    <s v="Sales Executive"/>
    <n v="3"/>
    <s v="Married"/>
    <n v="4907"/>
    <n v="24532"/>
    <n v="1"/>
    <s v="No"/>
    <n v="25"/>
    <n v="4"/>
    <n v="3"/>
    <n v="0"/>
    <n v="20"/>
    <n v="3"/>
    <n v="3"/>
    <n v="20"/>
    <n v="16"/>
    <n v="11"/>
    <n v="6"/>
  </r>
  <r>
    <n v="29"/>
    <x v="1"/>
    <s v="Travel_Frequently"/>
    <n v="442"/>
    <x v="0"/>
    <n v="2"/>
    <n v="2"/>
    <s v="Life Sciences"/>
    <n v="388"/>
    <n v="2"/>
    <s v="Male"/>
    <n v="44"/>
    <n v="3"/>
    <n v="2"/>
    <s v="Sales Executive"/>
    <n v="4"/>
    <s v="Single"/>
    <n v="4554"/>
    <n v="20260"/>
    <n v="1"/>
    <s v="No"/>
    <n v="18"/>
    <n v="3"/>
    <n v="1"/>
    <n v="0"/>
    <n v="10"/>
    <n v="3"/>
    <n v="2"/>
    <n v="10"/>
    <n v="7"/>
    <n v="0"/>
    <n v="9"/>
  </r>
  <r>
    <n v="55"/>
    <x v="1"/>
    <s v="Travel_Rarely"/>
    <n v="147"/>
    <x v="1"/>
    <n v="20"/>
    <n v="2"/>
    <s v="Technical Degree"/>
    <n v="389"/>
    <n v="2"/>
    <s v="Male"/>
    <n v="37"/>
    <n v="3"/>
    <n v="2"/>
    <s v="Laboratory Technician"/>
    <n v="4"/>
    <s v="Married"/>
    <n v="5415"/>
    <n v="15972"/>
    <n v="3"/>
    <s v="Yes"/>
    <n v="19"/>
    <n v="3"/>
    <n v="4"/>
    <n v="1"/>
    <n v="12"/>
    <n v="4"/>
    <n v="3"/>
    <n v="10"/>
    <n v="7"/>
    <n v="0"/>
    <n v="8"/>
  </r>
  <r>
    <n v="26"/>
    <x v="1"/>
    <s v="Travel_Frequently"/>
    <n v="496"/>
    <x v="1"/>
    <n v="11"/>
    <n v="2"/>
    <s v="Medical"/>
    <n v="390"/>
    <n v="1"/>
    <s v="Male"/>
    <n v="60"/>
    <n v="3"/>
    <n v="2"/>
    <s v="Healthcare Representative"/>
    <n v="1"/>
    <s v="Married"/>
    <n v="4741"/>
    <n v="22722"/>
    <n v="1"/>
    <s v="Yes"/>
    <n v="13"/>
    <n v="3"/>
    <n v="3"/>
    <n v="1"/>
    <n v="5"/>
    <n v="3"/>
    <n v="3"/>
    <n v="5"/>
    <n v="3"/>
    <n v="3"/>
    <n v="3"/>
  </r>
  <r>
    <n v="37"/>
    <x v="1"/>
    <s v="Travel_Rarely"/>
    <n v="1372"/>
    <x v="1"/>
    <n v="1"/>
    <n v="3"/>
    <s v="Life Sciences"/>
    <n v="391"/>
    <n v="4"/>
    <s v="Female"/>
    <n v="42"/>
    <n v="3"/>
    <n v="1"/>
    <s v="Research Scientist"/>
    <n v="4"/>
    <s v="Single"/>
    <n v="2115"/>
    <n v="15881"/>
    <n v="1"/>
    <s v="No"/>
    <n v="12"/>
    <n v="3"/>
    <n v="2"/>
    <n v="0"/>
    <n v="17"/>
    <n v="3"/>
    <n v="3"/>
    <n v="17"/>
    <n v="12"/>
    <n v="5"/>
    <n v="7"/>
  </r>
  <r>
    <n v="44"/>
    <x v="0"/>
    <s v="Travel_Frequently"/>
    <n v="920"/>
    <x v="1"/>
    <n v="24"/>
    <n v="3"/>
    <s v="Life Sciences"/>
    <n v="392"/>
    <n v="4"/>
    <s v="Male"/>
    <n v="43"/>
    <n v="3"/>
    <n v="1"/>
    <s v="Laboratory Technician"/>
    <n v="3"/>
    <s v="Divorced"/>
    <n v="3161"/>
    <n v="19920"/>
    <n v="3"/>
    <s v="Yes"/>
    <n v="22"/>
    <n v="4"/>
    <n v="4"/>
    <n v="1"/>
    <n v="19"/>
    <n v="0"/>
    <n v="1"/>
    <n v="1"/>
    <n v="0"/>
    <n v="0"/>
    <n v="0"/>
  </r>
  <r>
    <n v="38"/>
    <x v="1"/>
    <s v="Travel_Rarely"/>
    <n v="688"/>
    <x v="1"/>
    <n v="23"/>
    <n v="4"/>
    <s v="Life Sciences"/>
    <n v="393"/>
    <n v="4"/>
    <s v="Male"/>
    <n v="82"/>
    <n v="3"/>
    <n v="2"/>
    <s v="Healthcare Representative"/>
    <n v="4"/>
    <s v="Divorced"/>
    <n v="5745"/>
    <n v="18899"/>
    <n v="9"/>
    <s v="No"/>
    <n v="14"/>
    <n v="3"/>
    <n v="2"/>
    <n v="1"/>
    <n v="10"/>
    <n v="2"/>
    <n v="3"/>
    <n v="2"/>
    <n v="2"/>
    <n v="1"/>
    <n v="2"/>
  </r>
  <r>
    <n v="26"/>
    <x v="0"/>
    <s v="Travel_Rarely"/>
    <n v="1449"/>
    <x v="1"/>
    <n v="16"/>
    <n v="4"/>
    <s v="Medical"/>
    <n v="394"/>
    <n v="1"/>
    <s v="Male"/>
    <n v="45"/>
    <n v="3"/>
    <n v="1"/>
    <s v="Laboratory Technician"/>
    <n v="2"/>
    <s v="Divorced"/>
    <n v="2373"/>
    <n v="14180"/>
    <n v="2"/>
    <s v="Yes"/>
    <n v="13"/>
    <n v="3"/>
    <n v="4"/>
    <n v="1"/>
    <n v="5"/>
    <n v="2"/>
    <n v="3"/>
    <n v="3"/>
    <n v="2"/>
    <n v="0"/>
    <n v="2"/>
  </r>
  <r>
    <n v="28"/>
    <x v="1"/>
    <s v="Travel_Rarely"/>
    <n v="1117"/>
    <x v="1"/>
    <n v="8"/>
    <n v="2"/>
    <s v="Life Sciences"/>
    <n v="395"/>
    <n v="4"/>
    <s v="Female"/>
    <n v="66"/>
    <n v="3"/>
    <n v="1"/>
    <s v="Research Scientist"/>
    <n v="4"/>
    <s v="Single"/>
    <n v="3310"/>
    <n v="4488"/>
    <n v="1"/>
    <s v="No"/>
    <n v="21"/>
    <n v="4"/>
    <n v="4"/>
    <n v="0"/>
    <n v="5"/>
    <n v="3"/>
    <n v="3"/>
    <n v="5"/>
    <n v="3"/>
    <n v="0"/>
    <n v="2"/>
  </r>
  <r>
    <n v="49"/>
    <x v="1"/>
    <s v="Travel_Frequently"/>
    <n v="636"/>
    <x v="1"/>
    <n v="10"/>
    <n v="4"/>
    <s v="Life Sciences"/>
    <n v="396"/>
    <n v="3"/>
    <s v="Female"/>
    <n v="35"/>
    <n v="3"/>
    <n v="5"/>
    <s v="Research Director"/>
    <n v="1"/>
    <s v="Single"/>
    <n v="18665"/>
    <n v="25594"/>
    <n v="9"/>
    <s v="Yes"/>
    <n v="11"/>
    <n v="3"/>
    <n v="4"/>
    <n v="0"/>
    <n v="22"/>
    <n v="4"/>
    <n v="3"/>
    <n v="3"/>
    <n v="2"/>
    <n v="1"/>
    <n v="2"/>
  </r>
  <r>
    <n v="36"/>
    <x v="1"/>
    <s v="Travel_Rarely"/>
    <n v="506"/>
    <x v="1"/>
    <n v="3"/>
    <n v="3"/>
    <s v="Technical Degree"/>
    <n v="397"/>
    <n v="3"/>
    <s v="Male"/>
    <n v="30"/>
    <n v="3"/>
    <n v="2"/>
    <s v="Research Scientist"/>
    <n v="2"/>
    <s v="Single"/>
    <n v="4485"/>
    <n v="26285"/>
    <n v="4"/>
    <s v="No"/>
    <n v="12"/>
    <n v="3"/>
    <n v="4"/>
    <n v="0"/>
    <n v="10"/>
    <n v="2"/>
    <n v="3"/>
    <n v="8"/>
    <n v="0"/>
    <n v="7"/>
    <n v="7"/>
  </r>
  <r>
    <n v="31"/>
    <x v="1"/>
    <s v="Travel_Frequently"/>
    <n v="444"/>
    <x v="0"/>
    <n v="5"/>
    <n v="3"/>
    <s v="Marketing"/>
    <n v="399"/>
    <n v="4"/>
    <s v="Female"/>
    <n v="84"/>
    <n v="3"/>
    <n v="1"/>
    <s v="Sales Representative"/>
    <n v="2"/>
    <s v="Divorced"/>
    <n v="2789"/>
    <n v="3909"/>
    <n v="1"/>
    <s v="No"/>
    <n v="11"/>
    <n v="3"/>
    <n v="3"/>
    <n v="1"/>
    <n v="2"/>
    <n v="5"/>
    <n v="2"/>
    <n v="2"/>
    <n v="2"/>
    <n v="2"/>
    <n v="2"/>
  </r>
  <r>
    <n v="26"/>
    <x v="0"/>
    <s v="Travel_Rarely"/>
    <n v="950"/>
    <x v="0"/>
    <n v="4"/>
    <n v="4"/>
    <s v="Marketing"/>
    <n v="401"/>
    <n v="4"/>
    <s v="Male"/>
    <n v="48"/>
    <n v="2"/>
    <n v="2"/>
    <s v="Sales Executive"/>
    <n v="4"/>
    <s v="Single"/>
    <n v="5828"/>
    <n v="8450"/>
    <n v="1"/>
    <s v="Yes"/>
    <n v="12"/>
    <n v="3"/>
    <n v="2"/>
    <n v="0"/>
    <n v="8"/>
    <n v="0"/>
    <n v="3"/>
    <n v="8"/>
    <n v="7"/>
    <n v="7"/>
    <n v="4"/>
  </r>
  <r>
    <n v="37"/>
    <x v="1"/>
    <s v="Travel_Frequently"/>
    <n v="889"/>
    <x v="1"/>
    <n v="9"/>
    <n v="3"/>
    <s v="Medical"/>
    <n v="403"/>
    <n v="2"/>
    <s v="Male"/>
    <n v="53"/>
    <n v="3"/>
    <n v="1"/>
    <s v="Research Scientist"/>
    <n v="4"/>
    <s v="Married"/>
    <n v="2326"/>
    <n v="11411"/>
    <n v="1"/>
    <s v="Yes"/>
    <n v="12"/>
    <n v="3"/>
    <n v="3"/>
    <n v="3"/>
    <n v="4"/>
    <n v="3"/>
    <n v="2"/>
    <n v="4"/>
    <n v="2"/>
    <n v="1"/>
    <n v="2"/>
  </r>
  <r>
    <n v="42"/>
    <x v="1"/>
    <s v="Travel_Frequently"/>
    <n v="555"/>
    <x v="0"/>
    <n v="26"/>
    <n v="3"/>
    <s v="Marketing"/>
    <n v="404"/>
    <n v="3"/>
    <s v="Female"/>
    <n v="77"/>
    <n v="3"/>
    <n v="4"/>
    <s v="Sales Executive"/>
    <n v="2"/>
    <s v="Married"/>
    <n v="13525"/>
    <n v="14864"/>
    <n v="5"/>
    <s v="No"/>
    <n v="14"/>
    <n v="3"/>
    <n v="4"/>
    <n v="1"/>
    <n v="23"/>
    <n v="2"/>
    <n v="4"/>
    <n v="20"/>
    <n v="4"/>
    <n v="4"/>
    <n v="8"/>
  </r>
  <r>
    <n v="18"/>
    <x v="0"/>
    <s v="Travel_Rarely"/>
    <n v="230"/>
    <x v="1"/>
    <n v="3"/>
    <n v="3"/>
    <s v="Life Sciences"/>
    <n v="405"/>
    <n v="3"/>
    <s v="Male"/>
    <n v="54"/>
    <n v="3"/>
    <n v="1"/>
    <s v="Laboratory Technician"/>
    <n v="3"/>
    <s v="Single"/>
    <n v="1420"/>
    <n v="25233"/>
    <n v="1"/>
    <s v="No"/>
    <n v="13"/>
    <n v="3"/>
    <n v="3"/>
    <n v="0"/>
    <n v="0"/>
    <n v="2"/>
    <n v="3"/>
    <n v="0"/>
    <n v="0"/>
    <n v="0"/>
    <n v="0"/>
  </r>
  <r>
    <n v="35"/>
    <x v="1"/>
    <s v="Travel_Rarely"/>
    <n v="1232"/>
    <x v="0"/>
    <n v="16"/>
    <n v="3"/>
    <s v="Marketing"/>
    <n v="406"/>
    <n v="3"/>
    <s v="Male"/>
    <n v="96"/>
    <n v="3"/>
    <n v="3"/>
    <s v="Sales Executive"/>
    <n v="2"/>
    <s v="Married"/>
    <n v="8020"/>
    <n v="5100"/>
    <n v="0"/>
    <s v="No"/>
    <n v="15"/>
    <n v="3"/>
    <n v="3"/>
    <n v="2"/>
    <n v="12"/>
    <n v="3"/>
    <n v="2"/>
    <n v="11"/>
    <n v="9"/>
    <n v="6"/>
    <n v="9"/>
  </r>
  <r>
    <n v="36"/>
    <x v="1"/>
    <s v="Travel_Frequently"/>
    <n v="566"/>
    <x v="1"/>
    <n v="18"/>
    <n v="4"/>
    <s v="Life Sciences"/>
    <n v="407"/>
    <n v="3"/>
    <s v="Male"/>
    <n v="81"/>
    <n v="4"/>
    <n v="1"/>
    <s v="Laboratory Technician"/>
    <n v="4"/>
    <s v="Married"/>
    <n v="3688"/>
    <n v="7122"/>
    <n v="4"/>
    <s v="No"/>
    <n v="18"/>
    <n v="3"/>
    <n v="4"/>
    <n v="2"/>
    <n v="4"/>
    <n v="2"/>
    <n v="3"/>
    <n v="1"/>
    <n v="0"/>
    <n v="0"/>
    <n v="0"/>
  </r>
  <r>
    <n v="51"/>
    <x v="1"/>
    <s v="Travel_Rarely"/>
    <n v="1302"/>
    <x v="1"/>
    <n v="2"/>
    <n v="3"/>
    <s v="Medical"/>
    <n v="408"/>
    <n v="4"/>
    <s v="Male"/>
    <n v="84"/>
    <n v="1"/>
    <n v="2"/>
    <s v="Manufacturing Director"/>
    <n v="2"/>
    <s v="Divorced"/>
    <n v="5482"/>
    <n v="16321"/>
    <n v="5"/>
    <s v="No"/>
    <n v="18"/>
    <n v="3"/>
    <n v="4"/>
    <n v="1"/>
    <n v="13"/>
    <n v="3"/>
    <n v="3"/>
    <n v="4"/>
    <n v="1"/>
    <n v="1"/>
    <n v="2"/>
  </r>
  <r>
    <n v="41"/>
    <x v="1"/>
    <s v="Travel_Rarely"/>
    <n v="334"/>
    <x v="0"/>
    <n v="2"/>
    <n v="4"/>
    <s v="Life Sciences"/>
    <n v="410"/>
    <n v="4"/>
    <s v="Male"/>
    <n v="88"/>
    <n v="3"/>
    <n v="4"/>
    <s v="Manager"/>
    <n v="2"/>
    <s v="Single"/>
    <n v="16015"/>
    <n v="15896"/>
    <n v="1"/>
    <s v="No"/>
    <n v="19"/>
    <n v="3"/>
    <n v="2"/>
    <n v="0"/>
    <n v="22"/>
    <n v="2"/>
    <n v="3"/>
    <n v="22"/>
    <n v="10"/>
    <n v="0"/>
    <n v="4"/>
  </r>
  <r>
    <n v="18"/>
    <x v="1"/>
    <s v="Travel_Rarely"/>
    <n v="812"/>
    <x v="0"/>
    <n v="10"/>
    <n v="3"/>
    <s v="Medical"/>
    <n v="411"/>
    <n v="4"/>
    <s v="Female"/>
    <n v="69"/>
    <n v="2"/>
    <n v="1"/>
    <s v="Sales Representative"/>
    <n v="3"/>
    <s v="Single"/>
    <n v="1200"/>
    <n v="9724"/>
    <n v="1"/>
    <s v="No"/>
    <n v="12"/>
    <n v="3"/>
    <n v="1"/>
    <n v="0"/>
    <n v="0"/>
    <n v="2"/>
    <n v="3"/>
    <n v="0"/>
    <n v="0"/>
    <n v="0"/>
    <n v="0"/>
  </r>
  <r>
    <n v="28"/>
    <x v="1"/>
    <s v="Travel_Rarely"/>
    <n v="1476"/>
    <x v="1"/>
    <n v="16"/>
    <n v="2"/>
    <s v="Medical"/>
    <n v="412"/>
    <n v="2"/>
    <s v="Male"/>
    <n v="68"/>
    <n v="4"/>
    <n v="2"/>
    <s v="Healthcare Representative"/>
    <n v="1"/>
    <s v="Single"/>
    <n v="5661"/>
    <n v="4824"/>
    <n v="0"/>
    <s v="No"/>
    <n v="19"/>
    <n v="3"/>
    <n v="3"/>
    <n v="0"/>
    <n v="9"/>
    <n v="2"/>
    <n v="3"/>
    <n v="8"/>
    <n v="3"/>
    <n v="0"/>
    <n v="7"/>
  </r>
  <r>
    <n v="31"/>
    <x v="1"/>
    <s v="Travel_Rarely"/>
    <n v="218"/>
    <x v="0"/>
    <n v="7"/>
    <n v="3"/>
    <s v="Technical Degree"/>
    <n v="416"/>
    <n v="2"/>
    <s v="Male"/>
    <n v="100"/>
    <n v="4"/>
    <n v="2"/>
    <s v="Sales Executive"/>
    <n v="4"/>
    <s v="Married"/>
    <n v="6929"/>
    <n v="12241"/>
    <n v="4"/>
    <s v="No"/>
    <n v="11"/>
    <n v="3"/>
    <n v="2"/>
    <n v="1"/>
    <n v="10"/>
    <n v="3"/>
    <n v="2"/>
    <n v="8"/>
    <n v="7"/>
    <n v="7"/>
    <n v="7"/>
  </r>
  <r>
    <n v="39"/>
    <x v="1"/>
    <s v="Travel_Rarely"/>
    <n v="1132"/>
    <x v="1"/>
    <n v="1"/>
    <n v="3"/>
    <s v="Medical"/>
    <n v="417"/>
    <n v="3"/>
    <s v="Male"/>
    <n v="48"/>
    <n v="4"/>
    <n v="3"/>
    <s v="Healthcare Representative"/>
    <n v="4"/>
    <s v="Divorced"/>
    <n v="9613"/>
    <n v="10942"/>
    <n v="0"/>
    <s v="No"/>
    <n v="17"/>
    <n v="3"/>
    <n v="1"/>
    <n v="3"/>
    <n v="19"/>
    <n v="5"/>
    <n v="2"/>
    <n v="18"/>
    <n v="10"/>
    <n v="3"/>
    <n v="7"/>
  </r>
  <r>
    <n v="36"/>
    <x v="1"/>
    <s v="Non-Travel"/>
    <n v="1105"/>
    <x v="1"/>
    <n v="24"/>
    <n v="4"/>
    <s v="Life Sciences"/>
    <n v="419"/>
    <n v="2"/>
    <s v="Female"/>
    <n v="47"/>
    <n v="3"/>
    <n v="2"/>
    <s v="Laboratory Technician"/>
    <n v="2"/>
    <s v="Married"/>
    <n v="5674"/>
    <n v="6927"/>
    <n v="7"/>
    <s v="No"/>
    <n v="15"/>
    <n v="3"/>
    <n v="3"/>
    <n v="1"/>
    <n v="11"/>
    <n v="3"/>
    <n v="3"/>
    <n v="9"/>
    <n v="8"/>
    <n v="0"/>
    <n v="8"/>
  </r>
  <r>
    <n v="32"/>
    <x v="1"/>
    <s v="Travel_Rarely"/>
    <n v="906"/>
    <x v="0"/>
    <n v="7"/>
    <n v="3"/>
    <s v="Life Sciences"/>
    <n v="420"/>
    <n v="4"/>
    <s v="Male"/>
    <n v="91"/>
    <n v="2"/>
    <n v="2"/>
    <s v="Sales Executive"/>
    <n v="3"/>
    <s v="Married"/>
    <n v="5484"/>
    <n v="16985"/>
    <n v="1"/>
    <s v="No"/>
    <n v="14"/>
    <n v="3"/>
    <n v="3"/>
    <n v="1"/>
    <n v="13"/>
    <n v="3"/>
    <n v="2"/>
    <n v="13"/>
    <n v="8"/>
    <n v="4"/>
    <n v="8"/>
  </r>
  <r>
    <n v="38"/>
    <x v="1"/>
    <s v="Travel_Rarely"/>
    <n v="849"/>
    <x v="1"/>
    <n v="25"/>
    <n v="2"/>
    <s v="Life Sciences"/>
    <n v="421"/>
    <n v="1"/>
    <s v="Female"/>
    <n v="81"/>
    <n v="2"/>
    <n v="3"/>
    <s v="Research Director"/>
    <n v="2"/>
    <s v="Married"/>
    <n v="12061"/>
    <n v="26707"/>
    <n v="3"/>
    <s v="No"/>
    <n v="17"/>
    <n v="3"/>
    <n v="3"/>
    <n v="1"/>
    <n v="19"/>
    <n v="2"/>
    <n v="3"/>
    <n v="10"/>
    <n v="8"/>
    <n v="0"/>
    <n v="1"/>
  </r>
  <r>
    <n v="58"/>
    <x v="1"/>
    <s v="Non-Travel"/>
    <n v="390"/>
    <x v="1"/>
    <n v="1"/>
    <n v="4"/>
    <s v="Life Sciences"/>
    <n v="422"/>
    <n v="4"/>
    <s v="Male"/>
    <n v="32"/>
    <n v="1"/>
    <n v="2"/>
    <s v="Healthcare Representative"/>
    <n v="3"/>
    <s v="Divorced"/>
    <n v="5660"/>
    <n v="17056"/>
    <n v="2"/>
    <s v="Yes"/>
    <n v="13"/>
    <n v="3"/>
    <n v="4"/>
    <n v="1"/>
    <n v="12"/>
    <n v="2"/>
    <n v="3"/>
    <n v="5"/>
    <n v="3"/>
    <n v="1"/>
    <n v="2"/>
  </r>
  <r>
    <n v="31"/>
    <x v="1"/>
    <s v="Travel_Rarely"/>
    <n v="691"/>
    <x v="1"/>
    <n v="5"/>
    <n v="4"/>
    <s v="Technical Degree"/>
    <n v="423"/>
    <n v="3"/>
    <s v="Male"/>
    <n v="86"/>
    <n v="3"/>
    <n v="1"/>
    <s v="Research Scientist"/>
    <n v="4"/>
    <s v="Married"/>
    <n v="4821"/>
    <n v="10077"/>
    <n v="0"/>
    <s v="Yes"/>
    <n v="12"/>
    <n v="3"/>
    <n v="3"/>
    <n v="1"/>
    <n v="6"/>
    <n v="4"/>
    <n v="3"/>
    <n v="5"/>
    <n v="2"/>
    <n v="0"/>
    <n v="3"/>
  </r>
  <r>
    <n v="31"/>
    <x v="1"/>
    <s v="Travel_Rarely"/>
    <n v="106"/>
    <x v="2"/>
    <n v="2"/>
    <n v="3"/>
    <s v="Human Resources"/>
    <n v="424"/>
    <n v="1"/>
    <s v="Male"/>
    <n v="62"/>
    <n v="2"/>
    <n v="2"/>
    <s v="Human Resources"/>
    <n v="1"/>
    <s v="Married"/>
    <n v="6410"/>
    <n v="17822"/>
    <n v="3"/>
    <s v="No"/>
    <n v="12"/>
    <n v="3"/>
    <n v="4"/>
    <n v="0"/>
    <n v="9"/>
    <n v="1"/>
    <n v="3"/>
    <n v="2"/>
    <n v="2"/>
    <n v="1"/>
    <n v="0"/>
  </r>
  <r>
    <n v="45"/>
    <x v="1"/>
    <s v="Travel_Frequently"/>
    <n v="1249"/>
    <x v="1"/>
    <n v="7"/>
    <n v="3"/>
    <s v="Life Sciences"/>
    <n v="425"/>
    <n v="1"/>
    <s v="Male"/>
    <n v="97"/>
    <n v="3"/>
    <n v="3"/>
    <s v="Laboratory Technician"/>
    <n v="1"/>
    <s v="Divorced"/>
    <n v="5210"/>
    <n v="20308"/>
    <n v="1"/>
    <s v="No"/>
    <n v="18"/>
    <n v="3"/>
    <n v="1"/>
    <n v="1"/>
    <n v="24"/>
    <n v="2"/>
    <n v="3"/>
    <n v="24"/>
    <n v="9"/>
    <n v="9"/>
    <n v="11"/>
  </r>
  <r>
    <n v="31"/>
    <x v="1"/>
    <s v="Travel_Rarely"/>
    <n v="192"/>
    <x v="1"/>
    <n v="2"/>
    <n v="4"/>
    <s v="Life Sciences"/>
    <n v="426"/>
    <n v="3"/>
    <s v="Male"/>
    <n v="32"/>
    <n v="3"/>
    <n v="1"/>
    <s v="Research Scientist"/>
    <n v="4"/>
    <s v="Divorced"/>
    <n v="2695"/>
    <n v="7747"/>
    <n v="0"/>
    <s v="Yes"/>
    <n v="18"/>
    <n v="3"/>
    <n v="2"/>
    <n v="1"/>
    <n v="3"/>
    <n v="2"/>
    <n v="1"/>
    <n v="2"/>
    <n v="2"/>
    <n v="2"/>
    <n v="2"/>
  </r>
  <r>
    <n v="33"/>
    <x v="1"/>
    <s v="Travel_Frequently"/>
    <n v="553"/>
    <x v="1"/>
    <n v="5"/>
    <n v="4"/>
    <s v="Life Sciences"/>
    <n v="428"/>
    <n v="4"/>
    <s v="Female"/>
    <n v="74"/>
    <n v="3"/>
    <n v="3"/>
    <s v="Manager"/>
    <n v="2"/>
    <s v="Married"/>
    <n v="11878"/>
    <n v="23364"/>
    <n v="6"/>
    <s v="No"/>
    <n v="11"/>
    <n v="3"/>
    <n v="2"/>
    <n v="2"/>
    <n v="12"/>
    <n v="2"/>
    <n v="3"/>
    <n v="10"/>
    <n v="6"/>
    <n v="8"/>
    <n v="8"/>
  </r>
  <r>
    <n v="39"/>
    <x v="1"/>
    <s v="Travel_Rarely"/>
    <n v="117"/>
    <x v="1"/>
    <n v="10"/>
    <n v="1"/>
    <s v="Medical"/>
    <n v="429"/>
    <n v="3"/>
    <s v="Male"/>
    <n v="99"/>
    <n v="3"/>
    <n v="4"/>
    <s v="Manager"/>
    <n v="1"/>
    <s v="Married"/>
    <n v="17068"/>
    <n v="5355"/>
    <n v="1"/>
    <s v="Yes"/>
    <n v="14"/>
    <n v="3"/>
    <n v="4"/>
    <n v="0"/>
    <n v="21"/>
    <n v="3"/>
    <n v="3"/>
    <n v="21"/>
    <n v="9"/>
    <n v="11"/>
    <n v="10"/>
  </r>
  <r>
    <n v="43"/>
    <x v="1"/>
    <s v="Travel_Frequently"/>
    <n v="185"/>
    <x v="1"/>
    <n v="10"/>
    <n v="4"/>
    <s v="Life Sciences"/>
    <n v="430"/>
    <n v="3"/>
    <s v="Female"/>
    <n v="33"/>
    <n v="3"/>
    <n v="1"/>
    <s v="Laboratory Technician"/>
    <n v="4"/>
    <s v="Single"/>
    <n v="2455"/>
    <n v="10675"/>
    <n v="0"/>
    <s v="No"/>
    <n v="19"/>
    <n v="3"/>
    <n v="1"/>
    <n v="0"/>
    <n v="9"/>
    <n v="5"/>
    <n v="3"/>
    <n v="8"/>
    <n v="7"/>
    <n v="1"/>
    <n v="7"/>
  </r>
  <r>
    <n v="49"/>
    <x v="1"/>
    <s v="Travel_Rarely"/>
    <n v="1091"/>
    <x v="1"/>
    <n v="1"/>
    <n v="2"/>
    <s v="Technical Degree"/>
    <n v="431"/>
    <n v="3"/>
    <s v="Female"/>
    <n v="90"/>
    <n v="2"/>
    <n v="4"/>
    <s v="Healthcare Representative"/>
    <n v="3"/>
    <s v="Single"/>
    <n v="13964"/>
    <n v="17810"/>
    <n v="7"/>
    <s v="Yes"/>
    <n v="12"/>
    <n v="3"/>
    <n v="4"/>
    <n v="0"/>
    <n v="25"/>
    <n v="2"/>
    <n v="3"/>
    <n v="7"/>
    <n v="1"/>
    <n v="0"/>
    <n v="7"/>
  </r>
  <r>
    <n v="52"/>
    <x v="0"/>
    <s v="Travel_Rarely"/>
    <n v="723"/>
    <x v="1"/>
    <n v="8"/>
    <n v="4"/>
    <s v="Medical"/>
    <n v="433"/>
    <n v="3"/>
    <s v="Male"/>
    <n v="85"/>
    <n v="2"/>
    <n v="2"/>
    <s v="Research Scientist"/>
    <n v="2"/>
    <s v="Married"/>
    <n v="4941"/>
    <n v="17747"/>
    <n v="2"/>
    <s v="No"/>
    <n v="15"/>
    <n v="3"/>
    <n v="1"/>
    <n v="0"/>
    <n v="11"/>
    <n v="3"/>
    <n v="2"/>
    <n v="8"/>
    <n v="2"/>
    <n v="7"/>
    <n v="7"/>
  </r>
  <r>
    <n v="27"/>
    <x v="1"/>
    <s v="Travel_Rarely"/>
    <n v="1220"/>
    <x v="1"/>
    <n v="5"/>
    <n v="3"/>
    <s v="Life Sciences"/>
    <n v="434"/>
    <n v="3"/>
    <s v="Female"/>
    <n v="85"/>
    <n v="3"/>
    <n v="1"/>
    <s v="Research Scientist"/>
    <n v="2"/>
    <s v="Single"/>
    <n v="2478"/>
    <n v="20938"/>
    <n v="1"/>
    <s v="Yes"/>
    <n v="12"/>
    <n v="3"/>
    <n v="2"/>
    <n v="0"/>
    <n v="4"/>
    <n v="2"/>
    <n v="2"/>
    <n v="4"/>
    <n v="3"/>
    <n v="1"/>
    <n v="2"/>
  </r>
  <r>
    <n v="32"/>
    <x v="1"/>
    <s v="Travel_Rarely"/>
    <n v="588"/>
    <x v="0"/>
    <n v="8"/>
    <n v="2"/>
    <s v="Technical Degree"/>
    <n v="436"/>
    <n v="3"/>
    <s v="Female"/>
    <n v="65"/>
    <n v="2"/>
    <n v="2"/>
    <s v="Sales Executive"/>
    <n v="2"/>
    <s v="Married"/>
    <n v="5228"/>
    <n v="24624"/>
    <n v="1"/>
    <s v="Yes"/>
    <n v="11"/>
    <n v="3"/>
    <n v="4"/>
    <n v="0"/>
    <n v="13"/>
    <n v="2"/>
    <n v="3"/>
    <n v="13"/>
    <n v="12"/>
    <n v="11"/>
    <n v="9"/>
  </r>
  <r>
    <n v="27"/>
    <x v="1"/>
    <s v="Travel_Rarely"/>
    <n v="1377"/>
    <x v="0"/>
    <n v="2"/>
    <n v="3"/>
    <s v="Life Sciences"/>
    <n v="437"/>
    <n v="4"/>
    <s v="Male"/>
    <n v="74"/>
    <n v="3"/>
    <n v="2"/>
    <s v="Sales Executive"/>
    <n v="3"/>
    <s v="Single"/>
    <n v="4478"/>
    <n v="5242"/>
    <n v="1"/>
    <s v="Yes"/>
    <n v="11"/>
    <n v="3"/>
    <n v="1"/>
    <n v="0"/>
    <n v="5"/>
    <n v="3"/>
    <n v="3"/>
    <n v="5"/>
    <n v="4"/>
    <n v="0"/>
    <n v="4"/>
  </r>
  <r>
    <n v="31"/>
    <x v="1"/>
    <s v="Travel_Rarely"/>
    <n v="691"/>
    <x v="0"/>
    <n v="7"/>
    <n v="3"/>
    <s v="Marketing"/>
    <n v="438"/>
    <n v="4"/>
    <s v="Male"/>
    <n v="73"/>
    <n v="3"/>
    <n v="2"/>
    <s v="Sales Executive"/>
    <n v="4"/>
    <s v="Divorced"/>
    <n v="7547"/>
    <n v="7143"/>
    <n v="4"/>
    <s v="No"/>
    <n v="12"/>
    <n v="3"/>
    <n v="4"/>
    <n v="3"/>
    <n v="13"/>
    <n v="3"/>
    <n v="3"/>
    <n v="7"/>
    <n v="7"/>
    <n v="1"/>
    <n v="7"/>
  </r>
  <r>
    <n v="32"/>
    <x v="1"/>
    <s v="Travel_Rarely"/>
    <n v="1018"/>
    <x v="1"/>
    <n v="2"/>
    <n v="4"/>
    <s v="Medical"/>
    <n v="439"/>
    <n v="1"/>
    <s v="Female"/>
    <n v="74"/>
    <n v="4"/>
    <n v="2"/>
    <s v="Research Scientist"/>
    <n v="4"/>
    <s v="Single"/>
    <n v="5055"/>
    <n v="10557"/>
    <n v="7"/>
    <s v="No"/>
    <n v="16"/>
    <n v="3"/>
    <n v="3"/>
    <n v="0"/>
    <n v="10"/>
    <n v="0"/>
    <n v="2"/>
    <n v="7"/>
    <n v="7"/>
    <n v="0"/>
    <n v="7"/>
  </r>
  <r>
    <n v="28"/>
    <x v="0"/>
    <s v="Travel_Rarely"/>
    <n v="1157"/>
    <x v="1"/>
    <n v="2"/>
    <n v="4"/>
    <s v="Medical"/>
    <n v="440"/>
    <n v="1"/>
    <s v="Male"/>
    <n v="84"/>
    <n v="1"/>
    <n v="1"/>
    <s v="Research Scientist"/>
    <n v="4"/>
    <s v="Married"/>
    <n v="3464"/>
    <n v="24737"/>
    <n v="5"/>
    <s v="Yes"/>
    <n v="13"/>
    <n v="3"/>
    <n v="4"/>
    <n v="0"/>
    <n v="5"/>
    <n v="4"/>
    <n v="2"/>
    <n v="3"/>
    <n v="2"/>
    <n v="2"/>
    <n v="2"/>
  </r>
  <r>
    <n v="30"/>
    <x v="1"/>
    <s v="Travel_Rarely"/>
    <n v="1275"/>
    <x v="1"/>
    <n v="28"/>
    <n v="2"/>
    <s v="Medical"/>
    <n v="441"/>
    <n v="4"/>
    <s v="Female"/>
    <n v="64"/>
    <n v="3"/>
    <n v="2"/>
    <s v="Research Scientist"/>
    <n v="4"/>
    <s v="Married"/>
    <n v="5775"/>
    <n v="11934"/>
    <n v="1"/>
    <s v="No"/>
    <n v="13"/>
    <n v="3"/>
    <n v="4"/>
    <n v="2"/>
    <n v="11"/>
    <n v="2"/>
    <n v="3"/>
    <n v="10"/>
    <n v="8"/>
    <n v="1"/>
    <n v="9"/>
  </r>
  <r>
    <n v="31"/>
    <x v="1"/>
    <s v="Travel_Frequently"/>
    <n v="798"/>
    <x v="1"/>
    <n v="7"/>
    <n v="2"/>
    <s v="Life Sciences"/>
    <n v="442"/>
    <n v="3"/>
    <s v="Female"/>
    <n v="48"/>
    <n v="2"/>
    <n v="3"/>
    <s v="Manufacturing Director"/>
    <n v="3"/>
    <s v="Married"/>
    <n v="8943"/>
    <n v="14034"/>
    <n v="1"/>
    <s v="No"/>
    <n v="24"/>
    <n v="4"/>
    <n v="1"/>
    <n v="1"/>
    <n v="10"/>
    <n v="2"/>
    <n v="3"/>
    <n v="10"/>
    <n v="9"/>
    <n v="8"/>
    <n v="9"/>
  </r>
  <r>
    <n v="39"/>
    <x v="1"/>
    <s v="Travel_Frequently"/>
    <n v="672"/>
    <x v="1"/>
    <n v="7"/>
    <n v="2"/>
    <s v="Medical"/>
    <n v="444"/>
    <n v="3"/>
    <s v="Male"/>
    <n v="54"/>
    <n v="2"/>
    <n v="5"/>
    <s v="Manager"/>
    <n v="4"/>
    <s v="Married"/>
    <n v="19272"/>
    <n v="21141"/>
    <n v="1"/>
    <s v="No"/>
    <n v="15"/>
    <n v="3"/>
    <n v="1"/>
    <n v="1"/>
    <n v="21"/>
    <n v="2"/>
    <n v="3"/>
    <n v="21"/>
    <n v="9"/>
    <n v="13"/>
    <n v="3"/>
  </r>
  <r>
    <n v="39"/>
    <x v="0"/>
    <s v="Travel_Rarely"/>
    <n v="1162"/>
    <x v="0"/>
    <n v="3"/>
    <n v="2"/>
    <s v="Medical"/>
    <n v="445"/>
    <n v="4"/>
    <s v="Female"/>
    <n v="41"/>
    <n v="3"/>
    <n v="2"/>
    <s v="Sales Executive"/>
    <n v="3"/>
    <s v="Married"/>
    <n v="5238"/>
    <n v="17778"/>
    <n v="4"/>
    <s v="Yes"/>
    <n v="18"/>
    <n v="3"/>
    <n v="1"/>
    <n v="0"/>
    <n v="12"/>
    <n v="3"/>
    <n v="2"/>
    <n v="1"/>
    <n v="0"/>
    <n v="0"/>
    <n v="0"/>
  </r>
  <r>
    <n v="33"/>
    <x v="1"/>
    <s v="Travel_Frequently"/>
    <n v="508"/>
    <x v="0"/>
    <n v="10"/>
    <n v="3"/>
    <s v="Marketing"/>
    <n v="446"/>
    <n v="2"/>
    <s v="Male"/>
    <n v="46"/>
    <n v="2"/>
    <n v="2"/>
    <s v="Sales Executive"/>
    <n v="4"/>
    <s v="Single"/>
    <n v="4682"/>
    <n v="4317"/>
    <n v="3"/>
    <s v="No"/>
    <n v="14"/>
    <n v="3"/>
    <n v="3"/>
    <n v="0"/>
    <n v="9"/>
    <n v="6"/>
    <n v="2"/>
    <n v="7"/>
    <n v="7"/>
    <n v="0"/>
    <n v="1"/>
  </r>
  <r>
    <n v="47"/>
    <x v="1"/>
    <s v="Travel_Rarely"/>
    <n v="1482"/>
    <x v="1"/>
    <n v="5"/>
    <n v="5"/>
    <s v="Life Sciences"/>
    <n v="447"/>
    <n v="4"/>
    <s v="Male"/>
    <n v="42"/>
    <n v="3"/>
    <n v="5"/>
    <s v="Research Director"/>
    <n v="3"/>
    <s v="Married"/>
    <n v="18300"/>
    <n v="16375"/>
    <n v="4"/>
    <s v="No"/>
    <n v="11"/>
    <n v="3"/>
    <n v="2"/>
    <n v="1"/>
    <n v="21"/>
    <n v="2"/>
    <n v="3"/>
    <n v="3"/>
    <n v="2"/>
    <n v="1"/>
    <n v="1"/>
  </r>
  <r>
    <n v="43"/>
    <x v="1"/>
    <s v="Travel_Frequently"/>
    <n v="559"/>
    <x v="1"/>
    <n v="10"/>
    <n v="4"/>
    <s v="Life Sciences"/>
    <n v="448"/>
    <n v="3"/>
    <s v="Female"/>
    <n v="82"/>
    <n v="2"/>
    <n v="2"/>
    <s v="Laboratory Technician"/>
    <n v="3"/>
    <s v="Divorced"/>
    <n v="5257"/>
    <n v="6227"/>
    <n v="1"/>
    <s v="No"/>
    <n v="11"/>
    <n v="3"/>
    <n v="2"/>
    <n v="1"/>
    <n v="9"/>
    <n v="3"/>
    <n v="4"/>
    <n v="9"/>
    <n v="7"/>
    <n v="0"/>
    <n v="0"/>
  </r>
  <r>
    <n v="27"/>
    <x v="1"/>
    <s v="Non-Travel"/>
    <n v="210"/>
    <x v="0"/>
    <n v="1"/>
    <n v="1"/>
    <s v="Marketing"/>
    <n v="449"/>
    <n v="3"/>
    <s v="Male"/>
    <n v="73"/>
    <n v="3"/>
    <n v="2"/>
    <s v="Sales Executive"/>
    <n v="2"/>
    <s v="Married"/>
    <n v="6349"/>
    <n v="22107"/>
    <n v="0"/>
    <s v="Yes"/>
    <n v="13"/>
    <n v="3"/>
    <n v="4"/>
    <n v="1"/>
    <n v="6"/>
    <n v="0"/>
    <n v="3"/>
    <n v="5"/>
    <n v="4"/>
    <n v="1"/>
    <n v="4"/>
  </r>
  <r>
    <n v="54"/>
    <x v="1"/>
    <s v="Travel_Frequently"/>
    <n v="928"/>
    <x v="1"/>
    <n v="20"/>
    <n v="4"/>
    <s v="Life Sciences"/>
    <n v="450"/>
    <n v="4"/>
    <s v="Female"/>
    <n v="31"/>
    <n v="3"/>
    <n v="2"/>
    <s v="Research Scientist"/>
    <n v="3"/>
    <s v="Single"/>
    <n v="4869"/>
    <n v="16885"/>
    <n v="3"/>
    <s v="No"/>
    <n v="12"/>
    <n v="3"/>
    <n v="4"/>
    <n v="0"/>
    <n v="20"/>
    <n v="4"/>
    <n v="2"/>
    <n v="4"/>
    <n v="3"/>
    <n v="0"/>
    <n v="3"/>
  </r>
  <r>
    <n v="43"/>
    <x v="1"/>
    <s v="Travel_Rarely"/>
    <n v="1001"/>
    <x v="1"/>
    <n v="7"/>
    <n v="3"/>
    <s v="Life Sciences"/>
    <n v="451"/>
    <n v="3"/>
    <s v="Female"/>
    <n v="43"/>
    <n v="3"/>
    <n v="3"/>
    <s v="Healthcare Representative"/>
    <n v="1"/>
    <s v="Married"/>
    <n v="9985"/>
    <n v="9262"/>
    <n v="8"/>
    <s v="No"/>
    <n v="16"/>
    <n v="3"/>
    <n v="1"/>
    <n v="1"/>
    <n v="10"/>
    <n v="1"/>
    <n v="2"/>
    <n v="1"/>
    <n v="0"/>
    <n v="0"/>
    <n v="0"/>
  </r>
  <r>
    <n v="45"/>
    <x v="1"/>
    <s v="Travel_Rarely"/>
    <n v="549"/>
    <x v="1"/>
    <n v="8"/>
    <n v="4"/>
    <s v="Other"/>
    <n v="452"/>
    <n v="4"/>
    <s v="Male"/>
    <n v="75"/>
    <n v="3"/>
    <n v="2"/>
    <s v="Research Scientist"/>
    <n v="4"/>
    <s v="Married"/>
    <n v="3697"/>
    <n v="9278"/>
    <n v="9"/>
    <s v="No"/>
    <n v="14"/>
    <n v="3"/>
    <n v="1"/>
    <n v="2"/>
    <n v="12"/>
    <n v="3"/>
    <n v="3"/>
    <n v="10"/>
    <n v="9"/>
    <n v="9"/>
    <n v="8"/>
  </r>
  <r>
    <n v="40"/>
    <x v="1"/>
    <s v="Travel_Rarely"/>
    <n v="1124"/>
    <x v="0"/>
    <n v="1"/>
    <n v="2"/>
    <s v="Medical"/>
    <n v="453"/>
    <n v="2"/>
    <s v="Male"/>
    <n v="57"/>
    <n v="1"/>
    <n v="2"/>
    <s v="Sales Executive"/>
    <n v="4"/>
    <s v="Married"/>
    <n v="7457"/>
    <n v="13273"/>
    <n v="2"/>
    <s v="Yes"/>
    <n v="22"/>
    <n v="4"/>
    <n v="3"/>
    <n v="3"/>
    <n v="6"/>
    <n v="2"/>
    <n v="2"/>
    <n v="4"/>
    <n v="3"/>
    <n v="0"/>
    <n v="2"/>
  </r>
  <r>
    <n v="29"/>
    <x v="0"/>
    <s v="Travel_Rarely"/>
    <n v="318"/>
    <x v="1"/>
    <n v="8"/>
    <n v="4"/>
    <s v="Other"/>
    <n v="454"/>
    <n v="2"/>
    <s v="Male"/>
    <n v="77"/>
    <n v="1"/>
    <n v="1"/>
    <s v="Laboratory Technician"/>
    <n v="1"/>
    <s v="Married"/>
    <n v="2119"/>
    <n v="4759"/>
    <n v="1"/>
    <s v="Yes"/>
    <n v="11"/>
    <n v="3"/>
    <n v="4"/>
    <n v="0"/>
    <n v="7"/>
    <n v="4"/>
    <n v="2"/>
    <n v="7"/>
    <n v="7"/>
    <n v="0"/>
    <n v="7"/>
  </r>
  <r>
    <n v="29"/>
    <x v="1"/>
    <s v="Travel_Rarely"/>
    <n v="738"/>
    <x v="1"/>
    <n v="9"/>
    <n v="5"/>
    <s v="Other"/>
    <n v="455"/>
    <n v="2"/>
    <s v="Male"/>
    <n v="30"/>
    <n v="2"/>
    <n v="1"/>
    <s v="Laboratory Technician"/>
    <n v="4"/>
    <s v="Single"/>
    <n v="3983"/>
    <n v="7621"/>
    <n v="0"/>
    <s v="No"/>
    <n v="17"/>
    <n v="3"/>
    <n v="3"/>
    <n v="0"/>
    <n v="4"/>
    <n v="2"/>
    <n v="3"/>
    <n v="3"/>
    <n v="2"/>
    <n v="2"/>
    <n v="2"/>
  </r>
  <r>
    <n v="30"/>
    <x v="1"/>
    <s v="Travel_Rarely"/>
    <n v="570"/>
    <x v="0"/>
    <n v="5"/>
    <n v="3"/>
    <s v="Marketing"/>
    <n v="456"/>
    <n v="4"/>
    <s v="Female"/>
    <n v="30"/>
    <n v="2"/>
    <n v="2"/>
    <s v="Sales Executive"/>
    <n v="3"/>
    <s v="Divorced"/>
    <n v="6118"/>
    <n v="5431"/>
    <n v="1"/>
    <s v="No"/>
    <n v="13"/>
    <n v="3"/>
    <n v="3"/>
    <n v="3"/>
    <n v="10"/>
    <n v="2"/>
    <n v="3"/>
    <n v="10"/>
    <n v="9"/>
    <n v="1"/>
    <n v="2"/>
  </r>
  <r>
    <n v="27"/>
    <x v="1"/>
    <s v="Travel_Rarely"/>
    <n v="1130"/>
    <x v="0"/>
    <n v="8"/>
    <n v="4"/>
    <s v="Marketing"/>
    <n v="458"/>
    <n v="2"/>
    <s v="Female"/>
    <n v="56"/>
    <n v="3"/>
    <n v="2"/>
    <s v="Sales Executive"/>
    <n v="2"/>
    <s v="Married"/>
    <n v="6214"/>
    <n v="3415"/>
    <n v="1"/>
    <s v="No"/>
    <n v="18"/>
    <n v="3"/>
    <n v="1"/>
    <n v="1"/>
    <n v="8"/>
    <n v="3"/>
    <n v="3"/>
    <n v="8"/>
    <n v="7"/>
    <n v="0"/>
    <n v="7"/>
  </r>
  <r>
    <n v="37"/>
    <x v="1"/>
    <s v="Travel_Rarely"/>
    <n v="1192"/>
    <x v="1"/>
    <n v="5"/>
    <n v="2"/>
    <s v="Medical"/>
    <n v="460"/>
    <n v="4"/>
    <s v="Male"/>
    <n v="61"/>
    <n v="3"/>
    <n v="2"/>
    <s v="Manufacturing Director"/>
    <n v="4"/>
    <s v="Divorced"/>
    <n v="6347"/>
    <n v="23177"/>
    <n v="7"/>
    <s v="No"/>
    <n v="16"/>
    <n v="3"/>
    <n v="3"/>
    <n v="2"/>
    <n v="8"/>
    <n v="2"/>
    <n v="2"/>
    <n v="6"/>
    <n v="2"/>
    <n v="0"/>
    <n v="4"/>
  </r>
  <r>
    <n v="38"/>
    <x v="1"/>
    <s v="Travel_Rarely"/>
    <n v="343"/>
    <x v="1"/>
    <n v="15"/>
    <n v="2"/>
    <s v="Life Sciences"/>
    <n v="461"/>
    <n v="3"/>
    <s v="Male"/>
    <n v="92"/>
    <n v="2"/>
    <n v="3"/>
    <s v="Research Director"/>
    <n v="4"/>
    <s v="Divorced"/>
    <n v="11510"/>
    <n v="15682"/>
    <n v="0"/>
    <s v="Yes"/>
    <n v="14"/>
    <n v="3"/>
    <n v="2"/>
    <n v="1"/>
    <n v="12"/>
    <n v="3"/>
    <n v="3"/>
    <n v="11"/>
    <n v="10"/>
    <n v="2"/>
    <n v="9"/>
  </r>
  <r>
    <n v="31"/>
    <x v="1"/>
    <s v="Travel_Rarely"/>
    <n v="1232"/>
    <x v="1"/>
    <n v="7"/>
    <n v="4"/>
    <s v="Medical"/>
    <n v="462"/>
    <n v="3"/>
    <s v="Female"/>
    <n v="39"/>
    <n v="3"/>
    <n v="3"/>
    <s v="Manufacturing Director"/>
    <n v="4"/>
    <s v="Single"/>
    <n v="7143"/>
    <n v="25713"/>
    <n v="1"/>
    <s v="Yes"/>
    <n v="14"/>
    <n v="3"/>
    <n v="3"/>
    <n v="0"/>
    <n v="11"/>
    <n v="2"/>
    <n v="2"/>
    <n v="11"/>
    <n v="9"/>
    <n v="4"/>
    <n v="10"/>
  </r>
  <r>
    <n v="29"/>
    <x v="1"/>
    <s v="Travel_Rarely"/>
    <n v="144"/>
    <x v="0"/>
    <n v="10"/>
    <n v="1"/>
    <s v="Marketing"/>
    <n v="463"/>
    <n v="4"/>
    <s v="Female"/>
    <n v="39"/>
    <n v="2"/>
    <n v="2"/>
    <s v="Sales Executive"/>
    <n v="2"/>
    <s v="Divorced"/>
    <n v="8268"/>
    <n v="11866"/>
    <n v="1"/>
    <s v="Yes"/>
    <n v="14"/>
    <n v="3"/>
    <n v="1"/>
    <n v="2"/>
    <n v="7"/>
    <n v="2"/>
    <n v="3"/>
    <n v="7"/>
    <n v="7"/>
    <n v="1"/>
    <n v="7"/>
  </r>
  <r>
    <n v="35"/>
    <x v="1"/>
    <s v="Travel_Rarely"/>
    <n v="1296"/>
    <x v="1"/>
    <n v="5"/>
    <n v="4"/>
    <s v="Technical Degree"/>
    <n v="464"/>
    <n v="3"/>
    <s v="Male"/>
    <n v="62"/>
    <n v="3"/>
    <n v="3"/>
    <s v="Manufacturing Director"/>
    <n v="2"/>
    <s v="Single"/>
    <n v="8095"/>
    <n v="18264"/>
    <n v="0"/>
    <s v="No"/>
    <n v="13"/>
    <n v="3"/>
    <n v="4"/>
    <n v="0"/>
    <n v="17"/>
    <n v="5"/>
    <n v="3"/>
    <n v="16"/>
    <n v="6"/>
    <n v="0"/>
    <n v="13"/>
  </r>
  <r>
    <n v="23"/>
    <x v="1"/>
    <s v="Travel_Rarely"/>
    <n v="1309"/>
    <x v="1"/>
    <n v="26"/>
    <n v="1"/>
    <s v="Life Sciences"/>
    <n v="465"/>
    <n v="3"/>
    <s v="Male"/>
    <n v="83"/>
    <n v="3"/>
    <n v="1"/>
    <s v="Research Scientist"/>
    <n v="4"/>
    <s v="Divorced"/>
    <n v="2904"/>
    <n v="16092"/>
    <n v="1"/>
    <s v="No"/>
    <n v="12"/>
    <n v="3"/>
    <n v="3"/>
    <n v="2"/>
    <n v="4"/>
    <n v="2"/>
    <n v="2"/>
    <n v="4"/>
    <n v="2"/>
    <n v="0"/>
    <n v="2"/>
  </r>
  <r>
    <n v="41"/>
    <x v="1"/>
    <s v="Travel_Rarely"/>
    <n v="483"/>
    <x v="1"/>
    <n v="6"/>
    <n v="3"/>
    <s v="Medical"/>
    <n v="466"/>
    <n v="4"/>
    <s v="Male"/>
    <n v="95"/>
    <n v="2"/>
    <n v="2"/>
    <s v="Manufacturing Director"/>
    <n v="2"/>
    <s v="Single"/>
    <n v="6032"/>
    <n v="10110"/>
    <n v="6"/>
    <s v="Yes"/>
    <n v="15"/>
    <n v="3"/>
    <n v="4"/>
    <n v="0"/>
    <n v="8"/>
    <n v="3"/>
    <n v="3"/>
    <n v="5"/>
    <n v="4"/>
    <n v="1"/>
    <n v="2"/>
  </r>
  <r>
    <n v="47"/>
    <x v="1"/>
    <s v="Travel_Frequently"/>
    <n v="1309"/>
    <x v="0"/>
    <n v="4"/>
    <n v="1"/>
    <s v="Medical"/>
    <n v="467"/>
    <n v="2"/>
    <s v="Male"/>
    <n v="99"/>
    <n v="3"/>
    <n v="2"/>
    <s v="Sales Representative"/>
    <n v="3"/>
    <s v="Single"/>
    <n v="2976"/>
    <n v="25751"/>
    <n v="3"/>
    <s v="No"/>
    <n v="19"/>
    <n v="3"/>
    <n v="1"/>
    <n v="0"/>
    <n v="5"/>
    <n v="3"/>
    <n v="3"/>
    <n v="0"/>
    <n v="0"/>
    <n v="0"/>
    <n v="0"/>
  </r>
  <r>
    <n v="42"/>
    <x v="1"/>
    <s v="Travel_Rarely"/>
    <n v="810"/>
    <x v="1"/>
    <n v="23"/>
    <n v="5"/>
    <s v="Life Sciences"/>
    <n v="468"/>
    <n v="1"/>
    <s v="Female"/>
    <n v="44"/>
    <n v="3"/>
    <n v="4"/>
    <s v="Research Director"/>
    <n v="4"/>
    <s v="Single"/>
    <n v="15992"/>
    <n v="15901"/>
    <n v="2"/>
    <s v="No"/>
    <n v="14"/>
    <n v="3"/>
    <n v="2"/>
    <n v="0"/>
    <n v="16"/>
    <n v="2"/>
    <n v="3"/>
    <n v="1"/>
    <n v="0"/>
    <n v="0"/>
    <n v="0"/>
  </r>
  <r>
    <n v="29"/>
    <x v="1"/>
    <s v="Non-Travel"/>
    <n v="746"/>
    <x v="0"/>
    <n v="2"/>
    <n v="3"/>
    <s v="Life Sciences"/>
    <n v="469"/>
    <n v="4"/>
    <s v="Male"/>
    <n v="61"/>
    <n v="3"/>
    <n v="2"/>
    <s v="Sales Executive"/>
    <n v="3"/>
    <s v="Married"/>
    <n v="4649"/>
    <n v="16928"/>
    <n v="1"/>
    <s v="No"/>
    <n v="14"/>
    <n v="3"/>
    <n v="1"/>
    <n v="1"/>
    <n v="4"/>
    <n v="3"/>
    <n v="2"/>
    <n v="4"/>
    <n v="3"/>
    <n v="0"/>
    <n v="2"/>
  </r>
  <r>
    <n v="42"/>
    <x v="1"/>
    <s v="Travel_Rarely"/>
    <n v="544"/>
    <x v="2"/>
    <n v="2"/>
    <n v="1"/>
    <s v="Technical Degree"/>
    <n v="470"/>
    <n v="3"/>
    <s v="Male"/>
    <n v="52"/>
    <n v="3"/>
    <n v="1"/>
    <s v="Human Resources"/>
    <n v="3"/>
    <s v="Divorced"/>
    <n v="2696"/>
    <n v="24017"/>
    <n v="0"/>
    <s v="Yes"/>
    <n v="11"/>
    <n v="3"/>
    <n v="3"/>
    <n v="1"/>
    <n v="4"/>
    <n v="5"/>
    <n v="3"/>
    <n v="3"/>
    <n v="2"/>
    <n v="1"/>
    <n v="0"/>
  </r>
  <r>
    <n v="32"/>
    <x v="1"/>
    <s v="Travel_Rarely"/>
    <n v="1062"/>
    <x v="1"/>
    <n v="2"/>
    <n v="3"/>
    <s v="Medical"/>
    <n v="471"/>
    <n v="3"/>
    <s v="Female"/>
    <n v="75"/>
    <n v="3"/>
    <n v="1"/>
    <s v="Laboratory Technician"/>
    <n v="2"/>
    <s v="Married"/>
    <n v="2370"/>
    <n v="3956"/>
    <n v="1"/>
    <s v="No"/>
    <n v="13"/>
    <n v="3"/>
    <n v="3"/>
    <n v="1"/>
    <n v="8"/>
    <n v="4"/>
    <n v="3"/>
    <n v="8"/>
    <n v="0"/>
    <n v="0"/>
    <n v="7"/>
  </r>
  <r>
    <n v="48"/>
    <x v="1"/>
    <s v="Travel_Rarely"/>
    <n v="530"/>
    <x v="0"/>
    <n v="29"/>
    <n v="1"/>
    <s v="Medical"/>
    <n v="473"/>
    <n v="1"/>
    <s v="Female"/>
    <n v="91"/>
    <n v="3"/>
    <n v="3"/>
    <s v="Manager"/>
    <n v="3"/>
    <s v="Married"/>
    <n v="12504"/>
    <n v="23978"/>
    <n v="3"/>
    <s v="No"/>
    <n v="21"/>
    <n v="4"/>
    <n v="2"/>
    <n v="1"/>
    <n v="15"/>
    <n v="3"/>
    <n v="1"/>
    <n v="0"/>
    <n v="0"/>
    <n v="0"/>
    <n v="0"/>
  </r>
  <r>
    <n v="37"/>
    <x v="1"/>
    <s v="Travel_Rarely"/>
    <n v="1319"/>
    <x v="1"/>
    <n v="6"/>
    <n v="3"/>
    <s v="Medical"/>
    <n v="474"/>
    <n v="3"/>
    <s v="Male"/>
    <n v="51"/>
    <n v="4"/>
    <n v="2"/>
    <s v="Research Scientist"/>
    <n v="1"/>
    <s v="Divorced"/>
    <n v="5974"/>
    <n v="17001"/>
    <n v="4"/>
    <s v="Yes"/>
    <n v="13"/>
    <n v="3"/>
    <n v="1"/>
    <n v="2"/>
    <n v="13"/>
    <n v="2"/>
    <n v="3"/>
    <n v="7"/>
    <n v="7"/>
    <n v="6"/>
    <n v="7"/>
  </r>
  <r>
    <n v="30"/>
    <x v="1"/>
    <s v="Non-Travel"/>
    <n v="641"/>
    <x v="0"/>
    <n v="25"/>
    <n v="2"/>
    <s v="Technical Degree"/>
    <n v="475"/>
    <n v="4"/>
    <s v="Female"/>
    <n v="85"/>
    <n v="3"/>
    <n v="2"/>
    <s v="Sales Executive"/>
    <n v="3"/>
    <s v="Married"/>
    <n v="4736"/>
    <n v="6069"/>
    <n v="7"/>
    <s v="Yes"/>
    <n v="12"/>
    <n v="3"/>
    <n v="2"/>
    <n v="1"/>
    <n v="4"/>
    <n v="2"/>
    <n v="4"/>
    <n v="2"/>
    <n v="2"/>
    <n v="2"/>
    <n v="2"/>
  </r>
  <r>
    <n v="26"/>
    <x v="1"/>
    <s v="Travel_Rarely"/>
    <n v="933"/>
    <x v="0"/>
    <n v="1"/>
    <n v="3"/>
    <s v="Life Sciences"/>
    <n v="476"/>
    <n v="3"/>
    <s v="Male"/>
    <n v="57"/>
    <n v="3"/>
    <n v="2"/>
    <s v="Sales Executive"/>
    <n v="3"/>
    <s v="Married"/>
    <n v="5296"/>
    <n v="20156"/>
    <n v="1"/>
    <s v="No"/>
    <n v="17"/>
    <n v="3"/>
    <n v="2"/>
    <n v="1"/>
    <n v="8"/>
    <n v="3"/>
    <n v="3"/>
    <n v="8"/>
    <n v="7"/>
    <n v="7"/>
    <n v="7"/>
  </r>
  <r>
    <n v="42"/>
    <x v="1"/>
    <s v="Travel_Rarely"/>
    <n v="1332"/>
    <x v="1"/>
    <n v="2"/>
    <n v="4"/>
    <s v="Other"/>
    <n v="477"/>
    <n v="1"/>
    <s v="Male"/>
    <n v="98"/>
    <n v="2"/>
    <n v="2"/>
    <s v="Healthcare Representative"/>
    <n v="4"/>
    <s v="Single"/>
    <n v="6781"/>
    <n v="17078"/>
    <n v="3"/>
    <s v="No"/>
    <n v="23"/>
    <n v="4"/>
    <n v="2"/>
    <n v="0"/>
    <n v="14"/>
    <n v="6"/>
    <n v="3"/>
    <n v="1"/>
    <n v="0"/>
    <n v="0"/>
    <n v="0"/>
  </r>
  <r>
    <n v="21"/>
    <x v="0"/>
    <s v="Travel_Frequently"/>
    <n v="756"/>
    <x v="0"/>
    <n v="1"/>
    <n v="1"/>
    <s v="Technical Degree"/>
    <n v="478"/>
    <n v="1"/>
    <s v="Female"/>
    <n v="99"/>
    <n v="2"/>
    <n v="1"/>
    <s v="Sales Representative"/>
    <n v="2"/>
    <s v="Single"/>
    <n v="2174"/>
    <n v="9150"/>
    <n v="1"/>
    <s v="Yes"/>
    <n v="11"/>
    <n v="3"/>
    <n v="3"/>
    <n v="0"/>
    <n v="3"/>
    <n v="3"/>
    <n v="3"/>
    <n v="3"/>
    <n v="2"/>
    <n v="1"/>
    <n v="2"/>
  </r>
  <r>
    <n v="36"/>
    <x v="1"/>
    <s v="Non-Travel"/>
    <n v="845"/>
    <x v="0"/>
    <n v="1"/>
    <n v="5"/>
    <s v="Medical"/>
    <n v="479"/>
    <n v="4"/>
    <s v="Female"/>
    <n v="45"/>
    <n v="3"/>
    <n v="2"/>
    <s v="Sales Executive"/>
    <n v="4"/>
    <s v="Single"/>
    <n v="6653"/>
    <n v="15276"/>
    <n v="4"/>
    <s v="No"/>
    <n v="15"/>
    <n v="3"/>
    <n v="2"/>
    <n v="0"/>
    <n v="7"/>
    <n v="6"/>
    <n v="3"/>
    <n v="1"/>
    <n v="0"/>
    <n v="0"/>
    <n v="0"/>
  </r>
  <r>
    <n v="36"/>
    <x v="1"/>
    <s v="Travel_Frequently"/>
    <n v="541"/>
    <x v="0"/>
    <n v="3"/>
    <n v="4"/>
    <s v="Medical"/>
    <n v="481"/>
    <n v="1"/>
    <s v="Male"/>
    <n v="48"/>
    <n v="2"/>
    <n v="3"/>
    <s v="Sales Executive"/>
    <n v="4"/>
    <s v="Married"/>
    <n v="9699"/>
    <n v="7246"/>
    <n v="4"/>
    <s v="No"/>
    <n v="11"/>
    <n v="3"/>
    <n v="1"/>
    <n v="1"/>
    <n v="16"/>
    <n v="2"/>
    <n v="3"/>
    <n v="13"/>
    <n v="9"/>
    <n v="1"/>
    <n v="12"/>
  </r>
  <r>
    <n v="57"/>
    <x v="1"/>
    <s v="Travel_Rarely"/>
    <n v="593"/>
    <x v="1"/>
    <n v="1"/>
    <n v="4"/>
    <s v="Medical"/>
    <n v="482"/>
    <n v="4"/>
    <s v="Male"/>
    <n v="88"/>
    <n v="3"/>
    <n v="2"/>
    <s v="Healthcare Representative"/>
    <n v="3"/>
    <s v="Married"/>
    <n v="6755"/>
    <n v="2967"/>
    <n v="2"/>
    <s v="No"/>
    <n v="11"/>
    <n v="3"/>
    <n v="3"/>
    <n v="0"/>
    <n v="15"/>
    <n v="2"/>
    <n v="3"/>
    <n v="3"/>
    <n v="2"/>
    <n v="1"/>
    <n v="2"/>
  </r>
  <r>
    <n v="40"/>
    <x v="1"/>
    <s v="Travel_Rarely"/>
    <n v="1171"/>
    <x v="1"/>
    <n v="10"/>
    <n v="4"/>
    <s v="Life Sciences"/>
    <n v="483"/>
    <n v="4"/>
    <s v="Female"/>
    <n v="46"/>
    <n v="4"/>
    <n v="1"/>
    <s v="Laboratory Technician"/>
    <n v="3"/>
    <s v="Married"/>
    <n v="2213"/>
    <n v="22495"/>
    <n v="3"/>
    <s v="Yes"/>
    <n v="13"/>
    <n v="3"/>
    <n v="3"/>
    <n v="1"/>
    <n v="10"/>
    <n v="3"/>
    <n v="3"/>
    <n v="7"/>
    <n v="7"/>
    <n v="1"/>
    <n v="7"/>
  </r>
  <r>
    <n v="21"/>
    <x v="1"/>
    <s v="Non-Travel"/>
    <n v="895"/>
    <x v="0"/>
    <n v="9"/>
    <n v="2"/>
    <s v="Medical"/>
    <n v="484"/>
    <n v="1"/>
    <s v="Male"/>
    <n v="39"/>
    <n v="3"/>
    <n v="1"/>
    <s v="Sales Representative"/>
    <n v="4"/>
    <s v="Single"/>
    <n v="2610"/>
    <n v="2851"/>
    <n v="1"/>
    <s v="No"/>
    <n v="24"/>
    <n v="4"/>
    <n v="3"/>
    <n v="0"/>
    <n v="3"/>
    <n v="3"/>
    <n v="2"/>
    <n v="3"/>
    <n v="2"/>
    <n v="2"/>
    <n v="2"/>
  </r>
  <r>
    <n v="33"/>
    <x v="0"/>
    <s v="Travel_Rarely"/>
    <n v="350"/>
    <x v="0"/>
    <n v="5"/>
    <n v="3"/>
    <s v="Marketing"/>
    <n v="485"/>
    <n v="4"/>
    <s v="Female"/>
    <n v="34"/>
    <n v="3"/>
    <n v="1"/>
    <s v="Sales Representative"/>
    <n v="3"/>
    <s v="Single"/>
    <n v="2851"/>
    <n v="9150"/>
    <n v="1"/>
    <s v="Yes"/>
    <n v="13"/>
    <n v="3"/>
    <n v="2"/>
    <n v="0"/>
    <n v="1"/>
    <n v="2"/>
    <n v="3"/>
    <n v="1"/>
    <n v="0"/>
    <n v="0"/>
    <n v="0"/>
  </r>
  <r>
    <n v="37"/>
    <x v="1"/>
    <s v="Travel_Rarely"/>
    <n v="921"/>
    <x v="1"/>
    <n v="10"/>
    <n v="3"/>
    <s v="Medical"/>
    <n v="486"/>
    <n v="3"/>
    <s v="Female"/>
    <n v="98"/>
    <n v="3"/>
    <n v="1"/>
    <s v="Laboratory Technician"/>
    <n v="1"/>
    <s v="Married"/>
    <n v="3452"/>
    <n v="17663"/>
    <n v="6"/>
    <s v="No"/>
    <n v="20"/>
    <n v="4"/>
    <n v="2"/>
    <n v="1"/>
    <n v="17"/>
    <n v="3"/>
    <n v="3"/>
    <n v="5"/>
    <n v="4"/>
    <n v="0"/>
    <n v="3"/>
  </r>
  <r>
    <n v="46"/>
    <x v="1"/>
    <s v="Non-Travel"/>
    <n v="1144"/>
    <x v="1"/>
    <n v="7"/>
    <n v="4"/>
    <s v="Medical"/>
    <n v="487"/>
    <n v="3"/>
    <s v="Female"/>
    <n v="30"/>
    <n v="3"/>
    <n v="2"/>
    <s v="Manufacturing Director"/>
    <n v="3"/>
    <s v="Married"/>
    <n v="5258"/>
    <n v="16044"/>
    <n v="2"/>
    <s v="No"/>
    <n v="14"/>
    <n v="3"/>
    <n v="3"/>
    <n v="0"/>
    <n v="7"/>
    <n v="2"/>
    <n v="4"/>
    <n v="1"/>
    <n v="0"/>
    <n v="0"/>
    <n v="0"/>
  </r>
  <r>
    <n v="41"/>
    <x v="0"/>
    <s v="Travel_Frequently"/>
    <n v="143"/>
    <x v="0"/>
    <n v="4"/>
    <n v="3"/>
    <s v="Marketing"/>
    <n v="488"/>
    <n v="1"/>
    <s v="Male"/>
    <n v="56"/>
    <n v="3"/>
    <n v="2"/>
    <s v="Sales Executive"/>
    <n v="2"/>
    <s v="Single"/>
    <n v="9355"/>
    <n v="9558"/>
    <n v="1"/>
    <s v="No"/>
    <n v="18"/>
    <n v="3"/>
    <n v="3"/>
    <n v="0"/>
    <n v="8"/>
    <n v="5"/>
    <n v="3"/>
    <n v="8"/>
    <n v="7"/>
    <n v="7"/>
    <n v="7"/>
  </r>
  <r>
    <n v="50"/>
    <x v="1"/>
    <s v="Travel_Rarely"/>
    <n v="1046"/>
    <x v="1"/>
    <n v="10"/>
    <n v="3"/>
    <s v="Technical Degree"/>
    <n v="491"/>
    <n v="4"/>
    <s v="Male"/>
    <n v="100"/>
    <n v="2"/>
    <n v="3"/>
    <s v="Healthcare Representative"/>
    <n v="4"/>
    <s v="Single"/>
    <n v="10496"/>
    <n v="2755"/>
    <n v="6"/>
    <s v="No"/>
    <n v="15"/>
    <n v="3"/>
    <n v="4"/>
    <n v="0"/>
    <n v="20"/>
    <n v="2"/>
    <n v="3"/>
    <n v="4"/>
    <n v="3"/>
    <n v="1"/>
    <n v="3"/>
  </r>
  <r>
    <n v="40"/>
    <x v="0"/>
    <s v="Travel_Rarely"/>
    <n v="575"/>
    <x v="0"/>
    <n v="22"/>
    <n v="2"/>
    <s v="Marketing"/>
    <n v="492"/>
    <n v="3"/>
    <s v="Male"/>
    <n v="68"/>
    <n v="2"/>
    <n v="2"/>
    <s v="Sales Executive"/>
    <n v="3"/>
    <s v="Married"/>
    <n v="6380"/>
    <n v="6110"/>
    <n v="2"/>
    <s v="Yes"/>
    <n v="12"/>
    <n v="3"/>
    <n v="1"/>
    <n v="2"/>
    <n v="8"/>
    <n v="6"/>
    <n v="3"/>
    <n v="6"/>
    <n v="4"/>
    <n v="1"/>
    <n v="0"/>
  </r>
  <r>
    <n v="31"/>
    <x v="1"/>
    <s v="Travel_Rarely"/>
    <n v="408"/>
    <x v="1"/>
    <n v="9"/>
    <n v="4"/>
    <s v="Life Sciences"/>
    <n v="493"/>
    <n v="3"/>
    <s v="Male"/>
    <n v="42"/>
    <n v="2"/>
    <n v="1"/>
    <s v="Research Scientist"/>
    <n v="2"/>
    <s v="Single"/>
    <n v="2657"/>
    <n v="7551"/>
    <n v="0"/>
    <s v="Yes"/>
    <n v="16"/>
    <n v="3"/>
    <n v="4"/>
    <n v="0"/>
    <n v="3"/>
    <n v="5"/>
    <n v="3"/>
    <n v="2"/>
    <n v="2"/>
    <n v="2"/>
    <n v="2"/>
  </r>
  <r>
    <n v="21"/>
    <x v="0"/>
    <s v="Travel_Rarely"/>
    <n v="156"/>
    <x v="0"/>
    <n v="12"/>
    <n v="3"/>
    <s v="Life Sciences"/>
    <n v="494"/>
    <n v="3"/>
    <s v="Female"/>
    <n v="90"/>
    <n v="4"/>
    <n v="1"/>
    <s v="Sales Representative"/>
    <n v="2"/>
    <s v="Single"/>
    <n v="2716"/>
    <n v="25422"/>
    <n v="1"/>
    <s v="No"/>
    <n v="15"/>
    <n v="3"/>
    <n v="4"/>
    <n v="0"/>
    <n v="1"/>
    <n v="0"/>
    <n v="3"/>
    <n v="1"/>
    <n v="0"/>
    <n v="0"/>
    <n v="0"/>
  </r>
  <r>
    <n v="29"/>
    <x v="1"/>
    <s v="Travel_Rarely"/>
    <n v="1283"/>
    <x v="1"/>
    <n v="23"/>
    <n v="3"/>
    <s v="Life Sciences"/>
    <n v="495"/>
    <n v="4"/>
    <s v="Male"/>
    <n v="54"/>
    <n v="3"/>
    <n v="1"/>
    <s v="Research Scientist"/>
    <n v="4"/>
    <s v="Single"/>
    <n v="2201"/>
    <n v="18168"/>
    <n v="9"/>
    <s v="No"/>
    <n v="16"/>
    <n v="3"/>
    <n v="4"/>
    <n v="0"/>
    <n v="6"/>
    <n v="4"/>
    <n v="3"/>
    <n v="3"/>
    <n v="2"/>
    <n v="1"/>
    <n v="2"/>
  </r>
  <r>
    <n v="35"/>
    <x v="1"/>
    <s v="Travel_Rarely"/>
    <n v="755"/>
    <x v="1"/>
    <n v="9"/>
    <n v="4"/>
    <s v="Life Sciences"/>
    <n v="496"/>
    <n v="3"/>
    <s v="Male"/>
    <n v="97"/>
    <n v="2"/>
    <n v="2"/>
    <s v="Healthcare Representative"/>
    <n v="2"/>
    <s v="Single"/>
    <n v="6540"/>
    <n v="19394"/>
    <n v="9"/>
    <s v="No"/>
    <n v="19"/>
    <n v="3"/>
    <n v="3"/>
    <n v="0"/>
    <n v="10"/>
    <n v="5"/>
    <n v="3"/>
    <n v="1"/>
    <n v="1"/>
    <n v="0"/>
    <n v="0"/>
  </r>
  <r>
    <n v="27"/>
    <x v="1"/>
    <s v="Travel_Rarely"/>
    <n v="1469"/>
    <x v="1"/>
    <n v="1"/>
    <n v="2"/>
    <s v="Medical"/>
    <n v="497"/>
    <n v="4"/>
    <s v="Male"/>
    <n v="82"/>
    <n v="3"/>
    <n v="1"/>
    <s v="Laboratory Technician"/>
    <n v="2"/>
    <s v="Divorced"/>
    <n v="3816"/>
    <n v="17881"/>
    <n v="1"/>
    <s v="No"/>
    <n v="11"/>
    <n v="3"/>
    <n v="2"/>
    <n v="1"/>
    <n v="5"/>
    <n v="2"/>
    <n v="3"/>
    <n v="5"/>
    <n v="2"/>
    <n v="0"/>
    <n v="4"/>
  </r>
  <r>
    <n v="28"/>
    <x v="1"/>
    <s v="Travel_Rarely"/>
    <n v="304"/>
    <x v="0"/>
    <n v="9"/>
    <n v="4"/>
    <s v="Life Sciences"/>
    <n v="498"/>
    <n v="2"/>
    <s v="Male"/>
    <n v="92"/>
    <n v="3"/>
    <n v="2"/>
    <s v="Sales Executive"/>
    <n v="4"/>
    <s v="Single"/>
    <n v="5253"/>
    <n v="20750"/>
    <n v="1"/>
    <s v="No"/>
    <n v="16"/>
    <n v="3"/>
    <n v="4"/>
    <n v="0"/>
    <n v="7"/>
    <n v="1"/>
    <n v="3"/>
    <n v="7"/>
    <n v="5"/>
    <n v="0"/>
    <n v="7"/>
  </r>
  <r>
    <n v="49"/>
    <x v="1"/>
    <s v="Travel_Rarely"/>
    <n v="1261"/>
    <x v="1"/>
    <n v="7"/>
    <n v="3"/>
    <s v="Other"/>
    <n v="499"/>
    <n v="2"/>
    <s v="Male"/>
    <n v="31"/>
    <n v="2"/>
    <n v="3"/>
    <s v="Healthcare Representative"/>
    <n v="3"/>
    <s v="Single"/>
    <n v="10965"/>
    <n v="12066"/>
    <n v="8"/>
    <s v="No"/>
    <n v="24"/>
    <n v="4"/>
    <n v="3"/>
    <n v="0"/>
    <n v="26"/>
    <n v="2"/>
    <n v="3"/>
    <n v="5"/>
    <n v="2"/>
    <n v="0"/>
    <n v="0"/>
  </r>
  <r>
    <n v="51"/>
    <x v="1"/>
    <s v="Travel_Rarely"/>
    <n v="1178"/>
    <x v="0"/>
    <n v="14"/>
    <n v="2"/>
    <s v="Life Sciences"/>
    <n v="500"/>
    <n v="3"/>
    <s v="Female"/>
    <n v="87"/>
    <n v="3"/>
    <n v="2"/>
    <s v="Sales Executive"/>
    <n v="4"/>
    <s v="Married"/>
    <n v="4936"/>
    <n v="14862"/>
    <n v="4"/>
    <s v="No"/>
    <n v="11"/>
    <n v="3"/>
    <n v="3"/>
    <n v="1"/>
    <n v="18"/>
    <n v="2"/>
    <n v="2"/>
    <n v="7"/>
    <n v="7"/>
    <n v="0"/>
    <n v="7"/>
  </r>
  <r>
    <n v="36"/>
    <x v="1"/>
    <s v="Travel_Rarely"/>
    <n v="329"/>
    <x v="1"/>
    <n v="2"/>
    <n v="3"/>
    <s v="Life Sciences"/>
    <n v="501"/>
    <n v="4"/>
    <s v="Female"/>
    <n v="96"/>
    <n v="3"/>
    <n v="1"/>
    <s v="Research Scientist"/>
    <n v="3"/>
    <s v="Married"/>
    <n v="2543"/>
    <n v="11868"/>
    <n v="4"/>
    <s v="No"/>
    <n v="13"/>
    <n v="3"/>
    <n v="2"/>
    <n v="1"/>
    <n v="6"/>
    <n v="3"/>
    <n v="3"/>
    <n v="2"/>
    <n v="2"/>
    <n v="2"/>
    <n v="2"/>
  </r>
  <r>
    <n v="34"/>
    <x v="0"/>
    <s v="Non-Travel"/>
    <n v="1362"/>
    <x v="0"/>
    <n v="19"/>
    <n v="3"/>
    <s v="Marketing"/>
    <n v="502"/>
    <n v="1"/>
    <s v="Male"/>
    <n v="67"/>
    <n v="4"/>
    <n v="2"/>
    <s v="Sales Executive"/>
    <n v="4"/>
    <s v="Single"/>
    <n v="5304"/>
    <n v="4652"/>
    <n v="8"/>
    <s v="Yes"/>
    <n v="13"/>
    <n v="3"/>
    <n v="2"/>
    <n v="0"/>
    <n v="9"/>
    <n v="3"/>
    <n v="2"/>
    <n v="5"/>
    <n v="2"/>
    <n v="0"/>
    <n v="4"/>
  </r>
  <r>
    <n v="55"/>
    <x v="1"/>
    <s v="Travel_Rarely"/>
    <n v="1311"/>
    <x v="1"/>
    <n v="2"/>
    <n v="3"/>
    <s v="Life Sciences"/>
    <n v="505"/>
    <n v="3"/>
    <s v="Female"/>
    <n v="97"/>
    <n v="3"/>
    <n v="4"/>
    <s v="Manager"/>
    <n v="4"/>
    <s v="Single"/>
    <n v="16659"/>
    <n v="23258"/>
    <n v="2"/>
    <s v="Yes"/>
    <n v="13"/>
    <n v="3"/>
    <n v="3"/>
    <n v="0"/>
    <n v="30"/>
    <n v="2"/>
    <n v="3"/>
    <n v="5"/>
    <n v="4"/>
    <n v="1"/>
    <n v="2"/>
  </r>
  <r>
    <n v="24"/>
    <x v="1"/>
    <s v="Travel_Rarely"/>
    <n v="1371"/>
    <x v="0"/>
    <n v="10"/>
    <n v="4"/>
    <s v="Marketing"/>
    <n v="507"/>
    <n v="4"/>
    <s v="Female"/>
    <n v="77"/>
    <n v="3"/>
    <n v="2"/>
    <s v="Sales Executive"/>
    <n v="3"/>
    <s v="Divorced"/>
    <n v="4260"/>
    <n v="5915"/>
    <n v="1"/>
    <s v="Yes"/>
    <n v="12"/>
    <n v="3"/>
    <n v="4"/>
    <n v="1"/>
    <n v="5"/>
    <n v="2"/>
    <n v="4"/>
    <n v="5"/>
    <n v="2"/>
    <n v="0"/>
    <n v="3"/>
  </r>
  <r>
    <n v="30"/>
    <x v="1"/>
    <s v="Travel_Rarely"/>
    <n v="202"/>
    <x v="0"/>
    <n v="2"/>
    <n v="1"/>
    <s v="Technical Degree"/>
    <n v="508"/>
    <n v="3"/>
    <s v="Male"/>
    <n v="72"/>
    <n v="3"/>
    <n v="1"/>
    <s v="Sales Representative"/>
    <n v="2"/>
    <s v="Married"/>
    <n v="2476"/>
    <n v="17434"/>
    <n v="1"/>
    <s v="No"/>
    <n v="18"/>
    <n v="3"/>
    <n v="1"/>
    <n v="1"/>
    <n v="1"/>
    <n v="3"/>
    <n v="3"/>
    <n v="1"/>
    <n v="0"/>
    <n v="0"/>
    <n v="0"/>
  </r>
  <r>
    <n v="26"/>
    <x v="0"/>
    <s v="Travel_Frequently"/>
    <n v="575"/>
    <x v="1"/>
    <n v="3"/>
    <n v="1"/>
    <s v="Technical Degree"/>
    <n v="510"/>
    <n v="3"/>
    <s v="Male"/>
    <n v="73"/>
    <n v="3"/>
    <n v="1"/>
    <s v="Research Scientist"/>
    <n v="1"/>
    <s v="Single"/>
    <n v="3102"/>
    <n v="6582"/>
    <n v="0"/>
    <s v="No"/>
    <n v="22"/>
    <n v="4"/>
    <n v="3"/>
    <n v="0"/>
    <n v="7"/>
    <n v="2"/>
    <n v="3"/>
    <n v="6"/>
    <n v="4"/>
    <n v="0"/>
    <n v="4"/>
  </r>
  <r>
    <n v="22"/>
    <x v="1"/>
    <s v="Travel_Rarely"/>
    <n v="253"/>
    <x v="1"/>
    <n v="11"/>
    <n v="3"/>
    <s v="Medical"/>
    <n v="511"/>
    <n v="1"/>
    <s v="Female"/>
    <n v="43"/>
    <n v="3"/>
    <n v="1"/>
    <s v="Research Scientist"/>
    <n v="2"/>
    <s v="Married"/>
    <n v="2244"/>
    <n v="24440"/>
    <n v="1"/>
    <s v="No"/>
    <n v="13"/>
    <n v="3"/>
    <n v="4"/>
    <n v="1"/>
    <n v="2"/>
    <n v="1"/>
    <n v="3"/>
    <n v="2"/>
    <n v="1"/>
    <n v="1"/>
    <n v="2"/>
  </r>
  <r>
    <n v="36"/>
    <x v="1"/>
    <s v="Travel_Rarely"/>
    <n v="164"/>
    <x v="0"/>
    <n v="2"/>
    <n v="2"/>
    <s v="Medical"/>
    <n v="513"/>
    <n v="2"/>
    <s v="Male"/>
    <n v="61"/>
    <n v="2"/>
    <n v="3"/>
    <s v="Sales Executive"/>
    <n v="3"/>
    <s v="Married"/>
    <n v="7596"/>
    <n v="3809"/>
    <n v="1"/>
    <s v="No"/>
    <n v="13"/>
    <n v="3"/>
    <n v="2"/>
    <n v="2"/>
    <n v="10"/>
    <n v="2"/>
    <n v="3"/>
    <n v="10"/>
    <n v="9"/>
    <n v="9"/>
    <n v="0"/>
  </r>
  <r>
    <n v="30"/>
    <x v="0"/>
    <s v="Travel_Frequently"/>
    <n v="464"/>
    <x v="1"/>
    <n v="4"/>
    <n v="3"/>
    <s v="Technical Degree"/>
    <n v="514"/>
    <n v="3"/>
    <s v="Male"/>
    <n v="40"/>
    <n v="3"/>
    <n v="1"/>
    <s v="Research Scientist"/>
    <n v="4"/>
    <s v="Single"/>
    <n v="2285"/>
    <n v="3427"/>
    <n v="9"/>
    <s v="Yes"/>
    <n v="23"/>
    <n v="4"/>
    <n v="3"/>
    <n v="0"/>
    <n v="3"/>
    <n v="4"/>
    <n v="3"/>
    <n v="1"/>
    <n v="0"/>
    <n v="0"/>
    <n v="0"/>
  </r>
  <r>
    <n v="37"/>
    <x v="1"/>
    <s v="Travel_Rarely"/>
    <n v="1107"/>
    <x v="1"/>
    <n v="14"/>
    <n v="3"/>
    <s v="Life Sciences"/>
    <n v="515"/>
    <n v="4"/>
    <s v="Female"/>
    <n v="95"/>
    <n v="3"/>
    <n v="1"/>
    <s v="Laboratory Technician"/>
    <n v="1"/>
    <s v="Divorced"/>
    <n v="3034"/>
    <n v="26914"/>
    <n v="1"/>
    <s v="No"/>
    <n v="12"/>
    <n v="3"/>
    <n v="3"/>
    <n v="1"/>
    <n v="18"/>
    <n v="2"/>
    <n v="2"/>
    <n v="18"/>
    <n v="7"/>
    <n v="12"/>
    <n v="17"/>
  </r>
  <r>
    <n v="40"/>
    <x v="1"/>
    <s v="Travel_Rarely"/>
    <n v="759"/>
    <x v="0"/>
    <n v="2"/>
    <n v="2"/>
    <s v="Marketing"/>
    <n v="516"/>
    <n v="4"/>
    <s v="Female"/>
    <n v="46"/>
    <n v="3"/>
    <n v="2"/>
    <s v="Sales Executive"/>
    <n v="2"/>
    <s v="Divorced"/>
    <n v="5715"/>
    <n v="22553"/>
    <n v="7"/>
    <s v="No"/>
    <n v="12"/>
    <n v="3"/>
    <n v="3"/>
    <n v="2"/>
    <n v="8"/>
    <n v="5"/>
    <n v="3"/>
    <n v="5"/>
    <n v="4"/>
    <n v="1"/>
    <n v="3"/>
  </r>
  <r>
    <n v="42"/>
    <x v="1"/>
    <s v="Travel_Rarely"/>
    <n v="201"/>
    <x v="1"/>
    <n v="1"/>
    <n v="4"/>
    <s v="Life Sciences"/>
    <n v="517"/>
    <n v="2"/>
    <s v="Female"/>
    <n v="95"/>
    <n v="3"/>
    <n v="1"/>
    <s v="Laboratory Technician"/>
    <n v="1"/>
    <s v="Divorced"/>
    <n v="2576"/>
    <n v="20490"/>
    <n v="3"/>
    <s v="No"/>
    <n v="16"/>
    <n v="3"/>
    <n v="2"/>
    <n v="1"/>
    <n v="8"/>
    <n v="5"/>
    <n v="3"/>
    <n v="5"/>
    <n v="2"/>
    <n v="1"/>
    <n v="2"/>
  </r>
  <r>
    <n v="37"/>
    <x v="1"/>
    <s v="Travel_Rarely"/>
    <n v="1305"/>
    <x v="1"/>
    <n v="10"/>
    <n v="4"/>
    <s v="Life Sciences"/>
    <n v="518"/>
    <n v="3"/>
    <s v="Male"/>
    <n v="49"/>
    <n v="3"/>
    <n v="2"/>
    <s v="Manufacturing Director"/>
    <n v="2"/>
    <s v="Single"/>
    <n v="4197"/>
    <n v="21123"/>
    <n v="2"/>
    <s v="Yes"/>
    <n v="12"/>
    <n v="3"/>
    <n v="4"/>
    <n v="0"/>
    <n v="18"/>
    <n v="2"/>
    <n v="2"/>
    <n v="1"/>
    <n v="0"/>
    <n v="0"/>
    <n v="1"/>
  </r>
  <r>
    <n v="43"/>
    <x v="1"/>
    <s v="Travel_Rarely"/>
    <n v="982"/>
    <x v="1"/>
    <n v="12"/>
    <n v="3"/>
    <s v="Life Sciences"/>
    <n v="520"/>
    <n v="1"/>
    <s v="Male"/>
    <n v="59"/>
    <n v="2"/>
    <n v="4"/>
    <s v="Research Director"/>
    <n v="2"/>
    <s v="Divorced"/>
    <n v="14336"/>
    <n v="4345"/>
    <n v="1"/>
    <s v="No"/>
    <n v="11"/>
    <n v="3"/>
    <n v="3"/>
    <n v="1"/>
    <n v="25"/>
    <n v="3"/>
    <n v="3"/>
    <n v="25"/>
    <n v="10"/>
    <n v="3"/>
    <n v="9"/>
  </r>
  <r>
    <n v="40"/>
    <x v="1"/>
    <s v="Travel_Rarely"/>
    <n v="555"/>
    <x v="1"/>
    <n v="2"/>
    <n v="3"/>
    <s v="Medical"/>
    <n v="521"/>
    <n v="2"/>
    <s v="Female"/>
    <n v="78"/>
    <n v="2"/>
    <n v="2"/>
    <s v="Laboratory Technician"/>
    <n v="3"/>
    <s v="Married"/>
    <n v="3448"/>
    <n v="13436"/>
    <n v="6"/>
    <s v="No"/>
    <n v="22"/>
    <n v="4"/>
    <n v="2"/>
    <n v="1"/>
    <n v="20"/>
    <n v="3"/>
    <n v="3"/>
    <n v="1"/>
    <n v="0"/>
    <n v="0"/>
    <n v="0"/>
  </r>
  <r>
    <n v="54"/>
    <x v="1"/>
    <s v="Travel_Rarely"/>
    <n v="821"/>
    <x v="1"/>
    <n v="5"/>
    <n v="2"/>
    <s v="Medical"/>
    <n v="522"/>
    <n v="1"/>
    <s v="Male"/>
    <n v="86"/>
    <n v="3"/>
    <n v="5"/>
    <s v="Research Director"/>
    <n v="1"/>
    <s v="Married"/>
    <n v="19406"/>
    <n v="8509"/>
    <n v="4"/>
    <s v="No"/>
    <n v="11"/>
    <n v="3"/>
    <n v="3"/>
    <n v="1"/>
    <n v="24"/>
    <n v="4"/>
    <n v="2"/>
    <n v="4"/>
    <n v="2"/>
    <n v="1"/>
    <n v="2"/>
  </r>
  <r>
    <n v="34"/>
    <x v="1"/>
    <s v="Non-Travel"/>
    <n v="1381"/>
    <x v="0"/>
    <n v="4"/>
    <n v="4"/>
    <s v="Marketing"/>
    <n v="523"/>
    <n v="3"/>
    <s v="Female"/>
    <n v="72"/>
    <n v="3"/>
    <n v="2"/>
    <s v="Sales Executive"/>
    <n v="3"/>
    <s v="Married"/>
    <n v="6538"/>
    <n v="12740"/>
    <n v="9"/>
    <s v="No"/>
    <n v="15"/>
    <n v="3"/>
    <n v="1"/>
    <n v="1"/>
    <n v="6"/>
    <n v="3"/>
    <n v="3"/>
    <n v="3"/>
    <n v="2"/>
    <n v="1"/>
    <n v="2"/>
  </r>
  <r>
    <n v="31"/>
    <x v="1"/>
    <s v="Travel_Rarely"/>
    <n v="480"/>
    <x v="1"/>
    <n v="7"/>
    <n v="2"/>
    <s v="Medical"/>
    <n v="524"/>
    <n v="2"/>
    <s v="Female"/>
    <n v="31"/>
    <n v="3"/>
    <n v="2"/>
    <s v="Manufacturing Director"/>
    <n v="1"/>
    <s v="Married"/>
    <n v="4306"/>
    <n v="4156"/>
    <n v="1"/>
    <s v="No"/>
    <n v="12"/>
    <n v="3"/>
    <n v="2"/>
    <n v="1"/>
    <n v="13"/>
    <n v="5"/>
    <n v="1"/>
    <n v="13"/>
    <n v="10"/>
    <n v="3"/>
    <n v="12"/>
  </r>
  <r>
    <n v="43"/>
    <x v="1"/>
    <s v="Travel_Frequently"/>
    <n v="313"/>
    <x v="1"/>
    <n v="21"/>
    <n v="3"/>
    <s v="Medical"/>
    <n v="525"/>
    <n v="4"/>
    <s v="Male"/>
    <n v="61"/>
    <n v="3"/>
    <n v="1"/>
    <s v="Laboratory Technician"/>
    <n v="4"/>
    <s v="Married"/>
    <n v="2258"/>
    <n v="15238"/>
    <n v="7"/>
    <s v="No"/>
    <n v="20"/>
    <n v="4"/>
    <n v="1"/>
    <n v="1"/>
    <n v="8"/>
    <n v="1"/>
    <n v="3"/>
    <n v="3"/>
    <n v="2"/>
    <n v="1"/>
    <n v="2"/>
  </r>
  <r>
    <n v="43"/>
    <x v="1"/>
    <s v="Travel_Rarely"/>
    <n v="1473"/>
    <x v="1"/>
    <n v="8"/>
    <n v="4"/>
    <s v="Other"/>
    <n v="526"/>
    <n v="3"/>
    <s v="Female"/>
    <n v="74"/>
    <n v="3"/>
    <n v="2"/>
    <s v="Healthcare Representative"/>
    <n v="3"/>
    <s v="Divorced"/>
    <n v="4522"/>
    <n v="2227"/>
    <n v="4"/>
    <s v="Yes"/>
    <n v="14"/>
    <n v="3"/>
    <n v="4"/>
    <n v="0"/>
    <n v="8"/>
    <n v="3"/>
    <n v="3"/>
    <n v="5"/>
    <n v="2"/>
    <n v="0"/>
    <n v="2"/>
  </r>
  <r>
    <n v="25"/>
    <x v="1"/>
    <s v="Travel_Rarely"/>
    <n v="891"/>
    <x v="0"/>
    <n v="4"/>
    <n v="2"/>
    <s v="Life Sciences"/>
    <n v="527"/>
    <n v="2"/>
    <s v="Female"/>
    <n v="99"/>
    <n v="2"/>
    <n v="2"/>
    <s v="Sales Executive"/>
    <n v="4"/>
    <s v="Single"/>
    <n v="4487"/>
    <n v="12090"/>
    <n v="1"/>
    <s v="Yes"/>
    <n v="11"/>
    <n v="3"/>
    <n v="2"/>
    <n v="0"/>
    <n v="5"/>
    <n v="3"/>
    <n v="3"/>
    <n v="5"/>
    <n v="4"/>
    <n v="1"/>
    <n v="3"/>
  </r>
  <r>
    <n v="37"/>
    <x v="1"/>
    <s v="Non-Travel"/>
    <n v="1063"/>
    <x v="1"/>
    <n v="25"/>
    <n v="5"/>
    <s v="Medical"/>
    <n v="529"/>
    <n v="2"/>
    <s v="Female"/>
    <n v="72"/>
    <n v="3"/>
    <n v="2"/>
    <s v="Research Scientist"/>
    <n v="3"/>
    <s v="Married"/>
    <n v="4449"/>
    <n v="23866"/>
    <n v="3"/>
    <s v="Yes"/>
    <n v="15"/>
    <n v="3"/>
    <n v="1"/>
    <n v="2"/>
    <n v="15"/>
    <n v="2"/>
    <n v="3"/>
    <n v="13"/>
    <n v="11"/>
    <n v="10"/>
    <n v="7"/>
  </r>
  <r>
    <n v="31"/>
    <x v="1"/>
    <s v="Travel_Rarely"/>
    <n v="329"/>
    <x v="1"/>
    <n v="1"/>
    <n v="2"/>
    <s v="Life Sciences"/>
    <n v="530"/>
    <n v="4"/>
    <s v="Male"/>
    <n v="98"/>
    <n v="2"/>
    <n v="1"/>
    <s v="Laboratory Technician"/>
    <n v="1"/>
    <s v="Married"/>
    <n v="2218"/>
    <n v="16193"/>
    <n v="1"/>
    <s v="No"/>
    <n v="12"/>
    <n v="3"/>
    <n v="3"/>
    <n v="1"/>
    <n v="4"/>
    <n v="3"/>
    <n v="3"/>
    <n v="4"/>
    <n v="2"/>
    <n v="3"/>
    <n v="2"/>
  </r>
  <r>
    <n v="39"/>
    <x v="1"/>
    <s v="Travel_Frequently"/>
    <n v="1218"/>
    <x v="1"/>
    <n v="1"/>
    <n v="1"/>
    <s v="Life Sciences"/>
    <n v="531"/>
    <n v="2"/>
    <s v="Male"/>
    <n v="52"/>
    <n v="3"/>
    <n v="5"/>
    <s v="Manager"/>
    <n v="3"/>
    <s v="Divorced"/>
    <n v="19197"/>
    <n v="8213"/>
    <n v="1"/>
    <s v="Yes"/>
    <n v="14"/>
    <n v="3"/>
    <n v="3"/>
    <n v="1"/>
    <n v="21"/>
    <n v="3"/>
    <n v="3"/>
    <n v="21"/>
    <n v="8"/>
    <n v="1"/>
    <n v="6"/>
  </r>
  <r>
    <n v="56"/>
    <x v="1"/>
    <s v="Travel_Frequently"/>
    <n v="906"/>
    <x v="0"/>
    <n v="6"/>
    <n v="3"/>
    <s v="Life Sciences"/>
    <n v="532"/>
    <n v="3"/>
    <s v="Female"/>
    <n v="86"/>
    <n v="4"/>
    <n v="4"/>
    <s v="Sales Executive"/>
    <n v="1"/>
    <s v="Married"/>
    <n v="13212"/>
    <n v="18256"/>
    <n v="9"/>
    <s v="No"/>
    <n v="11"/>
    <n v="3"/>
    <n v="4"/>
    <n v="3"/>
    <n v="36"/>
    <n v="0"/>
    <n v="2"/>
    <n v="7"/>
    <n v="7"/>
    <n v="7"/>
    <n v="7"/>
  </r>
  <r>
    <n v="30"/>
    <x v="1"/>
    <s v="Travel_Rarely"/>
    <n v="1082"/>
    <x v="0"/>
    <n v="12"/>
    <n v="3"/>
    <s v="Technical Degree"/>
    <n v="533"/>
    <n v="2"/>
    <s v="Female"/>
    <n v="83"/>
    <n v="3"/>
    <n v="2"/>
    <s v="Sales Executive"/>
    <n v="3"/>
    <s v="Single"/>
    <n v="6577"/>
    <n v="19558"/>
    <n v="0"/>
    <s v="No"/>
    <n v="11"/>
    <n v="3"/>
    <n v="2"/>
    <n v="0"/>
    <n v="6"/>
    <n v="6"/>
    <n v="3"/>
    <n v="5"/>
    <n v="4"/>
    <n v="4"/>
    <n v="4"/>
  </r>
  <r>
    <n v="41"/>
    <x v="1"/>
    <s v="Travel_Rarely"/>
    <n v="645"/>
    <x v="0"/>
    <n v="1"/>
    <n v="3"/>
    <s v="Marketing"/>
    <n v="534"/>
    <n v="2"/>
    <s v="Male"/>
    <n v="49"/>
    <n v="4"/>
    <n v="3"/>
    <s v="Sales Executive"/>
    <n v="1"/>
    <s v="Married"/>
    <n v="8392"/>
    <n v="19566"/>
    <n v="1"/>
    <s v="No"/>
    <n v="16"/>
    <n v="3"/>
    <n v="3"/>
    <n v="1"/>
    <n v="10"/>
    <n v="2"/>
    <n v="3"/>
    <n v="10"/>
    <n v="7"/>
    <n v="0"/>
    <n v="7"/>
  </r>
  <r>
    <n v="28"/>
    <x v="1"/>
    <s v="Travel_Rarely"/>
    <n v="1300"/>
    <x v="1"/>
    <n v="17"/>
    <n v="2"/>
    <s v="Medical"/>
    <n v="536"/>
    <n v="3"/>
    <s v="Male"/>
    <n v="79"/>
    <n v="3"/>
    <n v="2"/>
    <s v="Laboratory Technician"/>
    <n v="1"/>
    <s v="Divorced"/>
    <n v="4558"/>
    <n v="13535"/>
    <n v="1"/>
    <s v="No"/>
    <n v="12"/>
    <n v="3"/>
    <n v="4"/>
    <n v="1"/>
    <n v="10"/>
    <n v="2"/>
    <n v="3"/>
    <n v="10"/>
    <n v="0"/>
    <n v="1"/>
    <n v="8"/>
  </r>
  <r>
    <n v="25"/>
    <x v="0"/>
    <s v="Travel_Rarely"/>
    <n v="688"/>
    <x v="1"/>
    <n v="3"/>
    <n v="3"/>
    <s v="Medical"/>
    <n v="538"/>
    <n v="1"/>
    <s v="Male"/>
    <n v="91"/>
    <n v="3"/>
    <n v="1"/>
    <s v="Laboratory Technician"/>
    <n v="1"/>
    <s v="Married"/>
    <n v="4031"/>
    <n v="9396"/>
    <n v="5"/>
    <s v="No"/>
    <n v="13"/>
    <n v="3"/>
    <n v="3"/>
    <n v="1"/>
    <n v="6"/>
    <n v="5"/>
    <n v="3"/>
    <n v="2"/>
    <n v="2"/>
    <n v="0"/>
    <n v="2"/>
  </r>
  <r>
    <n v="52"/>
    <x v="1"/>
    <s v="Travel_Rarely"/>
    <n v="319"/>
    <x v="1"/>
    <n v="3"/>
    <n v="3"/>
    <s v="Medical"/>
    <n v="543"/>
    <n v="4"/>
    <s v="Male"/>
    <n v="39"/>
    <n v="2"/>
    <n v="3"/>
    <s v="Manufacturing Director"/>
    <n v="3"/>
    <s v="Married"/>
    <n v="7969"/>
    <n v="19609"/>
    <n v="2"/>
    <s v="Yes"/>
    <n v="14"/>
    <n v="3"/>
    <n v="3"/>
    <n v="0"/>
    <n v="28"/>
    <n v="4"/>
    <n v="3"/>
    <n v="5"/>
    <n v="4"/>
    <n v="0"/>
    <n v="4"/>
  </r>
  <r>
    <n v="45"/>
    <x v="1"/>
    <s v="Travel_Rarely"/>
    <n v="192"/>
    <x v="1"/>
    <n v="10"/>
    <n v="2"/>
    <s v="Life Sciences"/>
    <n v="544"/>
    <n v="1"/>
    <s v="Male"/>
    <n v="69"/>
    <n v="3"/>
    <n v="1"/>
    <s v="Research Scientist"/>
    <n v="4"/>
    <s v="Married"/>
    <n v="2654"/>
    <n v="9655"/>
    <n v="3"/>
    <s v="No"/>
    <n v="21"/>
    <n v="4"/>
    <n v="4"/>
    <n v="2"/>
    <n v="8"/>
    <n v="3"/>
    <n v="2"/>
    <n v="2"/>
    <n v="2"/>
    <n v="0"/>
    <n v="2"/>
  </r>
  <r>
    <n v="52"/>
    <x v="1"/>
    <s v="Travel_Rarely"/>
    <n v="1490"/>
    <x v="1"/>
    <n v="4"/>
    <n v="2"/>
    <s v="Life Sciences"/>
    <n v="546"/>
    <n v="4"/>
    <s v="Female"/>
    <n v="30"/>
    <n v="3"/>
    <n v="4"/>
    <s v="Manager"/>
    <n v="4"/>
    <s v="Married"/>
    <n v="16555"/>
    <n v="10310"/>
    <n v="2"/>
    <s v="No"/>
    <n v="13"/>
    <n v="3"/>
    <n v="4"/>
    <n v="0"/>
    <n v="31"/>
    <n v="2"/>
    <n v="1"/>
    <n v="5"/>
    <n v="2"/>
    <n v="1"/>
    <n v="4"/>
  </r>
  <r>
    <n v="42"/>
    <x v="1"/>
    <s v="Travel_Frequently"/>
    <n v="532"/>
    <x v="1"/>
    <n v="29"/>
    <n v="2"/>
    <s v="Life Sciences"/>
    <n v="547"/>
    <n v="1"/>
    <s v="Female"/>
    <n v="92"/>
    <n v="3"/>
    <n v="2"/>
    <s v="Research Scientist"/>
    <n v="3"/>
    <s v="Divorced"/>
    <n v="4556"/>
    <n v="12932"/>
    <n v="2"/>
    <s v="No"/>
    <n v="11"/>
    <n v="3"/>
    <n v="2"/>
    <n v="1"/>
    <n v="19"/>
    <n v="3"/>
    <n v="3"/>
    <n v="5"/>
    <n v="4"/>
    <n v="0"/>
    <n v="2"/>
  </r>
  <r>
    <n v="30"/>
    <x v="1"/>
    <s v="Travel_Rarely"/>
    <n v="317"/>
    <x v="1"/>
    <n v="2"/>
    <n v="3"/>
    <s v="Life Sciences"/>
    <n v="548"/>
    <n v="3"/>
    <s v="Female"/>
    <n v="43"/>
    <n v="1"/>
    <n v="2"/>
    <s v="Manufacturing Director"/>
    <n v="4"/>
    <s v="Single"/>
    <n v="6091"/>
    <n v="24793"/>
    <n v="2"/>
    <s v="No"/>
    <n v="20"/>
    <n v="4"/>
    <n v="3"/>
    <n v="0"/>
    <n v="11"/>
    <n v="2"/>
    <n v="3"/>
    <n v="5"/>
    <n v="4"/>
    <n v="0"/>
    <n v="2"/>
  </r>
  <r>
    <n v="60"/>
    <x v="1"/>
    <s v="Travel_Rarely"/>
    <n v="422"/>
    <x v="1"/>
    <n v="7"/>
    <n v="3"/>
    <s v="Life Sciences"/>
    <n v="549"/>
    <n v="1"/>
    <s v="Female"/>
    <n v="41"/>
    <n v="3"/>
    <n v="5"/>
    <s v="Manager"/>
    <n v="1"/>
    <s v="Married"/>
    <n v="19566"/>
    <n v="3854"/>
    <n v="5"/>
    <s v="No"/>
    <n v="11"/>
    <n v="3"/>
    <n v="4"/>
    <n v="0"/>
    <n v="33"/>
    <n v="5"/>
    <n v="1"/>
    <n v="29"/>
    <n v="8"/>
    <n v="11"/>
    <n v="10"/>
  </r>
  <r>
    <n v="46"/>
    <x v="1"/>
    <s v="Travel_Rarely"/>
    <n v="1485"/>
    <x v="1"/>
    <n v="18"/>
    <n v="3"/>
    <s v="Medical"/>
    <n v="550"/>
    <n v="3"/>
    <s v="Female"/>
    <n v="87"/>
    <n v="3"/>
    <n v="2"/>
    <s v="Manufacturing Director"/>
    <n v="3"/>
    <s v="Divorced"/>
    <n v="4810"/>
    <n v="26314"/>
    <n v="2"/>
    <s v="No"/>
    <n v="14"/>
    <n v="3"/>
    <n v="3"/>
    <n v="1"/>
    <n v="19"/>
    <n v="5"/>
    <n v="2"/>
    <n v="10"/>
    <n v="7"/>
    <n v="0"/>
    <n v="8"/>
  </r>
  <r>
    <n v="42"/>
    <x v="1"/>
    <s v="Travel_Frequently"/>
    <n v="1368"/>
    <x v="1"/>
    <n v="28"/>
    <n v="4"/>
    <s v="Technical Degree"/>
    <n v="551"/>
    <n v="4"/>
    <s v="Female"/>
    <n v="88"/>
    <n v="2"/>
    <n v="2"/>
    <s v="Healthcare Representative"/>
    <n v="4"/>
    <s v="Married"/>
    <n v="4523"/>
    <n v="4386"/>
    <n v="0"/>
    <s v="No"/>
    <n v="11"/>
    <n v="3"/>
    <n v="4"/>
    <n v="3"/>
    <n v="7"/>
    <n v="4"/>
    <n v="4"/>
    <n v="6"/>
    <n v="5"/>
    <n v="0"/>
    <n v="4"/>
  </r>
  <r>
    <n v="24"/>
    <x v="0"/>
    <s v="Travel_Rarely"/>
    <n v="1448"/>
    <x v="0"/>
    <n v="1"/>
    <n v="1"/>
    <s v="Technical Degree"/>
    <n v="554"/>
    <n v="1"/>
    <s v="Female"/>
    <n v="62"/>
    <n v="3"/>
    <n v="1"/>
    <s v="Sales Representative"/>
    <n v="2"/>
    <s v="Single"/>
    <n v="3202"/>
    <n v="21972"/>
    <n v="1"/>
    <s v="Yes"/>
    <n v="16"/>
    <n v="3"/>
    <n v="2"/>
    <n v="0"/>
    <n v="6"/>
    <n v="4"/>
    <n v="3"/>
    <n v="5"/>
    <n v="3"/>
    <n v="1"/>
    <n v="4"/>
  </r>
  <r>
    <n v="34"/>
    <x v="0"/>
    <s v="Travel_Frequently"/>
    <n v="296"/>
    <x v="0"/>
    <n v="6"/>
    <n v="2"/>
    <s v="Marketing"/>
    <n v="555"/>
    <n v="4"/>
    <s v="Female"/>
    <n v="33"/>
    <n v="1"/>
    <n v="1"/>
    <s v="Sales Representative"/>
    <n v="3"/>
    <s v="Divorced"/>
    <n v="2351"/>
    <n v="12253"/>
    <n v="0"/>
    <s v="No"/>
    <n v="16"/>
    <n v="3"/>
    <n v="4"/>
    <n v="1"/>
    <n v="3"/>
    <n v="3"/>
    <n v="2"/>
    <n v="2"/>
    <n v="2"/>
    <n v="1"/>
    <n v="0"/>
  </r>
  <r>
    <n v="38"/>
    <x v="1"/>
    <s v="Travel_Frequently"/>
    <n v="1490"/>
    <x v="1"/>
    <n v="2"/>
    <n v="2"/>
    <s v="Life Sciences"/>
    <n v="556"/>
    <n v="4"/>
    <s v="Male"/>
    <n v="42"/>
    <n v="3"/>
    <n v="1"/>
    <s v="Laboratory Technician"/>
    <n v="4"/>
    <s v="Married"/>
    <n v="1702"/>
    <n v="12106"/>
    <n v="1"/>
    <s v="Yes"/>
    <n v="23"/>
    <n v="4"/>
    <n v="3"/>
    <n v="1"/>
    <n v="1"/>
    <n v="3"/>
    <n v="3"/>
    <n v="1"/>
    <n v="0"/>
    <n v="0"/>
    <n v="0"/>
  </r>
  <r>
    <n v="40"/>
    <x v="1"/>
    <s v="Travel_Rarely"/>
    <n v="1398"/>
    <x v="0"/>
    <n v="2"/>
    <n v="4"/>
    <s v="Life Sciences"/>
    <n v="558"/>
    <n v="3"/>
    <s v="Female"/>
    <n v="79"/>
    <n v="3"/>
    <n v="5"/>
    <s v="Manager"/>
    <n v="3"/>
    <s v="Married"/>
    <n v="18041"/>
    <n v="13022"/>
    <n v="0"/>
    <s v="No"/>
    <n v="14"/>
    <n v="3"/>
    <n v="4"/>
    <n v="0"/>
    <n v="21"/>
    <n v="2"/>
    <n v="3"/>
    <n v="20"/>
    <n v="15"/>
    <n v="1"/>
    <n v="12"/>
  </r>
  <r>
    <n v="26"/>
    <x v="1"/>
    <s v="Travel_Rarely"/>
    <n v="1349"/>
    <x v="1"/>
    <n v="23"/>
    <n v="3"/>
    <s v="Life Sciences"/>
    <n v="560"/>
    <n v="1"/>
    <s v="Female"/>
    <n v="90"/>
    <n v="3"/>
    <n v="1"/>
    <s v="Research Scientist"/>
    <n v="4"/>
    <s v="Divorced"/>
    <n v="2886"/>
    <n v="3032"/>
    <n v="1"/>
    <s v="No"/>
    <n v="22"/>
    <n v="4"/>
    <n v="2"/>
    <n v="2"/>
    <n v="3"/>
    <n v="3"/>
    <n v="1"/>
    <n v="3"/>
    <n v="2"/>
    <n v="0"/>
    <n v="2"/>
  </r>
  <r>
    <n v="30"/>
    <x v="1"/>
    <s v="Non-Travel"/>
    <n v="1400"/>
    <x v="1"/>
    <n v="3"/>
    <n v="3"/>
    <s v="Life Sciences"/>
    <n v="562"/>
    <n v="3"/>
    <s v="Male"/>
    <n v="53"/>
    <n v="3"/>
    <n v="1"/>
    <s v="Laboratory Technician"/>
    <n v="4"/>
    <s v="Married"/>
    <n v="2097"/>
    <n v="16734"/>
    <n v="4"/>
    <s v="No"/>
    <n v="15"/>
    <n v="3"/>
    <n v="3"/>
    <n v="1"/>
    <n v="9"/>
    <n v="3"/>
    <n v="1"/>
    <n v="5"/>
    <n v="3"/>
    <n v="1"/>
    <n v="4"/>
  </r>
  <r>
    <n v="29"/>
    <x v="1"/>
    <s v="Travel_Rarely"/>
    <n v="986"/>
    <x v="1"/>
    <n v="3"/>
    <n v="4"/>
    <s v="Medical"/>
    <n v="564"/>
    <n v="2"/>
    <s v="Male"/>
    <n v="93"/>
    <n v="2"/>
    <n v="3"/>
    <s v="Research Director"/>
    <n v="3"/>
    <s v="Married"/>
    <n v="11935"/>
    <n v="21526"/>
    <n v="1"/>
    <s v="No"/>
    <n v="18"/>
    <n v="3"/>
    <n v="3"/>
    <n v="0"/>
    <n v="10"/>
    <n v="2"/>
    <n v="3"/>
    <n v="10"/>
    <n v="2"/>
    <n v="0"/>
    <n v="7"/>
  </r>
  <r>
    <n v="29"/>
    <x v="0"/>
    <s v="Travel_Rarely"/>
    <n v="408"/>
    <x v="1"/>
    <n v="25"/>
    <n v="5"/>
    <s v="Technical Degree"/>
    <n v="565"/>
    <n v="3"/>
    <s v="Female"/>
    <n v="71"/>
    <n v="2"/>
    <n v="1"/>
    <s v="Research Scientist"/>
    <n v="2"/>
    <s v="Married"/>
    <n v="2546"/>
    <n v="18300"/>
    <n v="5"/>
    <s v="No"/>
    <n v="16"/>
    <n v="3"/>
    <n v="2"/>
    <n v="0"/>
    <n v="6"/>
    <n v="2"/>
    <n v="4"/>
    <n v="2"/>
    <n v="2"/>
    <n v="1"/>
    <n v="1"/>
  </r>
  <r>
    <n v="19"/>
    <x v="0"/>
    <s v="Travel_Rarely"/>
    <n v="489"/>
    <x v="2"/>
    <n v="2"/>
    <n v="2"/>
    <s v="Technical Degree"/>
    <n v="566"/>
    <n v="1"/>
    <s v="Male"/>
    <n v="52"/>
    <n v="2"/>
    <n v="1"/>
    <s v="Human Resources"/>
    <n v="4"/>
    <s v="Single"/>
    <n v="2564"/>
    <n v="18437"/>
    <n v="1"/>
    <s v="No"/>
    <n v="12"/>
    <n v="3"/>
    <n v="3"/>
    <n v="0"/>
    <n v="1"/>
    <n v="3"/>
    <n v="4"/>
    <n v="1"/>
    <n v="0"/>
    <n v="0"/>
    <n v="0"/>
  </r>
  <r>
    <n v="30"/>
    <x v="1"/>
    <s v="Non-Travel"/>
    <n v="1398"/>
    <x v="0"/>
    <n v="22"/>
    <n v="4"/>
    <s v="Other"/>
    <n v="567"/>
    <n v="3"/>
    <s v="Female"/>
    <n v="69"/>
    <n v="3"/>
    <n v="3"/>
    <s v="Sales Executive"/>
    <n v="1"/>
    <s v="Married"/>
    <n v="8412"/>
    <n v="2890"/>
    <n v="0"/>
    <s v="No"/>
    <n v="11"/>
    <n v="3"/>
    <n v="3"/>
    <n v="0"/>
    <n v="10"/>
    <n v="3"/>
    <n v="3"/>
    <n v="9"/>
    <n v="8"/>
    <n v="7"/>
    <n v="8"/>
  </r>
  <r>
    <n v="57"/>
    <x v="1"/>
    <s v="Travel_Rarely"/>
    <n v="210"/>
    <x v="0"/>
    <n v="29"/>
    <n v="3"/>
    <s v="Marketing"/>
    <n v="568"/>
    <n v="1"/>
    <s v="Male"/>
    <n v="56"/>
    <n v="2"/>
    <n v="4"/>
    <s v="Manager"/>
    <n v="4"/>
    <s v="Divorced"/>
    <n v="14118"/>
    <n v="22102"/>
    <n v="3"/>
    <s v="No"/>
    <n v="12"/>
    <n v="3"/>
    <n v="3"/>
    <n v="1"/>
    <n v="32"/>
    <n v="3"/>
    <n v="2"/>
    <n v="1"/>
    <n v="0"/>
    <n v="0"/>
    <n v="0"/>
  </r>
  <r>
    <n v="50"/>
    <x v="1"/>
    <s v="Travel_Rarely"/>
    <n v="1099"/>
    <x v="1"/>
    <n v="29"/>
    <n v="4"/>
    <s v="Life Sciences"/>
    <n v="569"/>
    <n v="2"/>
    <s v="Male"/>
    <n v="88"/>
    <n v="2"/>
    <n v="4"/>
    <s v="Manager"/>
    <n v="3"/>
    <s v="Married"/>
    <n v="17046"/>
    <n v="9314"/>
    <n v="0"/>
    <s v="No"/>
    <n v="15"/>
    <n v="3"/>
    <n v="2"/>
    <n v="1"/>
    <n v="28"/>
    <n v="2"/>
    <n v="3"/>
    <n v="27"/>
    <n v="10"/>
    <n v="15"/>
    <n v="7"/>
  </r>
  <r>
    <n v="30"/>
    <x v="1"/>
    <s v="Non-Travel"/>
    <n v="1116"/>
    <x v="1"/>
    <n v="2"/>
    <n v="3"/>
    <s v="Medical"/>
    <n v="571"/>
    <n v="3"/>
    <s v="Female"/>
    <n v="49"/>
    <n v="3"/>
    <n v="1"/>
    <s v="Laboratory Technician"/>
    <n v="4"/>
    <s v="Single"/>
    <n v="2564"/>
    <n v="7181"/>
    <n v="0"/>
    <s v="No"/>
    <n v="14"/>
    <n v="3"/>
    <n v="3"/>
    <n v="0"/>
    <n v="12"/>
    <n v="2"/>
    <n v="2"/>
    <n v="11"/>
    <n v="7"/>
    <n v="6"/>
    <n v="7"/>
  </r>
  <r>
    <n v="60"/>
    <x v="1"/>
    <s v="Travel_Frequently"/>
    <n v="1499"/>
    <x v="0"/>
    <n v="28"/>
    <n v="3"/>
    <s v="Marketing"/>
    <n v="573"/>
    <n v="3"/>
    <s v="Female"/>
    <n v="80"/>
    <n v="2"/>
    <n v="3"/>
    <s v="Sales Executive"/>
    <n v="1"/>
    <s v="Married"/>
    <n v="10266"/>
    <n v="2845"/>
    <n v="4"/>
    <s v="No"/>
    <n v="19"/>
    <n v="3"/>
    <n v="4"/>
    <n v="0"/>
    <n v="22"/>
    <n v="5"/>
    <n v="4"/>
    <n v="18"/>
    <n v="13"/>
    <n v="13"/>
    <n v="11"/>
  </r>
  <r>
    <n v="47"/>
    <x v="1"/>
    <s v="Travel_Rarely"/>
    <n v="983"/>
    <x v="1"/>
    <n v="2"/>
    <n v="2"/>
    <s v="Medical"/>
    <n v="574"/>
    <n v="1"/>
    <s v="Female"/>
    <n v="65"/>
    <n v="3"/>
    <n v="2"/>
    <s v="Manufacturing Director"/>
    <n v="4"/>
    <s v="Divorced"/>
    <n v="5070"/>
    <n v="7389"/>
    <n v="5"/>
    <s v="No"/>
    <n v="13"/>
    <n v="3"/>
    <n v="3"/>
    <n v="3"/>
    <n v="20"/>
    <n v="2"/>
    <n v="3"/>
    <n v="5"/>
    <n v="0"/>
    <n v="0"/>
    <n v="4"/>
  </r>
  <r>
    <n v="46"/>
    <x v="1"/>
    <s v="Travel_Rarely"/>
    <n v="1009"/>
    <x v="1"/>
    <n v="2"/>
    <n v="3"/>
    <s v="Life Sciences"/>
    <n v="575"/>
    <n v="1"/>
    <s v="Male"/>
    <n v="51"/>
    <n v="3"/>
    <n v="4"/>
    <s v="Research Director"/>
    <n v="3"/>
    <s v="Married"/>
    <n v="17861"/>
    <n v="2288"/>
    <n v="6"/>
    <s v="No"/>
    <n v="13"/>
    <n v="3"/>
    <n v="3"/>
    <n v="0"/>
    <n v="26"/>
    <n v="2"/>
    <n v="1"/>
    <n v="3"/>
    <n v="2"/>
    <n v="0"/>
    <n v="1"/>
  </r>
  <r>
    <n v="35"/>
    <x v="1"/>
    <s v="Travel_Rarely"/>
    <n v="144"/>
    <x v="1"/>
    <n v="22"/>
    <n v="3"/>
    <s v="Life Sciences"/>
    <n v="577"/>
    <n v="4"/>
    <s v="Male"/>
    <n v="46"/>
    <n v="1"/>
    <n v="1"/>
    <s v="Laboratory Technician"/>
    <n v="3"/>
    <s v="Single"/>
    <n v="4230"/>
    <n v="19225"/>
    <n v="0"/>
    <s v="No"/>
    <n v="15"/>
    <n v="3"/>
    <n v="3"/>
    <n v="0"/>
    <n v="6"/>
    <n v="2"/>
    <n v="3"/>
    <n v="5"/>
    <n v="4"/>
    <n v="4"/>
    <n v="3"/>
  </r>
  <r>
    <n v="54"/>
    <x v="1"/>
    <s v="Travel_Rarely"/>
    <n v="548"/>
    <x v="1"/>
    <n v="8"/>
    <n v="4"/>
    <s v="Life Sciences"/>
    <n v="578"/>
    <n v="3"/>
    <s v="Female"/>
    <n v="42"/>
    <n v="3"/>
    <n v="2"/>
    <s v="Laboratory Technician"/>
    <n v="3"/>
    <s v="Single"/>
    <n v="3780"/>
    <n v="23428"/>
    <n v="7"/>
    <s v="No"/>
    <n v="11"/>
    <n v="3"/>
    <n v="3"/>
    <n v="0"/>
    <n v="19"/>
    <n v="3"/>
    <n v="3"/>
    <n v="1"/>
    <n v="0"/>
    <n v="0"/>
    <n v="0"/>
  </r>
  <r>
    <n v="34"/>
    <x v="1"/>
    <s v="Travel_Rarely"/>
    <n v="1303"/>
    <x v="1"/>
    <n v="2"/>
    <n v="4"/>
    <s v="Life Sciences"/>
    <n v="579"/>
    <n v="4"/>
    <s v="Male"/>
    <n v="62"/>
    <n v="2"/>
    <n v="1"/>
    <s v="Research Scientist"/>
    <n v="3"/>
    <s v="Divorced"/>
    <n v="2768"/>
    <n v="8416"/>
    <n v="3"/>
    <s v="No"/>
    <n v="12"/>
    <n v="3"/>
    <n v="3"/>
    <n v="1"/>
    <n v="14"/>
    <n v="3"/>
    <n v="3"/>
    <n v="7"/>
    <n v="3"/>
    <n v="5"/>
    <n v="7"/>
  </r>
  <r>
    <n v="46"/>
    <x v="1"/>
    <s v="Travel_Rarely"/>
    <n v="1125"/>
    <x v="0"/>
    <n v="10"/>
    <n v="3"/>
    <s v="Marketing"/>
    <n v="580"/>
    <n v="3"/>
    <s v="Female"/>
    <n v="94"/>
    <n v="2"/>
    <n v="3"/>
    <s v="Sales Executive"/>
    <n v="4"/>
    <s v="Married"/>
    <n v="9071"/>
    <n v="11563"/>
    <n v="2"/>
    <s v="Yes"/>
    <n v="19"/>
    <n v="3"/>
    <n v="3"/>
    <n v="1"/>
    <n v="15"/>
    <n v="3"/>
    <n v="3"/>
    <n v="3"/>
    <n v="2"/>
    <n v="1"/>
    <n v="2"/>
  </r>
  <r>
    <n v="31"/>
    <x v="1"/>
    <s v="Travel_Rarely"/>
    <n v="1274"/>
    <x v="1"/>
    <n v="9"/>
    <n v="1"/>
    <s v="Life Sciences"/>
    <n v="581"/>
    <n v="3"/>
    <s v="Male"/>
    <n v="33"/>
    <n v="3"/>
    <n v="3"/>
    <s v="Manufacturing Director"/>
    <n v="2"/>
    <s v="Divorced"/>
    <n v="10648"/>
    <n v="14394"/>
    <n v="1"/>
    <s v="No"/>
    <n v="25"/>
    <n v="4"/>
    <n v="4"/>
    <n v="1"/>
    <n v="13"/>
    <n v="6"/>
    <n v="4"/>
    <n v="13"/>
    <n v="8"/>
    <n v="0"/>
    <n v="8"/>
  </r>
  <r>
    <n v="33"/>
    <x v="0"/>
    <s v="Travel_Rarely"/>
    <n v="1277"/>
    <x v="1"/>
    <n v="15"/>
    <n v="1"/>
    <s v="Medical"/>
    <n v="582"/>
    <n v="2"/>
    <s v="Male"/>
    <n v="56"/>
    <n v="3"/>
    <n v="3"/>
    <s v="Manager"/>
    <n v="3"/>
    <s v="Married"/>
    <n v="13610"/>
    <n v="24619"/>
    <n v="7"/>
    <s v="Yes"/>
    <n v="12"/>
    <n v="3"/>
    <n v="4"/>
    <n v="0"/>
    <n v="15"/>
    <n v="2"/>
    <n v="4"/>
    <n v="7"/>
    <n v="6"/>
    <n v="7"/>
    <n v="7"/>
  </r>
  <r>
    <n v="33"/>
    <x v="0"/>
    <s v="Travel_Rarely"/>
    <n v="587"/>
    <x v="1"/>
    <n v="10"/>
    <n v="1"/>
    <s v="Medical"/>
    <n v="584"/>
    <n v="1"/>
    <s v="Male"/>
    <n v="38"/>
    <n v="1"/>
    <n v="1"/>
    <s v="Laboratory Technician"/>
    <n v="4"/>
    <s v="Divorced"/>
    <n v="3408"/>
    <n v="6705"/>
    <n v="7"/>
    <s v="No"/>
    <n v="13"/>
    <n v="3"/>
    <n v="1"/>
    <n v="3"/>
    <n v="8"/>
    <n v="2"/>
    <n v="3"/>
    <n v="4"/>
    <n v="3"/>
    <n v="1"/>
    <n v="3"/>
  </r>
  <r>
    <n v="30"/>
    <x v="1"/>
    <s v="Travel_Rarely"/>
    <n v="413"/>
    <x v="0"/>
    <n v="7"/>
    <n v="1"/>
    <s v="Marketing"/>
    <n v="585"/>
    <n v="4"/>
    <s v="Male"/>
    <n v="57"/>
    <n v="3"/>
    <n v="1"/>
    <s v="Sales Representative"/>
    <n v="2"/>
    <s v="Single"/>
    <n v="2983"/>
    <n v="18398"/>
    <n v="0"/>
    <s v="No"/>
    <n v="14"/>
    <n v="3"/>
    <n v="1"/>
    <n v="0"/>
    <n v="4"/>
    <n v="3"/>
    <n v="3"/>
    <n v="3"/>
    <n v="2"/>
    <n v="1"/>
    <n v="2"/>
  </r>
  <r>
    <n v="35"/>
    <x v="1"/>
    <s v="Travel_Rarely"/>
    <n v="1276"/>
    <x v="1"/>
    <n v="16"/>
    <n v="3"/>
    <s v="Life Sciences"/>
    <n v="586"/>
    <n v="4"/>
    <s v="Male"/>
    <n v="72"/>
    <n v="3"/>
    <n v="3"/>
    <s v="Healthcare Representative"/>
    <n v="3"/>
    <s v="Married"/>
    <n v="7632"/>
    <n v="14295"/>
    <n v="4"/>
    <s v="Yes"/>
    <n v="12"/>
    <n v="3"/>
    <n v="3"/>
    <n v="0"/>
    <n v="10"/>
    <n v="2"/>
    <n v="3"/>
    <n v="8"/>
    <n v="7"/>
    <n v="0"/>
    <n v="0"/>
  </r>
  <r>
    <n v="31"/>
    <x v="0"/>
    <s v="Travel_Frequently"/>
    <n v="534"/>
    <x v="1"/>
    <n v="20"/>
    <n v="3"/>
    <s v="Life Sciences"/>
    <n v="587"/>
    <n v="1"/>
    <s v="Male"/>
    <n v="66"/>
    <n v="3"/>
    <n v="3"/>
    <s v="Healthcare Representative"/>
    <n v="3"/>
    <s v="Married"/>
    <n v="9824"/>
    <n v="22908"/>
    <n v="3"/>
    <s v="No"/>
    <n v="12"/>
    <n v="3"/>
    <n v="1"/>
    <n v="0"/>
    <n v="12"/>
    <n v="2"/>
    <n v="3"/>
    <n v="1"/>
    <n v="0"/>
    <n v="0"/>
    <n v="0"/>
  </r>
  <r>
    <n v="34"/>
    <x v="0"/>
    <s v="Travel_Frequently"/>
    <n v="988"/>
    <x v="2"/>
    <n v="23"/>
    <n v="3"/>
    <s v="Human Resources"/>
    <n v="590"/>
    <n v="2"/>
    <s v="Female"/>
    <n v="43"/>
    <n v="3"/>
    <n v="3"/>
    <s v="Human Resources"/>
    <n v="1"/>
    <s v="Divorced"/>
    <n v="9950"/>
    <n v="11533"/>
    <n v="9"/>
    <s v="Yes"/>
    <n v="15"/>
    <n v="3"/>
    <n v="3"/>
    <n v="3"/>
    <n v="11"/>
    <n v="2"/>
    <n v="3"/>
    <n v="3"/>
    <n v="2"/>
    <n v="0"/>
    <n v="2"/>
  </r>
  <r>
    <n v="42"/>
    <x v="1"/>
    <s v="Travel_Frequently"/>
    <n v="1474"/>
    <x v="1"/>
    <n v="5"/>
    <n v="2"/>
    <s v="Other"/>
    <n v="591"/>
    <n v="2"/>
    <s v="Male"/>
    <n v="97"/>
    <n v="3"/>
    <n v="1"/>
    <s v="Laboratory Technician"/>
    <n v="3"/>
    <s v="Married"/>
    <n v="2093"/>
    <n v="9260"/>
    <n v="4"/>
    <s v="No"/>
    <n v="17"/>
    <n v="3"/>
    <n v="4"/>
    <n v="1"/>
    <n v="8"/>
    <n v="4"/>
    <n v="3"/>
    <n v="2"/>
    <n v="2"/>
    <n v="2"/>
    <n v="0"/>
  </r>
  <r>
    <n v="36"/>
    <x v="1"/>
    <s v="Non-Travel"/>
    <n v="635"/>
    <x v="0"/>
    <n v="10"/>
    <n v="4"/>
    <s v="Medical"/>
    <n v="592"/>
    <n v="2"/>
    <s v="Male"/>
    <n v="32"/>
    <n v="3"/>
    <n v="3"/>
    <s v="Sales Executive"/>
    <n v="4"/>
    <s v="Single"/>
    <n v="9980"/>
    <n v="15318"/>
    <n v="1"/>
    <s v="No"/>
    <n v="14"/>
    <n v="3"/>
    <n v="4"/>
    <n v="0"/>
    <n v="10"/>
    <n v="3"/>
    <n v="2"/>
    <n v="10"/>
    <n v="3"/>
    <n v="9"/>
    <n v="7"/>
  </r>
  <r>
    <n v="22"/>
    <x v="0"/>
    <s v="Travel_Frequently"/>
    <n v="1368"/>
    <x v="1"/>
    <n v="4"/>
    <n v="1"/>
    <s v="Technical Degree"/>
    <n v="593"/>
    <n v="3"/>
    <s v="Male"/>
    <n v="99"/>
    <n v="2"/>
    <n v="1"/>
    <s v="Laboratory Technician"/>
    <n v="3"/>
    <s v="Single"/>
    <n v="3894"/>
    <n v="9129"/>
    <n v="5"/>
    <s v="No"/>
    <n v="16"/>
    <n v="3"/>
    <n v="3"/>
    <n v="0"/>
    <n v="4"/>
    <n v="3"/>
    <n v="3"/>
    <n v="2"/>
    <n v="2"/>
    <n v="1"/>
    <n v="2"/>
  </r>
  <r>
    <n v="48"/>
    <x v="1"/>
    <s v="Travel_Rarely"/>
    <n v="163"/>
    <x v="0"/>
    <n v="2"/>
    <n v="5"/>
    <s v="Marketing"/>
    <n v="595"/>
    <n v="2"/>
    <s v="Female"/>
    <n v="37"/>
    <n v="3"/>
    <n v="2"/>
    <s v="Sales Executive"/>
    <n v="4"/>
    <s v="Married"/>
    <n v="4051"/>
    <n v="19658"/>
    <n v="2"/>
    <s v="No"/>
    <n v="14"/>
    <n v="3"/>
    <n v="1"/>
    <n v="1"/>
    <n v="14"/>
    <n v="2"/>
    <n v="3"/>
    <n v="9"/>
    <n v="7"/>
    <n v="6"/>
    <n v="7"/>
  </r>
  <r>
    <n v="55"/>
    <x v="1"/>
    <s v="Travel_Rarely"/>
    <n v="1117"/>
    <x v="0"/>
    <n v="18"/>
    <n v="5"/>
    <s v="Life Sciences"/>
    <n v="597"/>
    <n v="1"/>
    <s v="Female"/>
    <n v="83"/>
    <n v="3"/>
    <n v="4"/>
    <s v="Manager"/>
    <n v="2"/>
    <s v="Single"/>
    <n v="16835"/>
    <n v="9873"/>
    <n v="3"/>
    <s v="No"/>
    <n v="23"/>
    <n v="4"/>
    <n v="4"/>
    <n v="0"/>
    <n v="37"/>
    <n v="2"/>
    <n v="3"/>
    <n v="10"/>
    <n v="9"/>
    <n v="7"/>
    <n v="7"/>
  </r>
  <r>
    <n v="41"/>
    <x v="1"/>
    <s v="Non-Travel"/>
    <n v="267"/>
    <x v="0"/>
    <n v="10"/>
    <n v="2"/>
    <s v="Life Sciences"/>
    <n v="599"/>
    <n v="4"/>
    <s v="Male"/>
    <n v="56"/>
    <n v="3"/>
    <n v="2"/>
    <s v="Sales Executive"/>
    <n v="4"/>
    <s v="Single"/>
    <n v="6230"/>
    <n v="13430"/>
    <n v="7"/>
    <s v="No"/>
    <n v="14"/>
    <n v="3"/>
    <n v="4"/>
    <n v="0"/>
    <n v="16"/>
    <n v="3"/>
    <n v="3"/>
    <n v="14"/>
    <n v="3"/>
    <n v="1"/>
    <n v="10"/>
  </r>
  <r>
    <n v="35"/>
    <x v="1"/>
    <s v="Travel_Rarely"/>
    <n v="619"/>
    <x v="0"/>
    <n v="1"/>
    <n v="3"/>
    <s v="Marketing"/>
    <n v="600"/>
    <n v="2"/>
    <s v="Male"/>
    <n v="85"/>
    <n v="3"/>
    <n v="2"/>
    <s v="Sales Executive"/>
    <n v="3"/>
    <s v="Married"/>
    <n v="4717"/>
    <n v="18659"/>
    <n v="9"/>
    <s v="No"/>
    <n v="11"/>
    <n v="3"/>
    <n v="3"/>
    <n v="0"/>
    <n v="15"/>
    <n v="2"/>
    <n v="3"/>
    <n v="11"/>
    <n v="9"/>
    <n v="6"/>
    <n v="9"/>
  </r>
  <r>
    <n v="40"/>
    <x v="1"/>
    <s v="Travel_Rarely"/>
    <n v="302"/>
    <x v="1"/>
    <n v="6"/>
    <n v="3"/>
    <s v="Life Sciences"/>
    <n v="601"/>
    <n v="2"/>
    <s v="Female"/>
    <n v="75"/>
    <n v="3"/>
    <n v="4"/>
    <s v="Manufacturing Director"/>
    <n v="3"/>
    <s v="Single"/>
    <n v="13237"/>
    <n v="20364"/>
    <n v="7"/>
    <s v="No"/>
    <n v="15"/>
    <n v="3"/>
    <n v="3"/>
    <n v="0"/>
    <n v="22"/>
    <n v="3"/>
    <n v="3"/>
    <n v="20"/>
    <n v="6"/>
    <n v="5"/>
    <n v="13"/>
  </r>
  <r>
    <n v="39"/>
    <x v="1"/>
    <s v="Travel_Frequently"/>
    <n v="443"/>
    <x v="1"/>
    <n v="8"/>
    <n v="1"/>
    <s v="Life Sciences"/>
    <n v="602"/>
    <n v="3"/>
    <s v="Female"/>
    <n v="48"/>
    <n v="3"/>
    <n v="1"/>
    <s v="Laboratory Technician"/>
    <n v="3"/>
    <s v="Married"/>
    <n v="3755"/>
    <n v="17872"/>
    <n v="1"/>
    <s v="No"/>
    <n v="11"/>
    <n v="3"/>
    <n v="1"/>
    <n v="1"/>
    <n v="8"/>
    <n v="3"/>
    <n v="3"/>
    <n v="8"/>
    <n v="3"/>
    <n v="0"/>
    <n v="7"/>
  </r>
  <r>
    <n v="31"/>
    <x v="1"/>
    <s v="Travel_Rarely"/>
    <n v="828"/>
    <x v="0"/>
    <n v="2"/>
    <n v="1"/>
    <s v="Life Sciences"/>
    <n v="604"/>
    <n v="2"/>
    <s v="Male"/>
    <n v="77"/>
    <n v="3"/>
    <n v="2"/>
    <s v="Sales Executive"/>
    <n v="4"/>
    <s v="Single"/>
    <n v="6582"/>
    <n v="8346"/>
    <n v="4"/>
    <s v="Yes"/>
    <n v="13"/>
    <n v="3"/>
    <n v="3"/>
    <n v="0"/>
    <n v="10"/>
    <n v="2"/>
    <n v="4"/>
    <n v="6"/>
    <n v="5"/>
    <n v="0"/>
    <n v="5"/>
  </r>
  <r>
    <n v="42"/>
    <x v="1"/>
    <s v="Travel_Rarely"/>
    <n v="319"/>
    <x v="1"/>
    <n v="24"/>
    <n v="3"/>
    <s v="Medical"/>
    <n v="605"/>
    <n v="4"/>
    <s v="Male"/>
    <n v="56"/>
    <n v="3"/>
    <n v="3"/>
    <s v="Manufacturing Director"/>
    <n v="1"/>
    <s v="Married"/>
    <n v="7406"/>
    <n v="6950"/>
    <n v="1"/>
    <s v="Yes"/>
    <n v="21"/>
    <n v="4"/>
    <n v="4"/>
    <n v="1"/>
    <n v="10"/>
    <n v="5"/>
    <n v="2"/>
    <n v="10"/>
    <n v="9"/>
    <n v="5"/>
    <n v="8"/>
  </r>
  <r>
    <n v="45"/>
    <x v="1"/>
    <s v="Travel_Rarely"/>
    <n v="561"/>
    <x v="0"/>
    <n v="2"/>
    <n v="3"/>
    <s v="Other"/>
    <n v="606"/>
    <n v="4"/>
    <s v="Male"/>
    <n v="61"/>
    <n v="3"/>
    <n v="2"/>
    <s v="Sales Executive"/>
    <n v="2"/>
    <s v="Married"/>
    <n v="4805"/>
    <n v="16177"/>
    <n v="0"/>
    <s v="No"/>
    <n v="19"/>
    <n v="3"/>
    <n v="2"/>
    <n v="1"/>
    <n v="9"/>
    <n v="3"/>
    <n v="4"/>
    <n v="8"/>
    <n v="7"/>
    <n v="3"/>
    <n v="7"/>
  </r>
  <r>
    <n v="26"/>
    <x v="0"/>
    <s v="Travel_Frequently"/>
    <n v="426"/>
    <x v="2"/>
    <n v="17"/>
    <n v="4"/>
    <s v="Life Sciences"/>
    <n v="608"/>
    <n v="2"/>
    <s v="Female"/>
    <n v="58"/>
    <n v="3"/>
    <n v="1"/>
    <s v="Human Resources"/>
    <n v="3"/>
    <s v="Divorced"/>
    <n v="2741"/>
    <n v="22808"/>
    <n v="0"/>
    <s v="Yes"/>
    <n v="11"/>
    <n v="3"/>
    <n v="2"/>
    <n v="1"/>
    <n v="8"/>
    <n v="2"/>
    <n v="2"/>
    <n v="7"/>
    <n v="7"/>
    <n v="1"/>
    <n v="0"/>
  </r>
  <r>
    <n v="29"/>
    <x v="1"/>
    <s v="Travel_Rarely"/>
    <n v="232"/>
    <x v="1"/>
    <n v="19"/>
    <n v="3"/>
    <s v="Technical Degree"/>
    <n v="611"/>
    <n v="4"/>
    <s v="Male"/>
    <n v="34"/>
    <n v="3"/>
    <n v="2"/>
    <s v="Manufacturing Director"/>
    <n v="4"/>
    <s v="Divorced"/>
    <n v="4262"/>
    <n v="22645"/>
    <n v="4"/>
    <s v="No"/>
    <n v="12"/>
    <n v="3"/>
    <n v="2"/>
    <n v="2"/>
    <n v="8"/>
    <n v="2"/>
    <n v="4"/>
    <n v="3"/>
    <n v="2"/>
    <n v="1"/>
    <n v="2"/>
  </r>
  <r>
    <n v="33"/>
    <x v="1"/>
    <s v="Travel_Rarely"/>
    <n v="922"/>
    <x v="1"/>
    <n v="1"/>
    <n v="5"/>
    <s v="Medical"/>
    <n v="612"/>
    <n v="1"/>
    <s v="Female"/>
    <n v="95"/>
    <n v="4"/>
    <n v="4"/>
    <s v="Research Director"/>
    <n v="3"/>
    <s v="Divorced"/>
    <n v="16184"/>
    <n v="22578"/>
    <n v="4"/>
    <s v="No"/>
    <n v="19"/>
    <n v="3"/>
    <n v="3"/>
    <n v="1"/>
    <n v="10"/>
    <n v="2"/>
    <n v="3"/>
    <n v="6"/>
    <n v="1"/>
    <n v="0"/>
    <n v="5"/>
  </r>
  <r>
    <n v="31"/>
    <x v="1"/>
    <s v="Travel_Rarely"/>
    <n v="688"/>
    <x v="0"/>
    <n v="7"/>
    <n v="3"/>
    <s v="Life Sciences"/>
    <n v="613"/>
    <n v="3"/>
    <s v="Male"/>
    <n v="44"/>
    <n v="2"/>
    <n v="3"/>
    <s v="Manager"/>
    <n v="4"/>
    <s v="Divorced"/>
    <n v="11557"/>
    <n v="25291"/>
    <n v="9"/>
    <s v="No"/>
    <n v="21"/>
    <n v="4"/>
    <n v="3"/>
    <n v="1"/>
    <n v="10"/>
    <n v="3"/>
    <n v="2"/>
    <n v="5"/>
    <n v="4"/>
    <n v="0"/>
    <n v="1"/>
  </r>
  <r>
    <n v="18"/>
    <x v="0"/>
    <s v="Travel_Frequently"/>
    <n v="1306"/>
    <x v="0"/>
    <n v="5"/>
    <n v="3"/>
    <s v="Marketing"/>
    <n v="614"/>
    <n v="2"/>
    <s v="Male"/>
    <n v="69"/>
    <n v="3"/>
    <n v="1"/>
    <s v="Sales Representative"/>
    <n v="2"/>
    <s v="Single"/>
    <n v="1878"/>
    <n v="8059"/>
    <n v="1"/>
    <s v="Yes"/>
    <n v="14"/>
    <n v="3"/>
    <n v="4"/>
    <n v="0"/>
    <n v="0"/>
    <n v="3"/>
    <n v="3"/>
    <n v="0"/>
    <n v="0"/>
    <n v="0"/>
    <n v="0"/>
  </r>
  <r>
    <n v="40"/>
    <x v="1"/>
    <s v="Non-Travel"/>
    <n v="1094"/>
    <x v="0"/>
    <n v="28"/>
    <n v="3"/>
    <s v="Other"/>
    <n v="615"/>
    <n v="3"/>
    <s v="Male"/>
    <n v="58"/>
    <n v="1"/>
    <n v="3"/>
    <s v="Sales Executive"/>
    <n v="1"/>
    <s v="Divorced"/>
    <n v="10932"/>
    <n v="11373"/>
    <n v="3"/>
    <s v="No"/>
    <n v="15"/>
    <n v="3"/>
    <n v="3"/>
    <n v="1"/>
    <n v="20"/>
    <n v="2"/>
    <n v="3"/>
    <n v="1"/>
    <n v="0"/>
    <n v="0"/>
    <n v="1"/>
  </r>
  <r>
    <n v="41"/>
    <x v="1"/>
    <s v="Non-Travel"/>
    <n v="509"/>
    <x v="1"/>
    <n v="2"/>
    <n v="4"/>
    <s v="Other"/>
    <n v="616"/>
    <n v="1"/>
    <s v="Female"/>
    <n v="62"/>
    <n v="2"/>
    <n v="2"/>
    <s v="Healthcare Representative"/>
    <n v="3"/>
    <s v="Single"/>
    <n v="6811"/>
    <n v="2112"/>
    <n v="2"/>
    <s v="Yes"/>
    <n v="17"/>
    <n v="3"/>
    <n v="1"/>
    <n v="0"/>
    <n v="10"/>
    <n v="3"/>
    <n v="3"/>
    <n v="8"/>
    <n v="7"/>
    <n v="0"/>
    <n v="7"/>
  </r>
  <r>
    <n v="26"/>
    <x v="1"/>
    <s v="Travel_Rarely"/>
    <n v="775"/>
    <x v="0"/>
    <n v="29"/>
    <n v="2"/>
    <s v="Medical"/>
    <n v="618"/>
    <n v="1"/>
    <s v="Male"/>
    <n v="45"/>
    <n v="3"/>
    <n v="2"/>
    <s v="Sales Executive"/>
    <n v="3"/>
    <s v="Divorced"/>
    <n v="4306"/>
    <n v="4267"/>
    <n v="5"/>
    <s v="No"/>
    <n v="12"/>
    <n v="3"/>
    <n v="1"/>
    <n v="2"/>
    <n v="8"/>
    <n v="5"/>
    <n v="3"/>
    <n v="0"/>
    <n v="0"/>
    <n v="0"/>
    <n v="0"/>
  </r>
  <r>
    <n v="35"/>
    <x v="1"/>
    <s v="Travel_Rarely"/>
    <n v="195"/>
    <x v="0"/>
    <n v="1"/>
    <n v="3"/>
    <s v="Medical"/>
    <n v="620"/>
    <n v="1"/>
    <s v="Female"/>
    <n v="80"/>
    <n v="3"/>
    <n v="2"/>
    <s v="Sales Executive"/>
    <n v="3"/>
    <s v="Single"/>
    <n v="4859"/>
    <n v="6698"/>
    <n v="1"/>
    <s v="No"/>
    <n v="16"/>
    <n v="3"/>
    <n v="4"/>
    <n v="0"/>
    <n v="5"/>
    <n v="3"/>
    <n v="3"/>
    <n v="5"/>
    <n v="4"/>
    <n v="0"/>
    <n v="3"/>
  </r>
  <r>
    <n v="34"/>
    <x v="1"/>
    <s v="Travel_Rarely"/>
    <n v="258"/>
    <x v="0"/>
    <n v="21"/>
    <n v="4"/>
    <s v="Life Sciences"/>
    <n v="621"/>
    <n v="4"/>
    <s v="Male"/>
    <n v="74"/>
    <n v="4"/>
    <n v="2"/>
    <s v="Sales Executive"/>
    <n v="4"/>
    <s v="Single"/>
    <n v="5337"/>
    <n v="19921"/>
    <n v="1"/>
    <s v="No"/>
    <n v="12"/>
    <n v="3"/>
    <n v="4"/>
    <n v="0"/>
    <n v="10"/>
    <n v="3"/>
    <n v="3"/>
    <n v="10"/>
    <n v="7"/>
    <n v="5"/>
    <n v="7"/>
  </r>
  <r>
    <n v="26"/>
    <x v="0"/>
    <s v="Travel_Rarely"/>
    <n v="471"/>
    <x v="1"/>
    <n v="24"/>
    <n v="3"/>
    <s v="Technical Degree"/>
    <n v="622"/>
    <n v="3"/>
    <s v="Male"/>
    <n v="66"/>
    <n v="1"/>
    <n v="1"/>
    <s v="Laboratory Technician"/>
    <n v="4"/>
    <s v="Single"/>
    <n v="2340"/>
    <n v="23213"/>
    <n v="1"/>
    <s v="Yes"/>
    <n v="18"/>
    <n v="3"/>
    <n v="2"/>
    <n v="0"/>
    <n v="1"/>
    <n v="3"/>
    <n v="1"/>
    <n v="1"/>
    <n v="0"/>
    <n v="0"/>
    <n v="0"/>
  </r>
  <r>
    <n v="37"/>
    <x v="1"/>
    <s v="Travel_Rarely"/>
    <n v="799"/>
    <x v="1"/>
    <n v="1"/>
    <n v="3"/>
    <s v="Technical Degree"/>
    <n v="623"/>
    <n v="2"/>
    <s v="Female"/>
    <n v="59"/>
    <n v="3"/>
    <n v="3"/>
    <s v="Manufacturing Director"/>
    <n v="4"/>
    <s v="Single"/>
    <n v="7491"/>
    <n v="23848"/>
    <n v="4"/>
    <s v="No"/>
    <n v="17"/>
    <n v="3"/>
    <n v="4"/>
    <n v="0"/>
    <n v="12"/>
    <n v="3"/>
    <n v="4"/>
    <n v="6"/>
    <n v="5"/>
    <n v="1"/>
    <n v="2"/>
  </r>
  <r>
    <n v="46"/>
    <x v="1"/>
    <s v="Travel_Frequently"/>
    <n v="1034"/>
    <x v="1"/>
    <n v="18"/>
    <n v="1"/>
    <s v="Medical"/>
    <n v="624"/>
    <n v="1"/>
    <s v="Female"/>
    <n v="86"/>
    <n v="3"/>
    <n v="3"/>
    <s v="Healthcare Representative"/>
    <n v="3"/>
    <s v="Married"/>
    <n v="10527"/>
    <n v="8984"/>
    <n v="5"/>
    <s v="No"/>
    <n v="11"/>
    <n v="3"/>
    <n v="4"/>
    <n v="0"/>
    <n v="28"/>
    <n v="3"/>
    <n v="2"/>
    <n v="2"/>
    <n v="2"/>
    <n v="1"/>
    <n v="2"/>
  </r>
  <r>
    <n v="41"/>
    <x v="1"/>
    <s v="Travel_Rarely"/>
    <n v="1276"/>
    <x v="0"/>
    <n v="2"/>
    <n v="5"/>
    <s v="Life Sciences"/>
    <n v="625"/>
    <n v="2"/>
    <s v="Female"/>
    <n v="91"/>
    <n v="3"/>
    <n v="4"/>
    <s v="Manager"/>
    <n v="1"/>
    <s v="Married"/>
    <n v="16595"/>
    <n v="5626"/>
    <n v="7"/>
    <s v="No"/>
    <n v="16"/>
    <n v="3"/>
    <n v="2"/>
    <n v="1"/>
    <n v="22"/>
    <n v="2"/>
    <n v="3"/>
    <n v="18"/>
    <n v="16"/>
    <n v="11"/>
    <n v="8"/>
  </r>
  <r>
    <n v="37"/>
    <x v="1"/>
    <s v="Non-Travel"/>
    <n v="142"/>
    <x v="0"/>
    <n v="9"/>
    <n v="4"/>
    <s v="Medical"/>
    <n v="626"/>
    <n v="1"/>
    <s v="Male"/>
    <n v="69"/>
    <n v="3"/>
    <n v="3"/>
    <s v="Sales Executive"/>
    <n v="2"/>
    <s v="Divorced"/>
    <n v="8834"/>
    <n v="24666"/>
    <n v="1"/>
    <s v="No"/>
    <n v="13"/>
    <n v="3"/>
    <n v="4"/>
    <n v="1"/>
    <n v="9"/>
    <n v="6"/>
    <n v="3"/>
    <n v="9"/>
    <n v="5"/>
    <n v="7"/>
    <n v="7"/>
  </r>
  <r>
    <n v="52"/>
    <x v="1"/>
    <s v="Travel_Rarely"/>
    <n v="956"/>
    <x v="1"/>
    <n v="6"/>
    <n v="2"/>
    <s v="Technical Degree"/>
    <n v="630"/>
    <n v="4"/>
    <s v="Male"/>
    <n v="78"/>
    <n v="3"/>
    <n v="2"/>
    <s v="Research Scientist"/>
    <n v="1"/>
    <s v="Divorced"/>
    <n v="5577"/>
    <n v="22087"/>
    <n v="3"/>
    <s v="Yes"/>
    <n v="12"/>
    <n v="3"/>
    <n v="2"/>
    <n v="2"/>
    <n v="18"/>
    <n v="3"/>
    <n v="3"/>
    <n v="10"/>
    <n v="9"/>
    <n v="6"/>
    <n v="9"/>
  </r>
  <r>
    <n v="32"/>
    <x v="0"/>
    <s v="Non-Travel"/>
    <n v="1474"/>
    <x v="0"/>
    <n v="11"/>
    <n v="4"/>
    <s v="Other"/>
    <n v="631"/>
    <n v="4"/>
    <s v="Male"/>
    <n v="60"/>
    <n v="4"/>
    <n v="2"/>
    <s v="Sales Executive"/>
    <n v="3"/>
    <s v="Married"/>
    <n v="4707"/>
    <n v="23914"/>
    <n v="8"/>
    <s v="No"/>
    <n v="12"/>
    <n v="3"/>
    <n v="4"/>
    <n v="0"/>
    <n v="6"/>
    <n v="2"/>
    <n v="3"/>
    <n v="4"/>
    <n v="2"/>
    <n v="1"/>
    <n v="2"/>
  </r>
  <r>
    <n v="24"/>
    <x v="1"/>
    <s v="Travel_Frequently"/>
    <n v="535"/>
    <x v="0"/>
    <n v="24"/>
    <n v="3"/>
    <s v="Medical"/>
    <n v="632"/>
    <n v="4"/>
    <s v="Male"/>
    <n v="38"/>
    <n v="3"/>
    <n v="1"/>
    <s v="Sales Representative"/>
    <n v="4"/>
    <s v="Married"/>
    <n v="2400"/>
    <n v="5530"/>
    <n v="0"/>
    <s v="No"/>
    <n v="13"/>
    <n v="3"/>
    <n v="3"/>
    <n v="2"/>
    <n v="3"/>
    <n v="3"/>
    <n v="3"/>
    <n v="2"/>
    <n v="2"/>
    <n v="2"/>
    <n v="1"/>
  </r>
  <r>
    <n v="38"/>
    <x v="1"/>
    <s v="Travel_Rarely"/>
    <n v="1495"/>
    <x v="1"/>
    <n v="10"/>
    <n v="3"/>
    <s v="Medical"/>
    <n v="634"/>
    <n v="3"/>
    <s v="Female"/>
    <n v="76"/>
    <n v="3"/>
    <n v="2"/>
    <s v="Healthcare Representative"/>
    <n v="3"/>
    <s v="Married"/>
    <n v="9824"/>
    <n v="22174"/>
    <n v="3"/>
    <s v="No"/>
    <n v="19"/>
    <n v="3"/>
    <n v="3"/>
    <n v="1"/>
    <n v="18"/>
    <n v="4"/>
    <n v="3"/>
    <n v="1"/>
    <n v="0"/>
    <n v="0"/>
    <n v="0"/>
  </r>
  <r>
    <n v="37"/>
    <x v="1"/>
    <s v="Travel_Rarely"/>
    <n v="446"/>
    <x v="1"/>
    <n v="1"/>
    <n v="4"/>
    <s v="Life Sciences"/>
    <n v="635"/>
    <n v="2"/>
    <s v="Female"/>
    <n v="65"/>
    <n v="3"/>
    <n v="2"/>
    <s v="Manufacturing Director"/>
    <n v="2"/>
    <s v="Married"/>
    <n v="6447"/>
    <n v="15701"/>
    <n v="6"/>
    <s v="No"/>
    <n v="12"/>
    <n v="3"/>
    <n v="2"/>
    <n v="1"/>
    <n v="8"/>
    <n v="2"/>
    <n v="2"/>
    <n v="6"/>
    <n v="5"/>
    <n v="4"/>
    <n v="3"/>
  </r>
  <r>
    <n v="49"/>
    <x v="1"/>
    <s v="Travel_Rarely"/>
    <n v="1245"/>
    <x v="1"/>
    <n v="18"/>
    <n v="4"/>
    <s v="Life Sciences"/>
    <n v="638"/>
    <n v="4"/>
    <s v="Male"/>
    <n v="58"/>
    <n v="2"/>
    <n v="5"/>
    <s v="Research Director"/>
    <n v="3"/>
    <s v="Divorced"/>
    <n v="19502"/>
    <n v="2125"/>
    <n v="1"/>
    <s v="Yes"/>
    <n v="17"/>
    <n v="3"/>
    <n v="3"/>
    <n v="1"/>
    <n v="31"/>
    <n v="5"/>
    <n v="3"/>
    <n v="31"/>
    <n v="9"/>
    <n v="0"/>
    <n v="9"/>
  </r>
  <r>
    <n v="24"/>
    <x v="1"/>
    <s v="Travel_Rarely"/>
    <n v="691"/>
    <x v="1"/>
    <n v="23"/>
    <n v="3"/>
    <s v="Medical"/>
    <n v="639"/>
    <n v="2"/>
    <s v="Male"/>
    <n v="89"/>
    <n v="4"/>
    <n v="1"/>
    <s v="Research Scientist"/>
    <n v="4"/>
    <s v="Married"/>
    <n v="2725"/>
    <n v="21630"/>
    <n v="1"/>
    <s v="Yes"/>
    <n v="11"/>
    <n v="3"/>
    <n v="2"/>
    <n v="2"/>
    <n v="6"/>
    <n v="3"/>
    <n v="3"/>
    <n v="6"/>
    <n v="5"/>
    <n v="1"/>
    <n v="4"/>
  </r>
  <r>
    <n v="26"/>
    <x v="1"/>
    <s v="Travel_Rarely"/>
    <n v="703"/>
    <x v="0"/>
    <n v="28"/>
    <n v="2"/>
    <s v="Marketing"/>
    <n v="641"/>
    <n v="1"/>
    <s v="Male"/>
    <n v="66"/>
    <n v="3"/>
    <n v="2"/>
    <s v="Sales Executive"/>
    <n v="2"/>
    <s v="Married"/>
    <n v="6272"/>
    <n v="7428"/>
    <n v="1"/>
    <s v="No"/>
    <n v="20"/>
    <n v="4"/>
    <n v="4"/>
    <n v="2"/>
    <n v="6"/>
    <n v="5"/>
    <n v="4"/>
    <n v="5"/>
    <n v="3"/>
    <n v="1"/>
    <n v="4"/>
  </r>
  <r>
    <n v="24"/>
    <x v="1"/>
    <s v="Travel_Rarely"/>
    <n v="823"/>
    <x v="1"/>
    <n v="17"/>
    <n v="2"/>
    <s v="Other"/>
    <n v="643"/>
    <n v="4"/>
    <s v="Male"/>
    <n v="94"/>
    <n v="2"/>
    <n v="1"/>
    <s v="Laboratory Technician"/>
    <n v="2"/>
    <s v="Married"/>
    <n v="2127"/>
    <n v="9100"/>
    <n v="1"/>
    <s v="No"/>
    <n v="21"/>
    <n v="4"/>
    <n v="4"/>
    <n v="1"/>
    <n v="1"/>
    <n v="2"/>
    <n v="3"/>
    <n v="1"/>
    <n v="0"/>
    <n v="0"/>
    <n v="0"/>
  </r>
  <r>
    <n v="50"/>
    <x v="1"/>
    <s v="Travel_Frequently"/>
    <n v="1246"/>
    <x v="2"/>
    <n v="3"/>
    <n v="3"/>
    <s v="Medical"/>
    <n v="644"/>
    <n v="1"/>
    <s v="Male"/>
    <n v="99"/>
    <n v="3"/>
    <n v="5"/>
    <s v="Manager"/>
    <n v="2"/>
    <s v="Married"/>
    <n v="18200"/>
    <n v="7999"/>
    <n v="1"/>
    <s v="No"/>
    <n v="11"/>
    <n v="3"/>
    <n v="3"/>
    <n v="1"/>
    <n v="32"/>
    <n v="2"/>
    <n v="3"/>
    <n v="32"/>
    <n v="5"/>
    <n v="10"/>
    <n v="7"/>
  </r>
  <r>
    <n v="25"/>
    <x v="1"/>
    <s v="Travel_Rarely"/>
    <n v="622"/>
    <x v="0"/>
    <n v="13"/>
    <n v="1"/>
    <s v="Medical"/>
    <n v="645"/>
    <n v="2"/>
    <s v="Male"/>
    <n v="40"/>
    <n v="3"/>
    <n v="1"/>
    <s v="Sales Representative"/>
    <n v="3"/>
    <s v="Married"/>
    <n v="2096"/>
    <n v="26376"/>
    <n v="1"/>
    <s v="No"/>
    <n v="11"/>
    <n v="3"/>
    <n v="3"/>
    <n v="0"/>
    <n v="7"/>
    <n v="1"/>
    <n v="3"/>
    <n v="7"/>
    <n v="4"/>
    <n v="0"/>
    <n v="6"/>
  </r>
  <r>
    <n v="24"/>
    <x v="0"/>
    <s v="Travel_Frequently"/>
    <n v="1287"/>
    <x v="1"/>
    <n v="7"/>
    <n v="3"/>
    <s v="Life Sciences"/>
    <n v="647"/>
    <n v="1"/>
    <s v="Female"/>
    <n v="55"/>
    <n v="3"/>
    <n v="1"/>
    <s v="Laboratory Technician"/>
    <n v="3"/>
    <s v="Married"/>
    <n v="2886"/>
    <n v="14168"/>
    <n v="1"/>
    <s v="Yes"/>
    <n v="16"/>
    <n v="3"/>
    <n v="4"/>
    <n v="1"/>
    <n v="6"/>
    <n v="4"/>
    <n v="3"/>
    <n v="6"/>
    <n v="3"/>
    <n v="1"/>
    <n v="2"/>
  </r>
  <r>
    <n v="30"/>
    <x v="0"/>
    <s v="Travel_Frequently"/>
    <n v="448"/>
    <x v="0"/>
    <n v="12"/>
    <n v="4"/>
    <s v="Life Sciences"/>
    <n v="648"/>
    <n v="2"/>
    <s v="Male"/>
    <n v="74"/>
    <n v="2"/>
    <n v="1"/>
    <s v="Sales Representative"/>
    <n v="1"/>
    <s v="Married"/>
    <n v="2033"/>
    <n v="14470"/>
    <n v="1"/>
    <s v="No"/>
    <n v="18"/>
    <n v="3"/>
    <n v="3"/>
    <n v="1"/>
    <n v="1"/>
    <n v="2"/>
    <n v="4"/>
    <n v="1"/>
    <n v="0"/>
    <n v="0"/>
    <n v="0"/>
  </r>
  <r>
    <n v="34"/>
    <x v="1"/>
    <s v="Travel_Rarely"/>
    <n v="254"/>
    <x v="1"/>
    <n v="1"/>
    <n v="2"/>
    <s v="Life Sciences"/>
    <n v="649"/>
    <n v="2"/>
    <s v="Male"/>
    <n v="83"/>
    <n v="2"/>
    <n v="1"/>
    <s v="Research Scientist"/>
    <n v="4"/>
    <s v="Married"/>
    <n v="3622"/>
    <n v="22794"/>
    <n v="1"/>
    <s v="Yes"/>
    <n v="13"/>
    <n v="3"/>
    <n v="4"/>
    <n v="1"/>
    <n v="6"/>
    <n v="3"/>
    <n v="3"/>
    <n v="6"/>
    <n v="5"/>
    <n v="1"/>
    <n v="3"/>
  </r>
  <r>
    <n v="31"/>
    <x v="0"/>
    <s v="Travel_Rarely"/>
    <n v="1365"/>
    <x v="0"/>
    <n v="13"/>
    <n v="4"/>
    <s v="Medical"/>
    <n v="650"/>
    <n v="2"/>
    <s v="Male"/>
    <n v="46"/>
    <n v="3"/>
    <n v="2"/>
    <s v="Sales Executive"/>
    <n v="1"/>
    <s v="Divorced"/>
    <n v="4233"/>
    <n v="11512"/>
    <n v="2"/>
    <s v="No"/>
    <n v="17"/>
    <n v="3"/>
    <n v="3"/>
    <n v="0"/>
    <n v="9"/>
    <n v="2"/>
    <n v="1"/>
    <n v="3"/>
    <n v="1"/>
    <n v="1"/>
    <n v="2"/>
  </r>
  <r>
    <n v="35"/>
    <x v="1"/>
    <s v="Travel_Rarely"/>
    <n v="538"/>
    <x v="1"/>
    <n v="25"/>
    <n v="2"/>
    <s v="Other"/>
    <n v="652"/>
    <n v="1"/>
    <s v="Male"/>
    <n v="54"/>
    <n v="2"/>
    <n v="2"/>
    <s v="Laboratory Technician"/>
    <n v="4"/>
    <s v="Single"/>
    <n v="3681"/>
    <n v="14004"/>
    <n v="4"/>
    <s v="No"/>
    <n v="14"/>
    <n v="3"/>
    <n v="4"/>
    <n v="0"/>
    <n v="9"/>
    <n v="3"/>
    <n v="3"/>
    <n v="3"/>
    <n v="2"/>
    <n v="0"/>
    <n v="2"/>
  </r>
  <r>
    <n v="31"/>
    <x v="1"/>
    <s v="Travel_Rarely"/>
    <n v="525"/>
    <x v="0"/>
    <n v="6"/>
    <n v="4"/>
    <s v="Medical"/>
    <n v="653"/>
    <n v="1"/>
    <s v="Male"/>
    <n v="66"/>
    <n v="4"/>
    <n v="2"/>
    <s v="Sales Executive"/>
    <n v="4"/>
    <s v="Divorced"/>
    <n v="5460"/>
    <n v="6219"/>
    <n v="4"/>
    <s v="No"/>
    <n v="22"/>
    <n v="4"/>
    <n v="4"/>
    <n v="2"/>
    <n v="13"/>
    <n v="4"/>
    <n v="4"/>
    <n v="7"/>
    <n v="7"/>
    <n v="5"/>
    <n v="7"/>
  </r>
  <r>
    <n v="27"/>
    <x v="1"/>
    <s v="Travel_Rarely"/>
    <n v="798"/>
    <x v="1"/>
    <n v="6"/>
    <n v="4"/>
    <s v="Medical"/>
    <n v="655"/>
    <n v="1"/>
    <s v="Female"/>
    <n v="66"/>
    <n v="2"/>
    <n v="1"/>
    <s v="Research Scientist"/>
    <n v="3"/>
    <s v="Divorced"/>
    <n v="2187"/>
    <n v="5013"/>
    <n v="0"/>
    <s v="No"/>
    <n v="12"/>
    <n v="3"/>
    <n v="3"/>
    <n v="2"/>
    <n v="6"/>
    <n v="5"/>
    <n v="2"/>
    <n v="5"/>
    <n v="3"/>
    <n v="0"/>
    <n v="3"/>
  </r>
  <r>
    <n v="37"/>
    <x v="1"/>
    <s v="Travel_Rarely"/>
    <n v="558"/>
    <x v="0"/>
    <n v="2"/>
    <n v="3"/>
    <s v="Marketing"/>
    <n v="656"/>
    <n v="4"/>
    <s v="Male"/>
    <n v="75"/>
    <n v="3"/>
    <n v="2"/>
    <s v="Sales Executive"/>
    <n v="3"/>
    <s v="Married"/>
    <n v="9602"/>
    <n v="3010"/>
    <n v="4"/>
    <s v="Yes"/>
    <n v="11"/>
    <n v="3"/>
    <n v="3"/>
    <n v="1"/>
    <n v="17"/>
    <n v="3"/>
    <n v="2"/>
    <n v="3"/>
    <n v="0"/>
    <n v="1"/>
    <n v="0"/>
  </r>
  <r>
    <n v="20"/>
    <x v="1"/>
    <s v="Travel_Rarely"/>
    <n v="959"/>
    <x v="1"/>
    <n v="1"/>
    <n v="3"/>
    <s v="Life Sciences"/>
    <n v="657"/>
    <n v="4"/>
    <s v="Female"/>
    <n v="83"/>
    <n v="2"/>
    <n v="1"/>
    <s v="Research Scientist"/>
    <n v="2"/>
    <s v="Single"/>
    <n v="2836"/>
    <n v="11757"/>
    <n v="1"/>
    <s v="No"/>
    <n v="13"/>
    <n v="3"/>
    <n v="4"/>
    <n v="0"/>
    <n v="1"/>
    <n v="0"/>
    <n v="4"/>
    <n v="1"/>
    <n v="0"/>
    <n v="0"/>
    <n v="0"/>
  </r>
  <r>
    <n v="42"/>
    <x v="1"/>
    <s v="Travel_Rarely"/>
    <n v="622"/>
    <x v="1"/>
    <n v="2"/>
    <n v="4"/>
    <s v="Life Sciences"/>
    <n v="659"/>
    <n v="3"/>
    <s v="Female"/>
    <n v="81"/>
    <n v="3"/>
    <n v="2"/>
    <s v="Healthcare Representative"/>
    <n v="4"/>
    <s v="Married"/>
    <n v="4089"/>
    <n v="5718"/>
    <n v="1"/>
    <s v="No"/>
    <n v="13"/>
    <n v="3"/>
    <n v="2"/>
    <n v="2"/>
    <n v="10"/>
    <n v="4"/>
    <n v="3"/>
    <n v="10"/>
    <n v="2"/>
    <n v="2"/>
    <n v="2"/>
  </r>
  <r>
    <n v="43"/>
    <x v="1"/>
    <s v="Travel_Rarely"/>
    <n v="782"/>
    <x v="1"/>
    <n v="6"/>
    <n v="4"/>
    <s v="Other"/>
    <n v="661"/>
    <n v="2"/>
    <s v="Male"/>
    <n v="50"/>
    <n v="2"/>
    <n v="4"/>
    <s v="Research Director"/>
    <n v="4"/>
    <s v="Divorced"/>
    <n v="16627"/>
    <n v="2671"/>
    <n v="4"/>
    <s v="Yes"/>
    <n v="14"/>
    <n v="3"/>
    <n v="3"/>
    <n v="1"/>
    <n v="21"/>
    <n v="3"/>
    <n v="2"/>
    <n v="1"/>
    <n v="0"/>
    <n v="0"/>
    <n v="0"/>
  </r>
  <r>
    <n v="38"/>
    <x v="1"/>
    <s v="Travel_Rarely"/>
    <n v="362"/>
    <x v="1"/>
    <n v="1"/>
    <n v="1"/>
    <s v="Life Sciences"/>
    <n v="662"/>
    <n v="3"/>
    <s v="Female"/>
    <n v="43"/>
    <n v="3"/>
    <n v="1"/>
    <s v="Research Scientist"/>
    <n v="1"/>
    <s v="Single"/>
    <n v="2619"/>
    <n v="14561"/>
    <n v="3"/>
    <s v="No"/>
    <n v="17"/>
    <n v="3"/>
    <n v="4"/>
    <n v="0"/>
    <n v="8"/>
    <n v="3"/>
    <n v="2"/>
    <n v="0"/>
    <n v="0"/>
    <n v="0"/>
    <n v="0"/>
  </r>
  <r>
    <n v="43"/>
    <x v="1"/>
    <s v="Travel_Frequently"/>
    <n v="1001"/>
    <x v="1"/>
    <n v="9"/>
    <n v="5"/>
    <s v="Medical"/>
    <n v="663"/>
    <n v="4"/>
    <s v="Male"/>
    <n v="72"/>
    <n v="3"/>
    <n v="2"/>
    <s v="Laboratory Technician"/>
    <n v="3"/>
    <s v="Divorced"/>
    <n v="5679"/>
    <n v="19627"/>
    <n v="3"/>
    <s v="Yes"/>
    <n v="13"/>
    <n v="3"/>
    <n v="2"/>
    <n v="1"/>
    <n v="10"/>
    <n v="3"/>
    <n v="3"/>
    <n v="8"/>
    <n v="7"/>
    <n v="4"/>
    <n v="7"/>
  </r>
  <r>
    <n v="48"/>
    <x v="1"/>
    <s v="Travel_Rarely"/>
    <n v="1236"/>
    <x v="1"/>
    <n v="1"/>
    <n v="4"/>
    <s v="Life Sciences"/>
    <n v="664"/>
    <n v="4"/>
    <s v="Female"/>
    <n v="40"/>
    <n v="2"/>
    <n v="4"/>
    <s v="Manager"/>
    <n v="1"/>
    <s v="Married"/>
    <n v="15402"/>
    <n v="17997"/>
    <n v="7"/>
    <s v="No"/>
    <n v="11"/>
    <n v="3"/>
    <n v="1"/>
    <n v="1"/>
    <n v="21"/>
    <n v="3"/>
    <n v="1"/>
    <n v="3"/>
    <n v="2"/>
    <n v="0"/>
    <n v="2"/>
  </r>
  <r>
    <n v="44"/>
    <x v="1"/>
    <s v="Travel_Rarely"/>
    <n v="1112"/>
    <x v="2"/>
    <n v="1"/>
    <n v="4"/>
    <s v="Life Sciences"/>
    <n v="665"/>
    <n v="1"/>
    <s v="Female"/>
    <n v="50"/>
    <n v="2"/>
    <n v="2"/>
    <s v="Human Resources"/>
    <n v="3"/>
    <s v="Single"/>
    <n v="5985"/>
    <n v="26894"/>
    <n v="4"/>
    <s v="No"/>
    <n v="11"/>
    <n v="3"/>
    <n v="2"/>
    <n v="0"/>
    <n v="10"/>
    <n v="1"/>
    <n v="4"/>
    <n v="2"/>
    <n v="2"/>
    <n v="0"/>
    <n v="2"/>
  </r>
  <r>
    <n v="34"/>
    <x v="1"/>
    <s v="Travel_Rarely"/>
    <n v="204"/>
    <x v="0"/>
    <n v="14"/>
    <n v="3"/>
    <s v="Technical Degree"/>
    <n v="666"/>
    <n v="3"/>
    <s v="Female"/>
    <n v="31"/>
    <n v="3"/>
    <n v="1"/>
    <s v="Sales Representative"/>
    <n v="3"/>
    <s v="Divorced"/>
    <n v="2579"/>
    <n v="2912"/>
    <n v="1"/>
    <s v="Yes"/>
    <n v="18"/>
    <n v="3"/>
    <n v="4"/>
    <n v="2"/>
    <n v="8"/>
    <n v="3"/>
    <n v="3"/>
    <n v="8"/>
    <n v="2"/>
    <n v="0"/>
    <n v="6"/>
  </r>
  <r>
    <n v="27"/>
    <x v="0"/>
    <s v="Travel_Rarely"/>
    <n v="1420"/>
    <x v="0"/>
    <n v="2"/>
    <n v="1"/>
    <s v="Marketing"/>
    <n v="667"/>
    <n v="3"/>
    <s v="Male"/>
    <n v="85"/>
    <n v="3"/>
    <n v="1"/>
    <s v="Sales Representative"/>
    <n v="1"/>
    <s v="Divorced"/>
    <n v="3041"/>
    <n v="16346"/>
    <n v="0"/>
    <s v="No"/>
    <n v="11"/>
    <n v="3"/>
    <n v="2"/>
    <n v="1"/>
    <n v="5"/>
    <n v="3"/>
    <n v="3"/>
    <n v="4"/>
    <n v="3"/>
    <n v="0"/>
    <n v="2"/>
  </r>
  <r>
    <n v="21"/>
    <x v="1"/>
    <s v="Travel_Rarely"/>
    <n v="1343"/>
    <x v="0"/>
    <n v="22"/>
    <n v="1"/>
    <s v="Technical Degree"/>
    <n v="669"/>
    <n v="3"/>
    <s v="Male"/>
    <n v="49"/>
    <n v="3"/>
    <n v="1"/>
    <s v="Sales Representative"/>
    <n v="3"/>
    <s v="Single"/>
    <n v="3447"/>
    <n v="24444"/>
    <n v="1"/>
    <s v="No"/>
    <n v="11"/>
    <n v="3"/>
    <n v="3"/>
    <n v="0"/>
    <n v="3"/>
    <n v="2"/>
    <n v="3"/>
    <n v="3"/>
    <n v="2"/>
    <n v="1"/>
    <n v="2"/>
  </r>
  <r>
    <n v="44"/>
    <x v="1"/>
    <s v="Travel_Rarely"/>
    <n v="1315"/>
    <x v="1"/>
    <n v="3"/>
    <n v="4"/>
    <s v="Other"/>
    <n v="671"/>
    <n v="4"/>
    <s v="Male"/>
    <n v="35"/>
    <n v="3"/>
    <n v="5"/>
    <s v="Manager"/>
    <n v="4"/>
    <s v="Married"/>
    <n v="19513"/>
    <n v="9358"/>
    <n v="4"/>
    <s v="Yes"/>
    <n v="12"/>
    <n v="3"/>
    <n v="1"/>
    <n v="1"/>
    <n v="26"/>
    <n v="2"/>
    <n v="4"/>
    <n v="2"/>
    <n v="2"/>
    <n v="0"/>
    <n v="1"/>
  </r>
  <r>
    <n v="22"/>
    <x v="1"/>
    <s v="Travel_Rarely"/>
    <n v="604"/>
    <x v="1"/>
    <n v="6"/>
    <n v="1"/>
    <s v="Medical"/>
    <n v="675"/>
    <n v="1"/>
    <s v="Male"/>
    <n v="69"/>
    <n v="3"/>
    <n v="1"/>
    <s v="Research Scientist"/>
    <n v="3"/>
    <s v="Married"/>
    <n v="2773"/>
    <n v="12145"/>
    <n v="0"/>
    <s v="No"/>
    <n v="20"/>
    <n v="4"/>
    <n v="4"/>
    <n v="0"/>
    <n v="3"/>
    <n v="3"/>
    <n v="3"/>
    <n v="2"/>
    <n v="2"/>
    <n v="2"/>
    <n v="2"/>
  </r>
  <r>
    <n v="33"/>
    <x v="1"/>
    <s v="Travel_Rarely"/>
    <n v="1216"/>
    <x v="0"/>
    <n v="8"/>
    <n v="4"/>
    <s v="Marketing"/>
    <n v="677"/>
    <n v="3"/>
    <s v="Male"/>
    <n v="39"/>
    <n v="3"/>
    <n v="2"/>
    <s v="Sales Executive"/>
    <n v="3"/>
    <s v="Divorced"/>
    <n v="7104"/>
    <n v="20431"/>
    <n v="0"/>
    <s v="No"/>
    <n v="12"/>
    <n v="3"/>
    <n v="4"/>
    <n v="0"/>
    <n v="6"/>
    <n v="3"/>
    <n v="3"/>
    <n v="5"/>
    <n v="0"/>
    <n v="1"/>
    <n v="2"/>
  </r>
  <r>
    <n v="32"/>
    <x v="1"/>
    <s v="Travel_Rarely"/>
    <n v="646"/>
    <x v="1"/>
    <n v="9"/>
    <n v="4"/>
    <s v="Life Sciences"/>
    <n v="679"/>
    <n v="1"/>
    <s v="Female"/>
    <n v="92"/>
    <n v="3"/>
    <n v="2"/>
    <s v="Research Scientist"/>
    <n v="4"/>
    <s v="Married"/>
    <n v="6322"/>
    <n v="18089"/>
    <n v="1"/>
    <s v="Yes"/>
    <n v="12"/>
    <n v="3"/>
    <n v="4"/>
    <n v="1"/>
    <n v="6"/>
    <n v="2"/>
    <n v="2"/>
    <n v="6"/>
    <n v="4"/>
    <n v="0"/>
    <n v="5"/>
  </r>
  <r>
    <n v="30"/>
    <x v="1"/>
    <s v="Travel_Frequently"/>
    <n v="160"/>
    <x v="1"/>
    <n v="3"/>
    <n v="3"/>
    <s v="Medical"/>
    <n v="680"/>
    <n v="3"/>
    <s v="Female"/>
    <n v="71"/>
    <n v="3"/>
    <n v="1"/>
    <s v="Research Scientist"/>
    <n v="3"/>
    <s v="Divorced"/>
    <n v="2083"/>
    <n v="22653"/>
    <n v="1"/>
    <s v="No"/>
    <n v="20"/>
    <n v="4"/>
    <n v="3"/>
    <n v="1"/>
    <n v="1"/>
    <n v="2"/>
    <n v="3"/>
    <n v="1"/>
    <n v="0"/>
    <n v="0"/>
    <n v="0"/>
  </r>
  <r>
    <n v="53"/>
    <x v="1"/>
    <s v="Travel_Rarely"/>
    <n v="238"/>
    <x v="0"/>
    <n v="1"/>
    <n v="1"/>
    <s v="Medical"/>
    <n v="682"/>
    <n v="4"/>
    <s v="Female"/>
    <n v="34"/>
    <n v="3"/>
    <n v="2"/>
    <s v="Sales Executive"/>
    <n v="1"/>
    <s v="Single"/>
    <n v="8381"/>
    <n v="7507"/>
    <n v="7"/>
    <s v="No"/>
    <n v="20"/>
    <n v="4"/>
    <n v="4"/>
    <n v="0"/>
    <n v="18"/>
    <n v="2"/>
    <n v="4"/>
    <n v="14"/>
    <n v="7"/>
    <n v="8"/>
    <n v="10"/>
  </r>
  <r>
    <n v="34"/>
    <x v="1"/>
    <s v="Travel_Rarely"/>
    <n v="1397"/>
    <x v="1"/>
    <n v="1"/>
    <n v="5"/>
    <s v="Life Sciences"/>
    <n v="683"/>
    <n v="2"/>
    <s v="Male"/>
    <n v="42"/>
    <n v="3"/>
    <n v="1"/>
    <s v="Research Scientist"/>
    <n v="4"/>
    <s v="Married"/>
    <n v="2691"/>
    <n v="7660"/>
    <n v="1"/>
    <s v="No"/>
    <n v="12"/>
    <n v="3"/>
    <n v="4"/>
    <n v="1"/>
    <n v="10"/>
    <n v="4"/>
    <n v="2"/>
    <n v="10"/>
    <n v="9"/>
    <n v="8"/>
    <n v="8"/>
  </r>
  <r>
    <n v="45"/>
    <x v="0"/>
    <s v="Travel_Frequently"/>
    <n v="306"/>
    <x v="0"/>
    <n v="26"/>
    <n v="4"/>
    <s v="Life Sciences"/>
    <n v="684"/>
    <n v="1"/>
    <s v="Female"/>
    <n v="100"/>
    <n v="3"/>
    <n v="2"/>
    <s v="Sales Executive"/>
    <n v="1"/>
    <s v="Married"/>
    <n v="4286"/>
    <n v="5630"/>
    <n v="2"/>
    <s v="No"/>
    <n v="14"/>
    <n v="3"/>
    <n v="4"/>
    <n v="2"/>
    <n v="5"/>
    <n v="4"/>
    <n v="3"/>
    <n v="1"/>
    <n v="1"/>
    <n v="0"/>
    <n v="0"/>
  </r>
  <r>
    <n v="26"/>
    <x v="1"/>
    <s v="Travel_Rarely"/>
    <n v="991"/>
    <x v="1"/>
    <n v="6"/>
    <n v="3"/>
    <s v="Life Sciences"/>
    <n v="686"/>
    <n v="3"/>
    <s v="Female"/>
    <n v="71"/>
    <n v="3"/>
    <n v="1"/>
    <s v="Laboratory Technician"/>
    <n v="4"/>
    <s v="Married"/>
    <n v="2659"/>
    <n v="17759"/>
    <n v="1"/>
    <s v="Yes"/>
    <n v="13"/>
    <n v="3"/>
    <n v="3"/>
    <n v="1"/>
    <n v="3"/>
    <n v="2"/>
    <n v="3"/>
    <n v="3"/>
    <n v="2"/>
    <n v="0"/>
    <n v="2"/>
  </r>
  <r>
    <n v="37"/>
    <x v="1"/>
    <s v="Travel_Rarely"/>
    <n v="482"/>
    <x v="1"/>
    <n v="3"/>
    <n v="3"/>
    <s v="Other"/>
    <n v="689"/>
    <n v="3"/>
    <s v="Male"/>
    <n v="36"/>
    <n v="3"/>
    <n v="3"/>
    <s v="Manufacturing Director"/>
    <n v="3"/>
    <s v="Married"/>
    <n v="9434"/>
    <n v="9606"/>
    <n v="1"/>
    <s v="No"/>
    <n v="15"/>
    <n v="3"/>
    <n v="3"/>
    <n v="1"/>
    <n v="10"/>
    <n v="2"/>
    <n v="3"/>
    <n v="10"/>
    <n v="7"/>
    <n v="7"/>
    <n v="8"/>
  </r>
  <r>
    <n v="29"/>
    <x v="1"/>
    <s v="Travel_Rarely"/>
    <n v="1176"/>
    <x v="0"/>
    <n v="3"/>
    <n v="2"/>
    <s v="Medical"/>
    <n v="690"/>
    <n v="2"/>
    <s v="Female"/>
    <n v="62"/>
    <n v="3"/>
    <n v="2"/>
    <s v="Sales Executive"/>
    <n v="3"/>
    <s v="Married"/>
    <n v="5561"/>
    <n v="3487"/>
    <n v="1"/>
    <s v="No"/>
    <n v="14"/>
    <n v="3"/>
    <n v="1"/>
    <n v="1"/>
    <n v="6"/>
    <n v="5"/>
    <n v="2"/>
    <n v="6"/>
    <n v="0"/>
    <n v="1"/>
    <n v="2"/>
  </r>
  <r>
    <n v="35"/>
    <x v="1"/>
    <s v="Travel_Rarely"/>
    <n v="1017"/>
    <x v="1"/>
    <n v="6"/>
    <n v="4"/>
    <s v="Life Sciences"/>
    <n v="691"/>
    <n v="2"/>
    <s v="Male"/>
    <n v="82"/>
    <n v="1"/>
    <n v="2"/>
    <s v="Research Scientist"/>
    <n v="4"/>
    <s v="Single"/>
    <n v="6646"/>
    <n v="19368"/>
    <n v="1"/>
    <s v="No"/>
    <n v="13"/>
    <n v="3"/>
    <n v="2"/>
    <n v="0"/>
    <n v="17"/>
    <n v="3"/>
    <n v="3"/>
    <n v="17"/>
    <n v="11"/>
    <n v="11"/>
    <n v="8"/>
  </r>
  <r>
    <n v="33"/>
    <x v="1"/>
    <s v="Travel_Frequently"/>
    <n v="1296"/>
    <x v="1"/>
    <n v="6"/>
    <n v="3"/>
    <s v="Life Sciences"/>
    <n v="692"/>
    <n v="3"/>
    <s v="Male"/>
    <n v="30"/>
    <n v="3"/>
    <n v="2"/>
    <s v="Healthcare Representative"/>
    <n v="4"/>
    <s v="Divorced"/>
    <n v="7725"/>
    <n v="5335"/>
    <n v="3"/>
    <s v="No"/>
    <n v="23"/>
    <n v="4"/>
    <n v="3"/>
    <n v="1"/>
    <n v="15"/>
    <n v="2"/>
    <n v="1"/>
    <n v="13"/>
    <n v="11"/>
    <n v="4"/>
    <n v="7"/>
  </r>
  <r>
    <n v="54"/>
    <x v="1"/>
    <s v="Travel_Rarely"/>
    <n v="397"/>
    <x v="2"/>
    <n v="19"/>
    <n v="4"/>
    <s v="Medical"/>
    <n v="698"/>
    <n v="3"/>
    <s v="Male"/>
    <n v="88"/>
    <n v="3"/>
    <n v="3"/>
    <s v="Human Resources"/>
    <n v="2"/>
    <s v="Married"/>
    <n v="10725"/>
    <n v="6729"/>
    <n v="2"/>
    <s v="No"/>
    <n v="15"/>
    <n v="3"/>
    <n v="3"/>
    <n v="1"/>
    <n v="16"/>
    <n v="1"/>
    <n v="4"/>
    <n v="9"/>
    <n v="7"/>
    <n v="7"/>
    <n v="1"/>
  </r>
  <r>
    <n v="36"/>
    <x v="1"/>
    <s v="Travel_Rarely"/>
    <n v="913"/>
    <x v="1"/>
    <n v="9"/>
    <n v="2"/>
    <s v="Medical"/>
    <n v="699"/>
    <n v="2"/>
    <s v="Male"/>
    <n v="48"/>
    <n v="2"/>
    <n v="2"/>
    <s v="Manufacturing Director"/>
    <n v="2"/>
    <s v="Divorced"/>
    <n v="8847"/>
    <n v="13934"/>
    <n v="2"/>
    <s v="Yes"/>
    <n v="11"/>
    <n v="3"/>
    <n v="3"/>
    <n v="1"/>
    <n v="13"/>
    <n v="2"/>
    <n v="3"/>
    <n v="3"/>
    <n v="2"/>
    <n v="0"/>
    <n v="2"/>
  </r>
  <r>
    <n v="27"/>
    <x v="1"/>
    <s v="Travel_Rarely"/>
    <n v="1115"/>
    <x v="1"/>
    <n v="3"/>
    <n v="4"/>
    <s v="Medical"/>
    <n v="700"/>
    <n v="1"/>
    <s v="Male"/>
    <n v="54"/>
    <n v="2"/>
    <n v="1"/>
    <s v="Research Scientist"/>
    <n v="4"/>
    <s v="Single"/>
    <n v="2045"/>
    <n v="15174"/>
    <n v="0"/>
    <s v="No"/>
    <n v="13"/>
    <n v="3"/>
    <n v="4"/>
    <n v="0"/>
    <n v="5"/>
    <n v="0"/>
    <n v="3"/>
    <n v="4"/>
    <n v="2"/>
    <n v="1"/>
    <n v="1"/>
  </r>
  <r>
    <n v="20"/>
    <x v="0"/>
    <s v="Travel_Rarely"/>
    <n v="1362"/>
    <x v="1"/>
    <n v="10"/>
    <n v="1"/>
    <s v="Medical"/>
    <n v="701"/>
    <n v="4"/>
    <s v="Male"/>
    <n v="32"/>
    <n v="3"/>
    <n v="1"/>
    <s v="Research Scientist"/>
    <n v="3"/>
    <s v="Single"/>
    <n v="1009"/>
    <n v="26999"/>
    <n v="1"/>
    <s v="Yes"/>
    <n v="11"/>
    <n v="3"/>
    <n v="4"/>
    <n v="0"/>
    <n v="1"/>
    <n v="5"/>
    <n v="3"/>
    <n v="1"/>
    <n v="0"/>
    <n v="1"/>
    <n v="1"/>
  </r>
  <r>
    <n v="33"/>
    <x v="0"/>
    <s v="Travel_Frequently"/>
    <n v="1076"/>
    <x v="1"/>
    <n v="3"/>
    <n v="3"/>
    <s v="Life Sciences"/>
    <n v="702"/>
    <n v="1"/>
    <s v="Male"/>
    <n v="70"/>
    <n v="3"/>
    <n v="1"/>
    <s v="Research Scientist"/>
    <n v="1"/>
    <s v="Single"/>
    <n v="3348"/>
    <n v="3164"/>
    <n v="1"/>
    <s v="Yes"/>
    <n v="11"/>
    <n v="3"/>
    <n v="1"/>
    <n v="0"/>
    <n v="10"/>
    <n v="3"/>
    <n v="3"/>
    <n v="10"/>
    <n v="8"/>
    <n v="9"/>
    <n v="7"/>
  </r>
  <r>
    <n v="35"/>
    <x v="1"/>
    <s v="Non-Travel"/>
    <n v="727"/>
    <x v="1"/>
    <n v="3"/>
    <n v="3"/>
    <s v="Life Sciences"/>
    <n v="704"/>
    <n v="3"/>
    <s v="Male"/>
    <n v="41"/>
    <n v="2"/>
    <n v="1"/>
    <s v="Laboratory Technician"/>
    <n v="3"/>
    <s v="Married"/>
    <n v="1281"/>
    <n v="16900"/>
    <n v="1"/>
    <s v="No"/>
    <n v="18"/>
    <n v="3"/>
    <n v="3"/>
    <n v="2"/>
    <n v="1"/>
    <n v="3"/>
    <n v="3"/>
    <n v="1"/>
    <n v="0"/>
    <n v="0"/>
    <n v="0"/>
  </r>
  <r>
    <n v="23"/>
    <x v="1"/>
    <s v="Travel_Rarely"/>
    <n v="885"/>
    <x v="1"/>
    <n v="4"/>
    <n v="3"/>
    <s v="Medical"/>
    <n v="705"/>
    <n v="1"/>
    <s v="Male"/>
    <n v="58"/>
    <n v="4"/>
    <n v="1"/>
    <s v="Research Scientist"/>
    <n v="1"/>
    <s v="Married"/>
    <n v="2819"/>
    <n v="8544"/>
    <n v="2"/>
    <s v="No"/>
    <n v="16"/>
    <n v="3"/>
    <n v="1"/>
    <n v="1"/>
    <n v="5"/>
    <n v="3"/>
    <n v="4"/>
    <n v="3"/>
    <n v="2"/>
    <n v="0"/>
    <n v="2"/>
  </r>
  <r>
    <n v="25"/>
    <x v="1"/>
    <s v="Travel_Rarely"/>
    <n v="810"/>
    <x v="0"/>
    <n v="8"/>
    <n v="3"/>
    <s v="Life Sciences"/>
    <n v="707"/>
    <n v="4"/>
    <s v="Male"/>
    <n v="57"/>
    <n v="4"/>
    <n v="2"/>
    <s v="Sales Executive"/>
    <n v="2"/>
    <s v="Married"/>
    <n v="4851"/>
    <n v="15678"/>
    <n v="0"/>
    <s v="No"/>
    <n v="22"/>
    <n v="4"/>
    <n v="3"/>
    <n v="1"/>
    <n v="4"/>
    <n v="4"/>
    <n v="3"/>
    <n v="3"/>
    <n v="2"/>
    <n v="1"/>
    <n v="2"/>
  </r>
  <r>
    <n v="38"/>
    <x v="1"/>
    <s v="Travel_Rarely"/>
    <n v="243"/>
    <x v="0"/>
    <n v="7"/>
    <n v="4"/>
    <s v="Marketing"/>
    <n v="709"/>
    <n v="4"/>
    <s v="Female"/>
    <n v="46"/>
    <n v="2"/>
    <n v="2"/>
    <s v="Sales Executive"/>
    <n v="4"/>
    <s v="Single"/>
    <n v="4028"/>
    <n v="7791"/>
    <n v="0"/>
    <s v="No"/>
    <n v="20"/>
    <n v="4"/>
    <n v="1"/>
    <n v="0"/>
    <n v="8"/>
    <n v="2"/>
    <n v="3"/>
    <n v="7"/>
    <n v="7"/>
    <n v="0"/>
    <n v="5"/>
  </r>
  <r>
    <n v="29"/>
    <x v="1"/>
    <s v="Travel_Frequently"/>
    <n v="806"/>
    <x v="1"/>
    <n v="1"/>
    <n v="4"/>
    <s v="Life Sciences"/>
    <n v="710"/>
    <n v="2"/>
    <s v="Male"/>
    <n v="76"/>
    <n v="1"/>
    <n v="1"/>
    <s v="Research Scientist"/>
    <n v="4"/>
    <s v="Divorced"/>
    <n v="2720"/>
    <n v="18959"/>
    <n v="1"/>
    <s v="No"/>
    <n v="18"/>
    <n v="3"/>
    <n v="4"/>
    <n v="1"/>
    <n v="10"/>
    <n v="5"/>
    <n v="3"/>
    <n v="10"/>
    <n v="7"/>
    <n v="2"/>
    <n v="8"/>
  </r>
  <r>
    <n v="48"/>
    <x v="1"/>
    <s v="Travel_Rarely"/>
    <n v="817"/>
    <x v="0"/>
    <n v="2"/>
    <n v="1"/>
    <s v="Marketing"/>
    <n v="712"/>
    <n v="2"/>
    <s v="Male"/>
    <n v="56"/>
    <n v="4"/>
    <n v="2"/>
    <s v="Sales Executive"/>
    <n v="2"/>
    <s v="Married"/>
    <n v="8120"/>
    <n v="18597"/>
    <n v="3"/>
    <s v="No"/>
    <n v="12"/>
    <n v="3"/>
    <n v="4"/>
    <n v="0"/>
    <n v="12"/>
    <n v="3"/>
    <n v="3"/>
    <n v="2"/>
    <n v="2"/>
    <n v="2"/>
    <n v="2"/>
  </r>
  <r>
    <n v="27"/>
    <x v="1"/>
    <s v="Travel_Frequently"/>
    <n v="1410"/>
    <x v="0"/>
    <n v="3"/>
    <n v="1"/>
    <s v="Medical"/>
    <n v="714"/>
    <n v="4"/>
    <s v="Female"/>
    <n v="71"/>
    <n v="4"/>
    <n v="2"/>
    <s v="Sales Executive"/>
    <n v="4"/>
    <s v="Divorced"/>
    <n v="4647"/>
    <n v="16673"/>
    <n v="1"/>
    <s v="Yes"/>
    <n v="20"/>
    <n v="4"/>
    <n v="2"/>
    <n v="2"/>
    <n v="6"/>
    <n v="3"/>
    <n v="3"/>
    <n v="6"/>
    <n v="5"/>
    <n v="0"/>
    <n v="4"/>
  </r>
  <r>
    <n v="37"/>
    <x v="1"/>
    <s v="Travel_Rarely"/>
    <n v="1225"/>
    <x v="1"/>
    <n v="10"/>
    <n v="2"/>
    <s v="Life Sciences"/>
    <n v="715"/>
    <n v="4"/>
    <s v="Male"/>
    <n v="80"/>
    <n v="4"/>
    <n v="1"/>
    <s v="Research Scientist"/>
    <n v="4"/>
    <s v="Single"/>
    <n v="4680"/>
    <n v="15232"/>
    <n v="3"/>
    <s v="No"/>
    <n v="17"/>
    <n v="3"/>
    <n v="1"/>
    <n v="0"/>
    <n v="4"/>
    <n v="2"/>
    <n v="3"/>
    <n v="1"/>
    <n v="0"/>
    <n v="0"/>
    <n v="0"/>
  </r>
  <r>
    <n v="50"/>
    <x v="1"/>
    <s v="Travel_Rarely"/>
    <n v="1207"/>
    <x v="1"/>
    <n v="28"/>
    <n v="1"/>
    <s v="Medical"/>
    <n v="716"/>
    <n v="4"/>
    <s v="Male"/>
    <n v="74"/>
    <n v="4"/>
    <n v="1"/>
    <s v="Laboratory Technician"/>
    <n v="3"/>
    <s v="Married"/>
    <n v="3221"/>
    <n v="3297"/>
    <n v="1"/>
    <s v="Yes"/>
    <n v="11"/>
    <n v="3"/>
    <n v="3"/>
    <n v="3"/>
    <n v="20"/>
    <n v="3"/>
    <n v="3"/>
    <n v="20"/>
    <n v="8"/>
    <n v="3"/>
    <n v="8"/>
  </r>
  <r>
    <n v="34"/>
    <x v="1"/>
    <s v="Travel_Rarely"/>
    <n v="1442"/>
    <x v="1"/>
    <n v="9"/>
    <n v="3"/>
    <s v="Medical"/>
    <n v="717"/>
    <n v="4"/>
    <s v="Female"/>
    <n v="46"/>
    <n v="2"/>
    <n v="3"/>
    <s v="Healthcare Representative"/>
    <n v="2"/>
    <s v="Single"/>
    <n v="8621"/>
    <n v="17654"/>
    <n v="1"/>
    <s v="No"/>
    <n v="14"/>
    <n v="3"/>
    <n v="2"/>
    <n v="0"/>
    <n v="9"/>
    <n v="3"/>
    <n v="4"/>
    <n v="8"/>
    <n v="7"/>
    <n v="7"/>
    <n v="7"/>
  </r>
  <r>
    <n v="24"/>
    <x v="0"/>
    <s v="Travel_Rarely"/>
    <n v="693"/>
    <x v="0"/>
    <n v="3"/>
    <n v="2"/>
    <s v="Life Sciences"/>
    <n v="720"/>
    <n v="1"/>
    <s v="Female"/>
    <n v="65"/>
    <n v="3"/>
    <n v="2"/>
    <s v="Sales Executive"/>
    <n v="3"/>
    <s v="Single"/>
    <n v="4577"/>
    <n v="24785"/>
    <n v="9"/>
    <s v="No"/>
    <n v="14"/>
    <n v="3"/>
    <n v="1"/>
    <n v="0"/>
    <n v="4"/>
    <n v="3"/>
    <n v="3"/>
    <n v="2"/>
    <n v="2"/>
    <n v="2"/>
    <n v="0"/>
  </r>
  <r>
    <n v="39"/>
    <x v="1"/>
    <s v="Travel_Rarely"/>
    <n v="408"/>
    <x v="1"/>
    <n v="2"/>
    <n v="4"/>
    <s v="Technical Degree"/>
    <n v="721"/>
    <n v="4"/>
    <s v="Female"/>
    <n v="80"/>
    <n v="2"/>
    <n v="2"/>
    <s v="Healthcare Representative"/>
    <n v="3"/>
    <s v="Single"/>
    <n v="4553"/>
    <n v="20978"/>
    <n v="1"/>
    <s v="No"/>
    <n v="11"/>
    <n v="3"/>
    <n v="1"/>
    <n v="0"/>
    <n v="20"/>
    <n v="4"/>
    <n v="3"/>
    <n v="20"/>
    <n v="7"/>
    <n v="11"/>
    <n v="10"/>
  </r>
  <r>
    <n v="32"/>
    <x v="1"/>
    <s v="Travel_Rarely"/>
    <n v="929"/>
    <x v="0"/>
    <n v="10"/>
    <n v="3"/>
    <s v="Marketing"/>
    <n v="722"/>
    <n v="4"/>
    <s v="Male"/>
    <n v="55"/>
    <n v="3"/>
    <n v="2"/>
    <s v="Sales Executive"/>
    <n v="4"/>
    <s v="Single"/>
    <n v="5396"/>
    <n v="21703"/>
    <n v="1"/>
    <s v="No"/>
    <n v="12"/>
    <n v="3"/>
    <n v="4"/>
    <n v="0"/>
    <n v="10"/>
    <n v="2"/>
    <n v="2"/>
    <n v="10"/>
    <n v="7"/>
    <n v="0"/>
    <n v="8"/>
  </r>
  <r>
    <n v="50"/>
    <x v="0"/>
    <s v="Travel_Frequently"/>
    <n v="562"/>
    <x v="0"/>
    <n v="8"/>
    <n v="2"/>
    <s v="Technical Degree"/>
    <n v="723"/>
    <n v="2"/>
    <s v="Male"/>
    <n v="50"/>
    <n v="3"/>
    <n v="2"/>
    <s v="Sales Executive"/>
    <n v="3"/>
    <s v="Married"/>
    <n v="6796"/>
    <n v="23452"/>
    <n v="3"/>
    <s v="Yes"/>
    <n v="14"/>
    <n v="3"/>
    <n v="1"/>
    <n v="1"/>
    <n v="18"/>
    <n v="4"/>
    <n v="3"/>
    <n v="4"/>
    <n v="3"/>
    <n v="1"/>
    <n v="3"/>
  </r>
  <r>
    <n v="38"/>
    <x v="1"/>
    <s v="Travel_Rarely"/>
    <n v="827"/>
    <x v="1"/>
    <n v="1"/>
    <n v="4"/>
    <s v="Life Sciences"/>
    <n v="724"/>
    <n v="2"/>
    <s v="Female"/>
    <n v="33"/>
    <n v="4"/>
    <n v="2"/>
    <s v="Healthcare Representative"/>
    <n v="4"/>
    <s v="Single"/>
    <n v="7625"/>
    <n v="19383"/>
    <n v="0"/>
    <s v="No"/>
    <n v="13"/>
    <n v="3"/>
    <n v="3"/>
    <n v="0"/>
    <n v="10"/>
    <n v="4"/>
    <n v="2"/>
    <n v="9"/>
    <n v="7"/>
    <n v="1"/>
    <n v="8"/>
  </r>
  <r>
    <n v="27"/>
    <x v="1"/>
    <s v="Travel_Rarely"/>
    <n v="608"/>
    <x v="1"/>
    <n v="1"/>
    <n v="2"/>
    <s v="Life Sciences"/>
    <n v="725"/>
    <n v="3"/>
    <s v="Female"/>
    <n v="68"/>
    <n v="3"/>
    <n v="3"/>
    <s v="Manufacturing Director"/>
    <n v="1"/>
    <s v="Married"/>
    <n v="7412"/>
    <n v="6009"/>
    <n v="1"/>
    <s v="No"/>
    <n v="11"/>
    <n v="3"/>
    <n v="4"/>
    <n v="0"/>
    <n v="9"/>
    <n v="3"/>
    <n v="3"/>
    <n v="9"/>
    <n v="7"/>
    <n v="0"/>
    <n v="7"/>
  </r>
  <r>
    <n v="32"/>
    <x v="1"/>
    <s v="Travel_Rarely"/>
    <n v="1018"/>
    <x v="1"/>
    <n v="3"/>
    <n v="2"/>
    <s v="Life Sciences"/>
    <n v="727"/>
    <n v="3"/>
    <s v="Female"/>
    <n v="39"/>
    <n v="3"/>
    <n v="3"/>
    <s v="Research Director"/>
    <n v="4"/>
    <s v="Single"/>
    <n v="11159"/>
    <n v="19373"/>
    <n v="3"/>
    <s v="No"/>
    <n v="15"/>
    <n v="3"/>
    <n v="4"/>
    <n v="0"/>
    <n v="10"/>
    <n v="6"/>
    <n v="3"/>
    <n v="7"/>
    <n v="7"/>
    <n v="7"/>
    <n v="7"/>
  </r>
  <r>
    <n v="47"/>
    <x v="1"/>
    <s v="Travel_Rarely"/>
    <n v="703"/>
    <x v="0"/>
    <n v="14"/>
    <n v="4"/>
    <s v="Marketing"/>
    <n v="728"/>
    <n v="4"/>
    <s v="Male"/>
    <n v="42"/>
    <n v="3"/>
    <n v="2"/>
    <s v="Sales Executive"/>
    <n v="1"/>
    <s v="Single"/>
    <n v="4960"/>
    <n v="11825"/>
    <n v="2"/>
    <s v="No"/>
    <n v="12"/>
    <n v="3"/>
    <n v="4"/>
    <n v="0"/>
    <n v="20"/>
    <n v="2"/>
    <n v="3"/>
    <n v="7"/>
    <n v="7"/>
    <n v="1"/>
    <n v="7"/>
  </r>
  <r>
    <n v="40"/>
    <x v="1"/>
    <s v="Travel_Frequently"/>
    <n v="580"/>
    <x v="0"/>
    <n v="5"/>
    <n v="4"/>
    <s v="Life Sciences"/>
    <n v="729"/>
    <n v="4"/>
    <s v="Male"/>
    <n v="48"/>
    <n v="2"/>
    <n v="3"/>
    <s v="Sales Executive"/>
    <n v="1"/>
    <s v="Married"/>
    <n v="10475"/>
    <n v="23772"/>
    <n v="5"/>
    <s v="Yes"/>
    <n v="21"/>
    <n v="4"/>
    <n v="3"/>
    <n v="1"/>
    <n v="20"/>
    <n v="2"/>
    <n v="3"/>
    <n v="18"/>
    <n v="13"/>
    <n v="1"/>
    <n v="12"/>
  </r>
  <r>
    <n v="53"/>
    <x v="1"/>
    <s v="Travel_Rarely"/>
    <n v="970"/>
    <x v="1"/>
    <n v="7"/>
    <n v="3"/>
    <s v="Life Sciences"/>
    <n v="730"/>
    <n v="3"/>
    <s v="Male"/>
    <n v="59"/>
    <n v="4"/>
    <n v="4"/>
    <s v="Research Director"/>
    <n v="3"/>
    <s v="Married"/>
    <n v="14814"/>
    <n v="13514"/>
    <n v="3"/>
    <s v="No"/>
    <n v="19"/>
    <n v="3"/>
    <n v="3"/>
    <n v="0"/>
    <n v="32"/>
    <n v="3"/>
    <n v="3"/>
    <n v="5"/>
    <n v="1"/>
    <n v="1"/>
    <n v="3"/>
  </r>
  <r>
    <n v="41"/>
    <x v="1"/>
    <s v="Travel_Rarely"/>
    <n v="427"/>
    <x v="2"/>
    <n v="10"/>
    <n v="4"/>
    <s v="Human Resources"/>
    <n v="731"/>
    <n v="2"/>
    <s v="Male"/>
    <n v="73"/>
    <n v="2"/>
    <n v="5"/>
    <s v="Manager"/>
    <n v="4"/>
    <s v="Divorced"/>
    <n v="19141"/>
    <n v="8861"/>
    <n v="3"/>
    <s v="No"/>
    <n v="15"/>
    <n v="3"/>
    <n v="2"/>
    <n v="3"/>
    <n v="23"/>
    <n v="2"/>
    <n v="2"/>
    <n v="21"/>
    <n v="6"/>
    <n v="12"/>
    <n v="6"/>
  </r>
  <r>
    <n v="60"/>
    <x v="1"/>
    <s v="Travel_Rarely"/>
    <n v="1179"/>
    <x v="0"/>
    <n v="16"/>
    <n v="4"/>
    <s v="Marketing"/>
    <n v="732"/>
    <n v="1"/>
    <s v="Male"/>
    <n v="84"/>
    <n v="3"/>
    <n v="2"/>
    <s v="Sales Executive"/>
    <n v="1"/>
    <s v="Single"/>
    <n v="5405"/>
    <n v="11924"/>
    <n v="8"/>
    <s v="No"/>
    <n v="14"/>
    <n v="3"/>
    <n v="4"/>
    <n v="0"/>
    <n v="10"/>
    <n v="1"/>
    <n v="3"/>
    <n v="2"/>
    <n v="2"/>
    <n v="2"/>
    <n v="2"/>
  </r>
  <r>
    <n v="27"/>
    <x v="1"/>
    <s v="Travel_Frequently"/>
    <n v="294"/>
    <x v="1"/>
    <n v="10"/>
    <n v="2"/>
    <s v="Life Sciences"/>
    <n v="733"/>
    <n v="4"/>
    <s v="Male"/>
    <n v="32"/>
    <n v="3"/>
    <n v="3"/>
    <s v="Manufacturing Director"/>
    <n v="1"/>
    <s v="Divorced"/>
    <n v="8793"/>
    <n v="4809"/>
    <n v="1"/>
    <s v="No"/>
    <n v="21"/>
    <n v="4"/>
    <n v="3"/>
    <n v="2"/>
    <n v="9"/>
    <n v="4"/>
    <n v="2"/>
    <n v="9"/>
    <n v="7"/>
    <n v="1"/>
    <n v="7"/>
  </r>
  <r>
    <n v="41"/>
    <x v="1"/>
    <s v="Travel_Rarely"/>
    <n v="314"/>
    <x v="2"/>
    <n v="1"/>
    <n v="3"/>
    <s v="Human Resources"/>
    <n v="734"/>
    <n v="4"/>
    <s v="Male"/>
    <n v="59"/>
    <n v="2"/>
    <n v="5"/>
    <s v="Manager"/>
    <n v="3"/>
    <s v="Married"/>
    <n v="19189"/>
    <n v="19562"/>
    <n v="1"/>
    <s v="No"/>
    <n v="12"/>
    <n v="3"/>
    <n v="2"/>
    <n v="1"/>
    <n v="22"/>
    <n v="3"/>
    <n v="3"/>
    <n v="22"/>
    <n v="7"/>
    <n v="2"/>
    <n v="10"/>
  </r>
  <r>
    <n v="50"/>
    <x v="1"/>
    <s v="Travel_Rarely"/>
    <n v="316"/>
    <x v="0"/>
    <n v="8"/>
    <n v="4"/>
    <s v="Marketing"/>
    <n v="738"/>
    <n v="4"/>
    <s v="Male"/>
    <n v="54"/>
    <n v="3"/>
    <n v="1"/>
    <s v="Sales Representative"/>
    <n v="2"/>
    <s v="Married"/>
    <n v="3875"/>
    <n v="9983"/>
    <n v="7"/>
    <s v="No"/>
    <n v="15"/>
    <n v="3"/>
    <n v="4"/>
    <n v="1"/>
    <n v="4"/>
    <n v="2"/>
    <n v="3"/>
    <n v="2"/>
    <n v="2"/>
    <n v="2"/>
    <n v="2"/>
  </r>
  <r>
    <n v="28"/>
    <x v="0"/>
    <s v="Travel_Rarely"/>
    <n v="654"/>
    <x v="1"/>
    <n v="1"/>
    <n v="2"/>
    <s v="Life Sciences"/>
    <n v="741"/>
    <n v="1"/>
    <s v="Female"/>
    <n v="67"/>
    <n v="1"/>
    <n v="1"/>
    <s v="Research Scientist"/>
    <n v="2"/>
    <s v="Single"/>
    <n v="2216"/>
    <n v="3872"/>
    <n v="7"/>
    <s v="Yes"/>
    <n v="13"/>
    <n v="3"/>
    <n v="4"/>
    <n v="0"/>
    <n v="10"/>
    <n v="4"/>
    <n v="3"/>
    <n v="7"/>
    <n v="7"/>
    <n v="3"/>
    <n v="7"/>
  </r>
  <r>
    <n v="36"/>
    <x v="1"/>
    <s v="Non-Travel"/>
    <n v="427"/>
    <x v="1"/>
    <n v="8"/>
    <n v="3"/>
    <s v="Life Sciences"/>
    <n v="742"/>
    <n v="1"/>
    <s v="Female"/>
    <n v="63"/>
    <n v="4"/>
    <n v="3"/>
    <s v="Research Director"/>
    <n v="1"/>
    <s v="Married"/>
    <n v="11713"/>
    <n v="20335"/>
    <n v="9"/>
    <s v="No"/>
    <n v="14"/>
    <n v="3"/>
    <n v="1"/>
    <n v="1"/>
    <n v="10"/>
    <n v="2"/>
    <n v="3"/>
    <n v="8"/>
    <n v="7"/>
    <n v="0"/>
    <n v="5"/>
  </r>
  <r>
    <n v="38"/>
    <x v="1"/>
    <s v="Travel_Rarely"/>
    <n v="168"/>
    <x v="1"/>
    <n v="1"/>
    <n v="3"/>
    <s v="Life Sciences"/>
    <n v="743"/>
    <n v="3"/>
    <s v="Female"/>
    <n v="81"/>
    <n v="3"/>
    <n v="3"/>
    <s v="Manufacturing Director"/>
    <n v="3"/>
    <s v="Single"/>
    <n v="7861"/>
    <n v="15397"/>
    <n v="4"/>
    <s v="Yes"/>
    <n v="14"/>
    <n v="3"/>
    <n v="4"/>
    <n v="0"/>
    <n v="10"/>
    <n v="4"/>
    <n v="4"/>
    <n v="1"/>
    <n v="0"/>
    <n v="0"/>
    <n v="0"/>
  </r>
  <r>
    <n v="44"/>
    <x v="1"/>
    <s v="Non-Travel"/>
    <n v="381"/>
    <x v="1"/>
    <n v="24"/>
    <n v="3"/>
    <s v="Medical"/>
    <n v="744"/>
    <n v="1"/>
    <s v="Male"/>
    <n v="49"/>
    <n v="1"/>
    <n v="1"/>
    <s v="Laboratory Technician"/>
    <n v="3"/>
    <s v="Single"/>
    <n v="3708"/>
    <n v="2104"/>
    <n v="2"/>
    <s v="No"/>
    <n v="14"/>
    <n v="3"/>
    <n v="3"/>
    <n v="0"/>
    <n v="9"/>
    <n v="5"/>
    <n v="3"/>
    <n v="5"/>
    <n v="2"/>
    <n v="1"/>
    <n v="4"/>
  </r>
  <r>
    <n v="47"/>
    <x v="1"/>
    <s v="Travel_Frequently"/>
    <n v="217"/>
    <x v="0"/>
    <n v="3"/>
    <n v="3"/>
    <s v="Medical"/>
    <n v="746"/>
    <n v="4"/>
    <s v="Female"/>
    <n v="49"/>
    <n v="3"/>
    <n v="4"/>
    <s v="Sales Executive"/>
    <n v="3"/>
    <s v="Divorced"/>
    <n v="13770"/>
    <n v="10225"/>
    <n v="9"/>
    <s v="Yes"/>
    <n v="12"/>
    <n v="3"/>
    <n v="4"/>
    <n v="2"/>
    <n v="28"/>
    <n v="2"/>
    <n v="2"/>
    <n v="22"/>
    <n v="2"/>
    <n v="11"/>
    <n v="13"/>
  </r>
  <r>
    <n v="30"/>
    <x v="1"/>
    <s v="Travel_Rarely"/>
    <n v="501"/>
    <x v="0"/>
    <n v="27"/>
    <n v="5"/>
    <s v="Marketing"/>
    <n v="747"/>
    <n v="3"/>
    <s v="Male"/>
    <n v="99"/>
    <n v="3"/>
    <n v="2"/>
    <s v="Sales Executive"/>
    <n v="4"/>
    <s v="Divorced"/>
    <n v="5304"/>
    <n v="25275"/>
    <n v="7"/>
    <s v="No"/>
    <n v="23"/>
    <n v="4"/>
    <n v="4"/>
    <n v="1"/>
    <n v="10"/>
    <n v="2"/>
    <n v="2"/>
    <n v="8"/>
    <n v="7"/>
    <n v="7"/>
    <n v="7"/>
  </r>
  <r>
    <n v="29"/>
    <x v="1"/>
    <s v="Travel_Rarely"/>
    <n v="1396"/>
    <x v="0"/>
    <n v="10"/>
    <n v="3"/>
    <s v="Life Sciences"/>
    <n v="749"/>
    <n v="3"/>
    <s v="Male"/>
    <n v="99"/>
    <n v="3"/>
    <n v="1"/>
    <s v="Sales Representative"/>
    <n v="3"/>
    <s v="Single"/>
    <n v="2642"/>
    <n v="2755"/>
    <n v="1"/>
    <s v="No"/>
    <n v="11"/>
    <n v="3"/>
    <n v="3"/>
    <n v="0"/>
    <n v="1"/>
    <n v="6"/>
    <n v="3"/>
    <n v="1"/>
    <n v="0"/>
    <n v="0"/>
    <n v="0"/>
  </r>
  <r>
    <n v="42"/>
    <x v="0"/>
    <s v="Travel_Frequently"/>
    <n v="933"/>
    <x v="1"/>
    <n v="19"/>
    <n v="3"/>
    <s v="Medical"/>
    <n v="752"/>
    <n v="3"/>
    <s v="Male"/>
    <n v="57"/>
    <n v="4"/>
    <n v="1"/>
    <s v="Research Scientist"/>
    <n v="3"/>
    <s v="Divorced"/>
    <n v="2759"/>
    <n v="20366"/>
    <n v="6"/>
    <s v="Yes"/>
    <n v="12"/>
    <n v="3"/>
    <n v="4"/>
    <n v="0"/>
    <n v="7"/>
    <n v="2"/>
    <n v="3"/>
    <n v="2"/>
    <n v="2"/>
    <n v="2"/>
    <n v="2"/>
  </r>
  <r>
    <n v="43"/>
    <x v="1"/>
    <s v="Travel_Frequently"/>
    <n v="775"/>
    <x v="0"/>
    <n v="15"/>
    <n v="3"/>
    <s v="Life Sciences"/>
    <n v="754"/>
    <n v="4"/>
    <s v="Male"/>
    <n v="47"/>
    <n v="2"/>
    <n v="2"/>
    <s v="Sales Executive"/>
    <n v="4"/>
    <s v="Married"/>
    <n v="6804"/>
    <n v="23683"/>
    <n v="3"/>
    <s v="No"/>
    <n v="18"/>
    <n v="3"/>
    <n v="3"/>
    <n v="1"/>
    <n v="7"/>
    <n v="5"/>
    <n v="3"/>
    <n v="2"/>
    <n v="2"/>
    <n v="2"/>
    <n v="2"/>
  </r>
  <r>
    <n v="34"/>
    <x v="1"/>
    <s v="Travel_Rarely"/>
    <n v="970"/>
    <x v="1"/>
    <n v="8"/>
    <n v="2"/>
    <s v="Medical"/>
    <n v="757"/>
    <n v="2"/>
    <s v="Female"/>
    <n v="96"/>
    <n v="3"/>
    <n v="2"/>
    <s v="Healthcare Representative"/>
    <n v="3"/>
    <s v="Single"/>
    <n v="6142"/>
    <n v="7360"/>
    <n v="3"/>
    <s v="No"/>
    <n v="11"/>
    <n v="3"/>
    <n v="4"/>
    <n v="0"/>
    <n v="10"/>
    <n v="2"/>
    <n v="3"/>
    <n v="5"/>
    <n v="1"/>
    <n v="4"/>
    <n v="3"/>
  </r>
  <r>
    <n v="23"/>
    <x v="1"/>
    <s v="Travel_Rarely"/>
    <n v="650"/>
    <x v="1"/>
    <n v="9"/>
    <n v="1"/>
    <s v="Medical"/>
    <n v="758"/>
    <n v="2"/>
    <s v="Male"/>
    <n v="37"/>
    <n v="3"/>
    <n v="1"/>
    <s v="Laboratory Technician"/>
    <n v="1"/>
    <s v="Married"/>
    <n v="2500"/>
    <n v="4344"/>
    <n v="1"/>
    <s v="No"/>
    <n v="14"/>
    <n v="3"/>
    <n v="4"/>
    <n v="1"/>
    <n v="5"/>
    <n v="2"/>
    <n v="4"/>
    <n v="4"/>
    <n v="3"/>
    <n v="0"/>
    <n v="2"/>
  </r>
  <r>
    <n v="39"/>
    <x v="1"/>
    <s v="Travel_Rarely"/>
    <n v="141"/>
    <x v="2"/>
    <n v="3"/>
    <n v="3"/>
    <s v="Human Resources"/>
    <n v="760"/>
    <n v="3"/>
    <s v="Female"/>
    <n v="44"/>
    <n v="4"/>
    <n v="2"/>
    <s v="Human Resources"/>
    <n v="2"/>
    <s v="Married"/>
    <n v="6389"/>
    <n v="18767"/>
    <n v="9"/>
    <s v="No"/>
    <n v="15"/>
    <n v="3"/>
    <n v="3"/>
    <n v="1"/>
    <n v="12"/>
    <n v="3"/>
    <n v="1"/>
    <n v="8"/>
    <n v="3"/>
    <n v="3"/>
    <n v="6"/>
  </r>
  <r>
    <n v="56"/>
    <x v="1"/>
    <s v="Travel_Rarely"/>
    <n v="832"/>
    <x v="1"/>
    <n v="9"/>
    <n v="3"/>
    <s v="Medical"/>
    <n v="762"/>
    <n v="3"/>
    <s v="Male"/>
    <n v="81"/>
    <n v="3"/>
    <n v="4"/>
    <s v="Healthcare Representative"/>
    <n v="4"/>
    <s v="Married"/>
    <n v="11103"/>
    <n v="20420"/>
    <n v="7"/>
    <s v="No"/>
    <n v="11"/>
    <n v="3"/>
    <n v="3"/>
    <n v="0"/>
    <n v="30"/>
    <n v="1"/>
    <n v="2"/>
    <n v="10"/>
    <n v="7"/>
    <n v="1"/>
    <n v="1"/>
  </r>
  <r>
    <n v="40"/>
    <x v="1"/>
    <s v="Travel_Rarely"/>
    <n v="804"/>
    <x v="1"/>
    <n v="2"/>
    <n v="1"/>
    <s v="Medical"/>
    <n v="763"/>
    <n v="4"/>
    <s v="Female"/>
    <n v="86"/>
    <n v="2"/>
    <n v="1"/>
    <s v="Research Scientist"/>
    <n v="4"/>
    <s v="Single"/>
    <n v="2342"/>
    <n v="22929"/>
    <n v="0"/>
    <s v="Yes"/>
    <n v="20"/>
    <n v="4"/>
    <n v="4"/>
    <n v="0"/>
    <n v="5"/>
    <n v="2"/>
    <n v="2"/>
    <n v="4"/>
    <n v="2"/>
    <n v="2"/>
    <n v="3"/>
  </r>
  <r>
    <n v="27"/>
    <x v="1"/>
    <s v="Travel_Rarely"/>
    <n v="975"/>
    <x v="1"/>
    <n v="7"/>
    <n v="3"/>
    <s v="Medical"/>
    <n v="764"/>
    <n v="4"/>
    <s v="Female"/>
    <n v="55"/>
    <n v="2"/>
    <n v="2"/>
    <s v="Healthcare Representative"/>
    <n v="1"/>
    <s v="Single"/>
    <n v="6811"/>
    <n v="23398"/>
    <n v="8"/>
    <s v="No"/>
    <n v="19"/>
    <n v="3"/>
    <n v="1"/>
    <n v="0"/>
    <n v="9"/>
    <n v="2"/>
    <n v="1"/>
    <n v="7"/>
    <n v="6"/>
    <n v="0"/>
    <n v="7"/>
  </r>
  <r>
    <n v="29"/>
    <x v="1"/>
    <s v="Travel_Rarely"/>
    <n v="1090"/>
    <x v="0"/>
    <n v="10"/>
    <n v="3"/>
    <s v="Marketing"/>
    <n v="766"/>
    <n v="4"/>
    <s v="Male"/>
    <n v="83"/>
    <n v="3"/>
    <n v="1"/>
    <s v="Sales Representative"/>
    <n v="2"/>
    <s v="Divorced"/>
    <n v="2297"/>
    <n v="17967"/>
    <n v="1"/>
    <s v="No"/>
    <n v="14"/>
    <n v="3"/>
    <n v="4"/>
    <n v="2"/>
    <n v="2"/>
    <n v="2"/>
    <n v="3"/>
    <n v="2"/>
    <n v="2"/>
    <n v="2"/>
    <n v="2"/>
  </r>
  <r>
    <n v="53"/>
    <x v="1"/>
    <s v="Travel_Rarely"/>
    <n v="346"/>
    <x v="1"/>
    <n v="6"/>
    <n v="3"/>
    <s v="Life Sciences"/>
    <n v="769"/>
    <n v="4"/>
    <s v="Male"/>
    <n v="86"/>
    <n v="3"/>
    <n v="2"/>
    <s v="Laboratory Technician"/>
    <n v="4"/>
    <s v="Single"/>
    <n v="2450"/>
    <n v="10919"/>
    <n v="2"/>
    <s v="No"/>
    <n v="17"/>
    <n v="3"/>
    <n v="4"/>
    <n v="0"/>
    <n v="19"/>
    <n v="4"/>
    <n v="3"/>
    <n v="2"/>
    <n v="2"/>
    <n v="2"/>
    <n v="2"/>
  </r>
  <r>
    <n v="35"/>
    <x v="1"/>
    <s v="Non-Travel"/>
    <n v="1225"/>
    <x v="1"/>
    <n v="2"/>
    <n v="4"/>
    <s v="Life Sciences"/>
    <n v="771"/>
    <n v="4"/>
    <s v="Female"/>
    <n v="61"/>
    <n v="3"/>
    <n v="2"/>
    <s v="Healthcare Representative"/>
    <n v="1"/>
    <s v="Divorced"/>
    <n v="5093"/>
    <n v="4761"/>
    <n v="2"/>
    <s v="No"/>
    <n v="11"/>
    <n v="3"/>
    <n v="1"/>
    <n v="1"/>
    <n v="16"/>
    <n v="2"/>
    <n v="4"/>
    <n v="1"/>
    <n v="0"/>
    <n v="0"/>
    <n v="0"/>
  </r>
  <r>
    <n v="32"/>
    <x v="1"/>
    <s v="Travel_Frequently"/>
    <n v="430"/>
    <x v="1"/>
    <n v="24"/>
    <n v="4"/>
    <s v="Life Sciences"/>
    <n v="772"/>
    <n v="1"/>
    <s v="Male"/>
    <n v="80"/>
    <n v="3"/>
    <n v="2"/>
    <s v="Laboratory Technician"/>
    <n v="4"/>
    <s v="Married"/>
    <n v="5309"/>
    <n v="21146"/>
    <n v="1"/>
    <s v="No"/>
    <n v="15"/>
    <n v="3"/>
    <n v="4"/>
    <n v="2"/>
    <n v="10"/>
    <n v="2"/>
    <n v="3"/>
    <n v="10"/>
    <n v="8"/>
    <n v="4"/>
    <n v="7"/>
  </r>
  <r>
    <n v="38"/>
    <x v="1"/>
    <s v="Travel_Rarely"/>
    <n v="268"/>
    <x v="1"/>
    <n v="2"/>
    <n v="5"/>
    <s v="Medical"/>
    <n v="773"/>
    <n v="4"/>
    <s v="Male"/>
    <n v="92"/>
    <n v="3"/>
    <n v="1"/>
    <s v="Research Scientist"/>
    <n v="3"/>
    <s v="Married"/>
    <n v="3057"/>
    <n v="20471"/>
    <n v="6"/>
    <s v="Yes"/>
    <n v="13"/>
    <n v="3"/>
    <n v="2"/>
    <n v="1"/>
    <n v="6"/>
    <n v="0"/>
    <n v="1"/>
    <n v="1"/>
    <n v="0"/>
    <n v="0"/>
    <n v="1"/>
  </r>
  <r>
    <n v="34"/>
    <x v="1"/>
    <s v="Travel_Rarely"/>
    <n v="167"/>
    <x v="1"/>
    <n v="8"/>
    <n v="5"/>
    <s v="Life Sciences"/>
    <n v="775"/>
    <n v="2"/>
    <s v="Female"/>
    <n v="32"/>
    <n v="3"/>
    <n v="2"/>
    <s v="Manufacturing Director"/>
    <n v="1"/>
    <s v="Divorced"/>
    <n v="5121"/>
    <n v="4187"/>
    <n v="3"/>
    <s v="No"/>
    <n v="14"/>
    <n v="3"/>
    <n v="3"/>
    <n v="1"/>
    <n v="7"/>
    <n v="3"/>
    <n v="3"/>
    <n v="0"/>
    <n v="0"/>
    <n v="0"/>
    <n v="0"/>
  </r>
  <r>
    <n v="52"/>
    <x v="1"/>
    <s v="Travel_Rarely"/>
    <n v="621"/>
    <x v="0"/>
    <n v="3"/>
    <n v="4"/>
    <s v="Marketing"/>
    <n v="776"/>
    <n v="3"/>
    <s v="Male"/>
    <n v="31"/>
    <n v="2"/>
    <n v="4"/>
    <s v="Manager"/>
    <n v="1"/>
    <s v="Married"/>
    <n v="16856"/>
    <n v="10084"/>
    <n v="1"/>
    <s v="No"/>
    <n v="11"/>
    <n v="3"/>
    <n v="1"/>
    <n v="0"/>
    <n v="34"/>
    <n v="3"/>
    <n v="4"/>
    <n v="34"/>
    <n v="6"/>
    <n v="1"/>
    <n v="16"/>
  </r>
  <r>
    <n v="33"/>
    <x v="0"/>
    <s v="Travel_Rarely"/>
    <n v="527"/>
    <x v="1"/>
    <n v="1"/>
    <n v="4"/>
    <s v="Other"/>
    <n v="780"/>
    <n v="4"/>
    <s v="Male"/>
    <n v="63"/>
    <n v="3"/>
    <n v="1"/>
    <s v="Research Scientist"/>
    <n v="4"/>
    <s v="Single"/>
    <n v="2686"/>
    <n v="5207"/>
    <n v="1"/>
    <s v="Yes"/>
    <n v="13"/>
    <n v="3"/>
    <n v="3"/>
    <n v="0"/>
    <n v="10"/>
    <n v="2"/>
    <n v="2"/>
    <n v="10"/>
    <n v="9"/>
    <n v="7"/>
    <n v="8"/>
  </r>
  <r>
    <n v="25"/>
    <x v="1"/>
    <s v="Travel_Rarely"/>
    <n v="883"/>
    <x v="0"/>
    <n v="26"/>
    <n v="1"/>
    <s v="Medical"/>
    <n v="781"/>
    <n v="3"/>
    <s v="Female"/>
    <n v="32"/>
    <n v="3"/>
    <n v="2"/>
    <s v="Sales Executive"/>
    <n v="4"/>
    <s v="Single"/>
    <n v="6180"/>
    <n v="22807"/>
    <n v="1"/>
    <s v="No"/>
    <n v="23"/>
    <n v="4"/>
    <n v="2"/>
    <n v="0"/>
    <n v="6"/>
    <n v="5"/>
    <n v="2"/>
    <n v="6"/>
    <n v="5"/>
    <n v="1"/>
    <n v="4"/>
  </r>
  <r>
    <n v="45"/>
    <x v="1"/>
    <s v="Travel_Rarely"/>
    <n v="954"/>
    <x v="0"/>
    <n v="2"/>
    <n v="2"/>
    <s v="Technical Degree"/>
    <n v="783"/>
    <n v="2"/>
    <s v="Male"/>
    <n v="46"/>
    <n v="1"/>
    <n v="2"/>
    <s v="Sales Representative"/>
    <n v="3"/>
    <s v="Single"/>
    <n v="6632"/>
    <n v="12388"/>
    <n v="0"/>
    <s v="No"/>
    <n v="13"/>
    <n v="3"/>
    <n v="1"/>
    <n v="0"/>
    <n v="9"/>
    <n v="3"/>
    <n v="3"/>
    <n v="8"/>
    <n v="7"/>
    <n v="3"/>
    <n v="1"/>
  </r>
  <r>
    <n v="23"/>
    <x v="1"/>
    <s v="Travel_Rarely"/>
    <n v="310"/>
    <x v="1"/>
    <n v="10"/>
    <n v="1"/>
    <s v="Medical"/>
    <n v="784"/>
    <n v="1"/>
    <s v="Male"/>
    <n v="79"/>
    <n v="4"/>
    <n v="1"/>
    <s v="Research Scientist"/>
    <n v="3"/>
    <s v="Single"/>
    <n v="3505"/>
    <n v="19630"/>
    <n v="1"/>
    <s v="No"/>
    <n v="18"/>
    <n v="3"/>
    <n v="4"/>
    <n v="0"/>
    <n v="2"/>
    <n v="3"/>
    <n v="3"/>
    <n v="2"/>
    <n v="2"/>
    <n v="0"/>
    <n v="2"/>
  </r>
  <r>
    <n v="47"/>
    <x v="0"/>
    <s v="Travel_Frequently"/>
    <n v="719"/>
    <x v="0"/>
    <n v="27"/>
    <n v="2"/>
    <s v="Life Sciences"/>
    <n v="785"/>
    <n v="2"/>
    <s v="Female"/>
    <n v="77"/>
    <n v="4"/>
    <n v="2"/>
    <s v="Sales Executive"/>
    <n v="3"/>
    <s v="Single"/>
    <n v="6397"/>
    <n v="10339"/>
    <n v="4"/>
    <s v="Yes"/>
    <n v="12"/>
    <n v="3"/>
    <n v="4"/>
    <n v="0"/>
    <n v="8"/>
    <n v="2"/>
    <n v="3"/>
    <n v="5"/>
    <n v="4"/>
    <n v="1"/>
    <n v="3"/>
  </r>
  <r>
    <n v="34"/>
    <x v="1"/>
    <s v="Travel_Rarely"/>
    <n v="304"/>
    <x v="0"/>
    <n v="2"/>
    <n v="3"/>
    <s v="Other"/>
    <n v="786"/>
    <n v="4"/>
    <s v="Male"/>
    <n v="60"/>
    <n v="3"/>
    <n v="2"/>
    <s v="Sales Executive"/>
    <n v="4"/>
    <s v="Single"/>
    <n v="6274"/>
    <n v="18686"/>
    <n v="1"/>
    <s v="No"/>
    <n v="22"/>
    <n v="4"/>
    <n v="3"/>
    <n v="0"/>
    <n v="6"/>
    <n v="5"/>
    <n v="3"/>
    <n v="6"/>
    <n v="5"/>
    <n v="1"/>
    <n v="4"/>
  </r>
  <r>
    <n v="55"/>
    <x v="0"/>
    <s v="Travel_Rarely"/>
    <n v="725"/>
    <x v="1"/>
    <n v="2"/>
    <n v="3"/>
    <s v="Medical"/>
    <n v="787"/>
    <n v="4"/>
    <s v="Male"/>
    <n v="78"/>
    <n v="3"/>
    <n v="5"/>
    <s v="Manager"/>
    <n v="1"/>
    <s v="Married"/>
    <n v="19859"/>
    <n v="21199"/>
    <n v="5"/>
    <s v="Yes"/>
    <n v="13"/>
    <n v="3"/>
    <n v="4"/>
    <n v="1"/>
    <n v="24"/>
    <n v="2"/>
    <n v="3"/>
    <n v="5"/>
    <n v="2"/>
    <n v="1"/>
    <n v="4"/>
  </r>
  <r>
    <n v="36"/>
    <x v="1"/>
    <s v="Non-Travel"/>
    <n v="1434"/>
    <x v="0"/>
    <n v="8"/>
    <n v="4"/>
    <s v="Life Sciences"/>
    <n v="789"/>
    <n v="1"/>
    <s v="Male"/>
    <n v="76"/>
    <n v="2"/>
    <n v="3"/>
    <s v="Sales Executive"/>
    <n v="1"/>
    <s v="Single"/>
    <n v="7587"/>
    <n v="14229"/>
    <n v="1"/>
    <s v="No"/>
    <n v="15"/>
    <n v="3"/>
    <n v="2"/>
    <n v="0"/>
    <n v="10"/>
    <n v="1"/>
    <n v="3"/>
    <n v="10"/>
    <n v="7"/>
    <n v="0"/>
    <n v="9"/>
  </r>
  <r>
    <n v="52"/>
    <x v="1"/>
    <s v="Non-Travel"/>
    <n v="715"/>
    <x v="1"/>
    <n v="19"/>
    <n v="4"/>
    <s v="Medical"/>
    <n v="791"/>
    <n v="4"/>
    <s v="Male"/>
    <n v="41"/>
    <n v="3"/>
    <n v="1"/>
    <s v="Research Scientist"/>
    <n v="4"/>
    <s v="Married"/>
    <n v="4258"/>
    <n v="26589"/>
    <n v="0"/>
    <s v="No"/>
    <n v="18"/>
    <n v="3"/>
    <n v="1"/>
    <n v="1"/>
    <n v="5"/>
    <n v="3"/>
    <n v="3"/>
    <n v="4"/>
    <n v="3"/>
    <n v="1"/>
    <n v="2"/>
  </r>
  <r>
    <n v="26"/>
    <x v="1"/>
    <s v="Travel_Frequently"/>
    <n v="575"/>
    <x v="1"/>
    <n v="1"/>
    <n v="2"/>
    <s v="Life Sciences"/>
    <n v="792"/>
    <n v="1"/>
    <s v="Female"/>
    <n v="71"/>
    <n v="1"/>
    <n v="1"/>
    <s v="Laboratory Technician"/>
    <n v="4"/>
    <s v="Divorced"/>
    <n v="4364"/>
    <n v="5288"/>
    <n v="3"/>
    <s v="No"/>
    <n v="14"/>
    <n v="3"/>
    <n v="1"/>
    <n v="1"/>
    <n v="5"/>
    <n v="2"/>
    <n v="3"/>
    <n v="2"/>
    <n v="2"/>
    <n v="2"/>
    <n v="0"/>
  </r>
  <r>
    <n v="29"/>
    <x v="1"/>
    <s v="Travel_Rarely"/>
    <n v="657"/>
    <x v="1"/>
    <n v="27"/>
    <n v="3"/>
    <s v="Medical"/>
    <n v="793"/>
    <n v="2"/>
    <s v="Female"/>
    <n v="66"/>
    <n v="3"/>
    <n v="2"/>
    <s v="Healthcare Representative"/>
    <n v="3"/>
    <s v="Married"/>
    <n v="4335"/>
    <n v="25549"/>
    <n v="4"/>
    <s v="No"/>
    <n v="12"/>
    <n v="3"/>
    <n v="1"/>
    <n v="1"/>
    <n v="11"/>
    <n v="3"/>
    <n v="2"/>
    <n v="8"/>
    <n v="7"/>
    <n v="1"/>
    <n v="1"/>
  </r>
  <r>
    <n v="26"/>
    <x v="0"/>
    <s v="Travel_Rarely"/>
    <n v="1146"/>
    <x v="0"/>
    <n v="8"/>
    <n v="3"/>
    <s v="Technical Degree"/>
    <n v="796"/>
    <n v="4"/>
    <s v="Male"/>
    <n v="38"/>
    <n v="2"/>
    <n v="2"/>
    <s v="Sales Executive"/>
    <n v="1"/>
    <s v="Single"/>
    <n v="5326"/>
    <n v="3064"/>
    <n v="6"/>
    <s v="No"/>
    <n v="17"/>
    <n v="3"/>
    <n v="3"/>
    <n v="0"/>
    <n v="6"/>
    <n v="2"/>
    <n v="2"/>
    <n v="4"/>
    <n v="3"/>
    <n v="1"/>
    <n v="2"/>
  </r>
  <r>
    <n v="34"/>
    <x v="1"/>
    <s v="Travel_Rarely"/>
    <n v="182"/>
    <x v="1"/>
    <n v="1"/>
    <n v="4"/>
    <s v="Life Sciences"/>
    <n v="797"/>
    <n v="2"/>
    <s v="Female"/>
    <n v="72"/>
    <n v="4"/>
    <n v="1"/>
    <s v="Research Scientist"/>
    <n v="4"/>
    <s v="Single"/>
    <n v="3280"/>
    <n v="13551"/>
    <n v="2"/>
    <s v="No"/>
    <n v="16"/>
    <n v="3"/>
    <n v="3"/>
    <n v="0"/>
    <n v="10"/>
    <n v="2"/>
    <n v="3"/>
    <n v="4"/>
    <n v="2"/>
    <n v="1"/>
    <n v="3"/>
  </r>
  <r>
    <n v="54"/>
    <x v="1"/>
    <s v="Travel_Rarely"/>
    <n v="376"/>
    <x v="1"/>
    <n v="19"/>
    <n v="4"/>
    <s v="Medical"/>
    <n v="799"/>
    <n v="4"/>
    <s v="Female"/>
    <n v="95"/>
    <n v="3"/>
    <n v="2"/>
    <s v="Manufacturing Director"/>
    <n v="1"/>
    <s v="Divorced"/>
    <n v="5485"/>
    <n v="22670"/>
    <n v="9"/>
    <s v="Yes"/>
    <n v="11"/>
    <n v="3"/>
    <n v="2"/>
    <n v="2"/>
    <n v="9"/>
    <n v="4"/>
    <n v="3"/>
    <n v="5"/>
    <n v="3"/>
    <n v="1"/>
    <n v="4"/>
  </r>
  <r>
    <n v="27"/>
    <x v="1"/>
    <s v="Travel_Frequently"/>
    <n v="829"/>
    <x v="0"/>
    <n v="8"/>
    <n v="1"/>
    <s v="Marketing"/>
    <n v="800"/>
    <n v="3"/>
    <s v="Male"/>
    <n v="84"/>
    <n v="3"/>
    <n v="2"/>
    <s v="Sales Executive"/>
    <n v="4"/>
    <s v="Married"/>
    <n v="4342"/>
    <n v="24008"/>
    <n v="0"/>
    <s v="No"/>
    <n v="19"/>
    <n v="3"/>
    <n v="2"/>
    <n v="1"/>
    <n v="5"/>
    <n v="3"/>
    <n v="3"/>
    <n v="4"/>
    <n v="2"/>
    <n v="1"/>
    <n v="1"/>
  </r>
  <r>
    <n v="37"/>
    <x v="1"/>
    <s v="Travel_Rarely"/>
    <n v="571"/>
    <x v="1"/>
    <n v="10"/>
    <n v="1"/>
    <s v="Life Sciences"/>
    <n v="802"/>
    <n v="4"/>
    <s v="Female"/>
    <n v="82"/>
    <n v="3"/>
    <n v="1"/>
    <s v="Research Scientist"/>
    <n v="1"/>
    <s v="Divorced"/>
    <n v="2782"/>
    <n v="19905"/>
    <n v="0"/>
    <s v="Yes"/>
    <n v="13"/>
    <n v="3"/>
    <n v="2"/>
    <n v="2"/>
    <n v="6"/>
    <n v="3"/>
    <n v="2"/>
    <n v="5"/>
    <n v="3"/>
    <n v="4"/>
    <n v="3"/>
  </r>
  <r>
    <n v="38"/>
    <x v="1"/>
    <s v="Travel_Frequently"/>
    <n v="240"/>
    <x v="1"/>
    <n v="2"/>
    <n v="4"/>
    <s v="Life Sciences"/>
    <n v="803"/>
    <n v="1"/>
    <s v="Female"/>
    <n v="75"/>
    <n v="4"/>
    <n v="2"/>
    <s v="Manufacturing Director"/>
    <n v="1"/>
    <s v="Single"/>
    <n v="5980"/>
    <n v="26085"/>
    <n v="6"/>
    <s v="Yes"/>
    <n v="12"/>
    <n v="3"/>
    <n v="4"/>
    <n v="0"/>
    <n v="17"/>
    <n v="2"/>
    <n v="3"/>
    <n v="15"/>
    <n v="7"/>
    <n v="4"/>
    <n v="12"/>
  </r>
  <r>
    <n v="34"/>
    <x v="1"/>
    <s v="Travel_Rarely"/>
    <n v="121"/>
    <x v="1"/>
    <n v="2"/>
    <n v="4"/>
    <s v="Medical"/>
    <n v="804"/>
    <n v="3"/>
    <s v="Female"/>
    <n v="86"/>
    <n v="2"/>
    <n v="1"/>
    <s v="Research Scientist"/>
    <n v="1"/>
    <s v="Single"/>
    <n v="4381"/>
    <n v="7530"/>
    <n v="1"/>
    <s v="No"/>
    <n v="11"/>
    <n v="3"/>
    <n v="3"/>
    <n v="0"/>
    <n v="6"/>
    <n v="3"/>
    <n v="3"/>
    <n v="6"/>
    <n v="5"/>
    <n v="1"/>
    <n v="3"/>
  </r>
  <r>
    <n v="35"/>
    <x v="1"/>
    <s v="Travel_Rarely"/>
    <n v="384"/>
    <x v="0"/>
    <n v="8"/>
    <n v="4"/>
    <s v="Life Sciences"/>
    <n v="805"/>
    <n v="1"/>
    <s v="Female"/>
    <n v="72"/>
    <n v="3"/>
    <n v="1"/>
    <s v="Sales Representative"/>
    <n v="4"/>
    <s v="Married"/>
    <n v="2572"/>
    <n v="20317"/>
    <n v="1"/>
    <s v="No"/>
    <n v="16"/>
    <n v="3"/>
    <n v="2"/>
    <n v="1"/>
    <n v="3"/>
    <n v="1"/>
    <n v="2"/>
    <n v="3"/>
    <n v="2"/>
    <n v="0"/>
    <n v="2"/>
  </r>
  <r>
    <n v="30"/>
    <x v="1"/>
    <s v="Travel_Rarely"/>
    <n v="921"/>
    <x v="1"/>
    <n v="1"/>
    <n v="3"/>
    <s v="Life Sciences"/>
    <n v="806"/>
    <n v="4"/>
    <s v="Male"/>
    <n v="38"/>
    <n v="1"/>
    <n v="1"/>
    <s v="Laboratory Technician"/>
    <n v="3"/>
    <s v="Married"/>
    <n v="3833"/>
    <n v="24375"/>
    <n v="3"/>
    <s v="No"/>
    <n v="21"/>
    <n v="4"/>
    <n v="3"/>
    <n v="2"/>
    <n v="7"/>
    <n v="2"/>
    <n v="3"/>
    <n v="2"/>
    <n v="2"/>
    <n v="0"/>
    <n v="2"/>
  </r>
  <r>
    <n v="40"/>
    <x v="1"/>
    <s v="Travel_Frequently"/>
    <n v="791"/>
    <x v="1"/>
    <n v="2"/>
    <n v="2"/>
    <s v="Medical"/>
    <n v="807"/>
    <n v="3"/>
    <s v="Female"/>
    <n v="38"/>
    <n v="4"/>
    <n v="2"/>
    <s v="Healthcare Representative"/>
    <n v="2"/>
    <s v="Married"/>
    <n v="4244"/>
    <n v="9931"/>
    <n v="1"/>
    <s v="No"/>
    <n v="24"/>
    <n v="4"/>
    <n v="4"/>
    <n v="1"/>
    <n v="8"/>
    <n v="2"/>
    <n v="3"/>
    <n v="8"/>
    <n v="7"/>
    <n v="3"/>
    <n v="7"/>
  </r>
  <r>
    <n v="34"/>
    <x v="1"/>
    <s v="Travel_Rarely"/>
    <n v="1111"/>
    <x v="0"/>
    <n v="8"/>
    <n v="2"/>
    <s v="Life Sciences"/>
    <n v="808"/>
    <n v="3"/>
    <s v="Female"/>
    <n v="93"/>
    <n v="3"/>
    <n v="2"/>
    <s v="Sales Executive"/>
    <n v="1"/>
    <s v="Married"/>
    <n v="6500"/>
    <n v="13305"/>
    <n v="5"/>
    <s v="No"/>
    <n v="17"/>
    <n v="3"/>
    <n v="2"/>
    <n v="1"/>
    <n v="6"/>
    <n v="1"/>
    <n v="3"/>
    <n v="3"/>
    <n v="2"/>
    <n v="1"/>
    <n v="2"/>
  </r>
  <r>
    <n v="42"/>
    <x v="1"/>
    <s v="Travel_Frequently"/>
    <n v="570"/>
    <x v="1"/>
    <n v="8"/>
    <n v="3"/>
    <s v="Life Sciences"/>
    <n v="809"/>
    <n v="2"/>
    <s v="Male"/>
    <n v="66"/>
    <n v="3"/>
    <n v="5"/>
    <s v="Manager"/>
    <n v="4"/>
    <s v="Divorced"/>
    <n v="18430"/>
    <n v="16225"/>
    <n v="1"/>
    <s v="No"/>
    <n v="13"/>
    <n v="3"/>
    <n v="2"/>
    <n v="1"/>
    <n v="24"/>
    <n v="4"/>
    <n v="2"/>
    <n v="24"/>
    <n v="7"/>
    <n v="14"/>
    <n v="9"/>
  </r>
  <r>
    <n v="23"/>
    <x v="0"/>
    <s v="Travel_Rarely"/>
    <n v="1243"/>
    <x v="1"/>
    <n v="6"/>
    <n v="3"/>
    <s v="Life Sciences"/>
    <n v="811"/>
    <n v="3"/>
    <s v="Male"/>
    <n v="63"/>
    <n v="4"/>
    <n v="1"/>
    <s v="Laboratory Technician"/>
    <n v="1"/>
    <s v="Married"/>
    <n v="1601"/>
    <n v="3445"/>
    <n v="1"/>
    <s v="Yes"/>
    <n v="21"/>
    <n v="4"/>
    <n v="3"/>
    <n v="2"/>
    <n v="1"/>
    <n v="2"/>
    <n v="3"/>
    <n v="0"/>
    <n v="0"/>
    <n v="0"/>
    <n v="0"/>
  </r>
  <r>
    <n v="24"/>
    <x v="1"/>
    <s v="Non-Travel"/>
    <n v="1092"/>
    <x v="1"/>
    <n v="9"/>
    <n v="3"/>
    <s v="Life Sciences"/>
    <n v="812"/>
    <n v="3"/>
    <s v="Male"/>
    <n v="60"/>
    <n v="2"/>
    <n v="1"/>
    <s v="Laboratory Technician"/>
    <n v="2"/>
    <s v="Divorced"/>
    <n v="2694"/>
    <n v="26551"/>
    <n v="1"/>
    <s v="No"/>
    <n v="11"/>
    <n v="3"/>
    <n v="3"/>
    <n v="3"/>
    <n v="1"/>
    <n v="4"/>
    <n v="3"/>
    <n v="1"/>
    <n v="0"/>
    <n v="0"/>
    <n v="0"/>
  </r>
  <r>
    <n v="52"/>
    <x v="1"/>
    <s v="Travel_Rarely"/>
    <n v="1325"/>
    <x v="1"/>
    <n v="11"/>
    <n v="4"/>
    <s v="Life Sciences"/>
    <n v="813"/>
    <n v="4"/>
    <s v="Female"/>
    <n v="82"/>
    <n v="3"/>
    <n v="2"/>
    <s v="Laboratory Technician"/>
    <n v="3"/>
    <s v="Married"/>
    <n v="3149"/>
    <n v="21821"/>
    <n v="8"/>
    <s v="No"/>
    <n v="20"/>
    <n v="4"/>
    <n v="2"/>
    <n v="1"/>
    <n v="9"/>
    <n v="3"/>
    <n v="3"/>
    <n v="5"/>
    <n v="2"/>
    <n v="1"/>
    <n v="4"/>
  </r>
  <r>
    <n v="50"/>
    <x v="1"/>
    <s v="Travel_Rarely"/>
    <n v="691"/>
    <x v="1"/>
    <n v="2"/>
    <n v="3"/>
    <s v="Medical"/>
    <n v="815"/>
    <n v="3"/>
    <s v="Male"/>
    <n v="64"/>
    <n v="3"/>
    <n v="4"/>
    <s v="Research Director"/>
    <n v="3"/>
    <s v="Married"/>
    <n v="17639"/>
    <n v="6881"/>
    <n v="5"/>
    <s v="No"/>
    <n v="16"/>
    <n v="3"/>
    <n v="4"/>
    <n v="0"/>
    <n v="30"/>
    <n v="3"/>
    <n v="3"/>
    <n v="4"/>
    <n v="3"/>
    <n v="0"/>
    <n v="3"/>
  </r>
  <r>
    <n v="29"/>
    <x v="0"/>
    <s v="Travel_Rarely"/>
    <n v="805"/>
    <x v="1"/>
    <n v="1"/>
    <n v="2"/>
    <s v="Life Sciences"/>
    <n v="816"/>
    <n v="2"/>
    <s v="Female"/>
    <n v="36"/>
    <n v="2"/>
    <n v="1"/>
    <s v="Laboratory Technician"/>
    <n v="1"/>
    <s v="Married"/>
    <n v="2319"/>
    <n v="6689"/>
    <n v="1"/>
    <s v="Yes"/>
    <n v="11"/>
    <n v="3"/>
    <n v="4"/>
    <n v="1"/>
    <n v="1"/>
    <n v="1"/>
    <n v="3"/>
    <n v="1"/>
    <n v="0"/>
    <n v="0"/>
    <n v="0"/>
  </r>
  <r>
    <n v="33"/>
    <x v="1"/>
    <s v="Travel_Rarely"/>
    <n v="213"/>
    <x v="1"/>
    <n v="7"/>
    <n v="3"/>
    <s v="Medical"/>
    <n v="817"/>
    <n v="3"/>
    <s v="Male"/>
    <n v="49"/>
    <n v="3"/>
    <n v="3"/>
    <s v="Research Director"/>
    <n v="3"/>
    <s v="Married"/>
    <n v="11691"/>
    <n v="25995"/>
    <n v="0"/>
    <s v="No"/>
    <n v="11"/>
    <n v="3"/>
    <n v="4"/>
    <n v="0"/>
    <n v="14"/>
    <n v="3"/>
    <n v="4"/>
    <n v="13"/>
    <n v="9"/>
    <n v="3"/>
    <n v="7"/>
  </r>
  <r>
    <n v="33"/>
    <x v="0"/>
    <s v="Travel_Rarely"/>
    <n v="118"/>
    <x v="0"/>
    <n v="16"/>
    <n v="3"/>
    <s v="Marketing"/>
    <n v="819"/>
    <n v="1"/>
    <s v="Female"/>
    <n v="69"/>
    <n v="3"/>
    <n v="2"/>
    <s v="Sales Executive"/>
    <n v="1"/>
    <s v="Single"/>
    <n v="5324"/>
    <n v="26507"/>
    <n v="5"/>
    <s v="No"/>
    <n v="15"/>
    <n v="3"/>
    <n v="3"/>
    <n v="0"/>
    <n v="6"/>
    <n v="3"/>
    <n v="3"/>
    <n v="3"/>
    <n v="2"/>
    <n v="0"/>
    <n v="2"/>
  </r>
  <r>
    <n v="47"/>
    <x v="1"/>
    <s v="Travel_Rarely"/>
    <n v="202"/>
    <x v="1"/>
    <n v="2"/>
    <n v="2"/>
    <s v="Other"/>
    <n v="820"/>
    <n v="3"/>
    <s v="Female"/>
    <n v="33"/>
    <n v="3"/>
    <n v="4"/>
    <s v="Manager"/>
    <n v="4"/>
    <s v="Married"/>
    <n v="16752"/>
    <n v="12982"/>
    <n v="1"/>
    <s v="Yes"/>
    <n v="11"/>
    <n v="3"/>
    <n v="3"/>
    <n v="1"/>
    <n v="26"/>
    <n v="3"/>
    <n v="2"/>
    <n v="26"/>
    <n v="14"/>
    <n v="3"/>
    <n v="0"/>
  </r>
  <r>
    <n v="36"/>
    <x v="1"/>
    <s v="Travel_Rarely"/>
    <n v="676"/>
    <x v="1"/>
    <n v="1"/>
    <n v="3"/>
    <s v="Other"/>
    <n v="823"/>
    <n v="3"/>
    <s v="Female"/>
    <n v="35"/>
    <n v="3"/>
    <n v="2"/>
    <s v="Manufacturing Director"/>
    <n v="2"/>
    <s v="Married"/>
    <n v="5228"/>
    <n v="23361"/>
    <n v="0"/>
    <s v="No"/>
    <n v="15"/>
    <n v="3"/>
    <n v="1"/>
    <n v="1"/>
    <n v="10"/>
    <n v="2"/>
    <n v="3"/>
    <n v="9"/>
    <n v="7"/>
    <n v="0"/>
    <n v="5"/>
  </r>
  <r>
    <n v="29"/>
    <x v="1"/>
    <s v="Travel_Rarely"/>
    <n v="1252"/>
    <x v="1"/>
    <n v="23"/>
    <n v="2"/>
    <s v="Life Sciences"/>
    <n v="824"/>
    <n v="3"/>
    <s v="Male"/>
    <n v="81"/>
    <n v="4"/>
    <n v="1"/>
    <s v="Research Scientist"/>
    <n v="3"/>
    <s v="Married"/>
    <n v="2700"/>
    <n v="23779"/>
    <n v="1"/>
    <s v="No"/>
    <n v="24"/>
    <n v="4"/>
    <n v="3"/>
    <n v="1"/>
    <n v="10"/>
    <n v="3"/>
    <n v="3"/>
    <n v="10"/>
    <n v="7"/>
    <n v="0"/>
    <n v="7"/>
  </r>
  <r>
    <n v="58"/>
    <x v="0"/>
    <s v="Travel_Rarely"/>
    <n v="286"/>
    <x v="1"/>
    <n v="2"/>
    <n v="4"/>
    <s v="Life Sciences"/>
    <n v="825"/>
    <n v="4"/>
    <s v="Male"/>
    <n v="31"/>
    <n v="3"/>
    <n v="5"/>
    <s v="Research Director"/>
    <n v="2"/>
    <s v="Single"/>
    <n v="19246"/>
    <n v="25761"/>
    <n v="7"/>
    <s v="Yes"/>
    <n v="12"/>
    <n v="3"/>
    <n v="4"/>
    <n v="0"/>
    <n v="40"/>
    <n v="2"/>
    <n v="3"/>
    <n v="31"/>
    <n v="15"/>
    <n v="13"/>
    <n v="8"/>
  </r>
  <r>
    <n v="35"/>
    <x v="1"/>
    <s v="Travel_Rarely"/>
    <n v="1258"/>
    <x v="1"/>
    <n v="1"/>
    <n v="4"/>
    <s v="Life Sciences"/>
    <n v="826"/>
    <n v="4"/>
    <s v="Female"/>
    <n v="40"/>
    <n v="4"/>
    <n v="1"/>
    <s v="Research Scientist"/>
    <n v="3"/>
    <s v="Single"/>
    <n v="2506"/>
    <n v="13301"/>
    <n v="3"/>
    <s v="No"/>
    <n v="13"/>
    <n v="3"/>
    <n v="3"/>
    <n v="0"/>
    <n v="7"/>
    <n v="0"/>
    <n v="3"/>
    <n v="2"/>
    <n v="2"/>
    <n v="2"/>
    <n v="2"/>
  </r>
  <r>
    <n v="42"/>
    <x v="1"/>
    <s v="Travel_Rarely"/>
    <n v="932"/>
    <x v="1"/>
    <n v="1"/>
    <n v="2"/>
    <s v="Life Sciences"/>
    <n v="827"/>
    <n v="4"/>
    <s v="Female"/>
    <n v="43"/>
    <n v="2"/>
    <n v="2"/>
    <s v="Manufacturing Director"/>
    <n v="4"/>
    <s v="Married"/>
    <n v="6062"/>
    <n v="4051"/>
    <n v="9"/>
    <s v="Yes"/>
    <n v="13"/>
    <n v="3"/>
    <n v="4"/>
    <n v="1"/>
    <n v="8"/>
    <n v="4"/>
    <n v="3"/>
    <n v="4"/>
    <n v="3"/>
    <n v="0"/>
    <n v="2"/>
  </r>
  <r>
    <n v="28"/>
    <x v="0"/>
    <s v="Travel_Rarely"/>
    <n v="890"/>
    <x v="1"/>
    <n v="2"/>
    <n v="4"/>
    <s v="Medical"/>
    <n v="828"/>
    <n v="3"/>
    <s v="Male"/>
    <n v="46"/>
    <n v="3"/>
    <n v="1"/>
    <s v="Research Scientist"/>
    <n v="3"/>
    <s v="Single"/>
    <n v="4382"/>
    <n v="16374"/>
    <n v="6"/>
    <s v="No"/>
    <n v="17"/>
    <n v="3"/>
    <n v="4"/>
    <n v="0"/>
    <n v="5"/>
    <n v="3"/>
    <n v="2"/>
    <n v="2"/>
    <n v="2"/>
    <n v="2"/>
    <n v="1"/>
  </r>
  <r>
    <n v="36"/>
    <x v="1"/>
    <s v="Travel_Rarely"/>
    <n v="1041"/>
    <x v="2"/>
    <n v="13"/>
    <n v="3"/>
    <s v="Human Resources"/>
    <n v="829"/>
    <n v="3"/>
    <s v="Male"/>
    <n v="36"/>
    <n v="3"/>
    <n v="1"/>
    <s v="Human Resources"/>
    <n v="2"/>
    <s v="Married"/>
    <n v="2143"/>
    <n v="25527"/>
    <n v="4"/>
    <s v="No"/>
    <n v="13"/>
    <n v="3"/>
    <n v="2"/>
    <n v="1"/>
    <n v="8"/>
    <n v="2"/>
    <n v="3"/>
    <n v="5"/>
    <n v="2"/>
    <n v="0"/>
    <n v="4"/>
  </r>
  <r>
    <n v="32"/>
    <x v="1"/>
    <s v="Travel_Rarely"/>
    <n v="859"/>
    <x v="1"/>
    <n v="4"/>
    <n v="3"/>
    <s v="Life Sciences"/>
    <n v="830"/>
    <n v="3"/>
    <s v="Female"/>
    <n v="98"/>
    <n v="2"/>
    <n v="2"/>
    <s v="Manufacturing Director"/>
    <n v="3"/>
    <s v="Married"/>
    <n v="6162"/>
    <n v="19124"/>
    <n v="1"/>
    <s v="No"/>
    <n v="12"/>
    <n v="3"/>
    <n v="3"/>
    <n v="1"/>
    <n v="14"/>
    <n v="3"/>
    <n v="3"/>
    <n v="14"/>
    <n v="13"/>
    <n v="6"/>
    <n v="8"/>
  </r>
  <r>
    <n v="40"/>
    <x v="1"/>
    <s v="Travel_Frequently"/>
    <n v="720"/>
    <x v="1"/>
    <n v="16"/>
    <n v="4"/>
    <s v="Medical"/>
    <n v="832"/>
    <n v="1"/>
    <s v="Male"/>
    <n v="51"/>
    <n v="2"/>
    <n v="2"/>
    <s v="Laboratory Technician"/>
    <n v="3"/>
    <s v="Single"/>
    <n v="5094"/>
    <n v="11983"/>
    <n v="6"/>
    <s v="No"/>
    <n v="14"/>
    <n v="3"/>
    <n v="4"/>
    <n v="0"/>
    <n v="10"/>
    <n v="6"/>
    <n v="3"/>
    <n v="1"/>
    <n v="0"/>
    <n v="0"/>
    <n v="0"/>
  </r>
  <r>
    <n v="30"/>
    <x v="1"/>
    <s v="Travel_Rarely"/>
    <n v="946"/>
    <x v="1"/>
    <n v="2"/>
    <n v="3"/>
    <s v="Medical"/>
    <n v="833"/>
    <n v="3"/>
    <s v="Female"/>
    <n v="52"/>
    <n v="2"/>
    <n v="2"/>
    <s v="Manufacturing Director"/>
    <n v="4"/>
    <s v="Single"/>
    <n v="6877"/>
    <n v="20234"/>
    <n v="5"/>
    <s v="Yes"/>
    <n v="24"/>
    <n v="4"/>
    <n v="2"/>
    <n v="0"/>
    <n v="12"/>
    <n v="4"/>
    <n v="2"/>
    <n v="0"/>
    <n v="0"/>
    <n v="0"/>
    <n v="0"/>
  </r>
  <r>
    <n v="45"/>
    <x v="1"/>
    <s v="Travel_Rarely"/>
    <n v="252"/>
    <x v="1"/>
    <n v="2"/>
    <n v="3"/>
    <s v="Life Sciences"/>
    <n v="834"/>
    <n v="2"/>
    <s v="Female"/>
    <n v="95"/>
    <n v="2"/>
    <n v="1"/>
    <s v="Research Scientist"/>
    <n v="3"/>
    <s v="Single"/>
    <n v="2274"/>
    <n v="6153"/>
    <n v="1"/>
    <s v="No"/>
    <n v="14"/>
    <n v="3"/>
    <n v="4"/>
    <n v="0"/>
    <n v="1"/>
    <n v="3"/>
    <n v="3"/>
    <n v="1"/>
    <n v="0"/>
    <n v="0"/>
    <n v="0"/>
  </r>
  <r>
    <n v="42"/>
    <x v="1"/>
    <s v="Travel_Rarely"/>
    <n v="933"/>
    <x v="1"/>
    <n v="29"/>
    <n v="3"/>
    <s v="Life Sciences"/>
    <n v="836"/>
    <n v="2"/>
    <s v="Male"/>
    <n v="98"/>
    <n v="3"/>
    <n v="2"/>
    <s v="Manufacturing Director"/>
    <n v="2"/>
    <s v="Married"/>
    <n v="4434"/>
    <n v="11806"/>
    <n v="1"/>
    <s v="No"/>
    <n v="13"/>
    <n v="3"/>
    <n v="4"/>
    <n v="1"/>
    <n v="10"/>
    <n v="3"/>
    <n v="2"/>
    <n v="9"/>
    <n v="8"/>
    <n v="7"/>
    <n v="8"/>
  </r>
  <r>
    <n v="38"/>
    <x v="1"/>
    <s v="Travel_Frequently"/>
    <n v="471"/>
    <x v="1"/>
    <n v="12"/>
    <n v="3"/>
    <s v="Life Sciences"/>
    <n v="837"/>
    <n v="1"/>
    <s v="Male"/>
    <n v="45"/>
    <n v="2"/>
    <n v="2"/>
    <s v="Healthcare Representative"/>
    <n v="1"/>
    <s v="Divorced"/>
    <n v="6288"/>
    <n v="4284"/>
    <n v="2"/>
    <s v="No"/>
    <n v="15"/>
    <n v="3"/>
    <n v="3"/>
    <n v="1"/>
    <n v="13"/>
    <n v="3"/>
    <n v="2"/>
    <n v="4"/>
    <n v="3"/>
    <n v="1"/>
    <n v="2"/>
  </r>
  <r>
    <n v="34"/>
    <x v="1"/>
    <s v="Travel_Frequently"/>
    <n v="702"/>
    <x v="1"/>
    <n v="16"/>
    <n v="4"/>
    <s v="Life Sciences"/>
    <n v="838"/>
    <n v="3"/>
    <s v="Female"/>
    <n v="100"/>
    <n v="2"/>
    <n v="1"/>
    <s v="Research Scientist"/>
    <n v="4"/>
    <s v="Single"/>
    <n v="2553"/>
    <n v="8306"/>
    <n v="1"/>
    <s v="No"/>
    <n v="16"/>
    <n v="3"/>
    <n v="3"/>
    <n v="0"/>
    <n v="6"/>
    <n v="3"/>
    <n v="3"/>
    <n v="5"/>
    <n v="2"/>
    <n v="1"/>
    <n v="3"/>
  </r>
  <r>
    <n v="49"/>
    <x v="0"/>
    <s v="Travel_Rarely"/>
    <n v="1184"/>
    <x v="0"/>
    <n v="11"/>
    <n v="3"/>
    <s v="Marketing"/>
    <n v="840"/>
    <n v="3"/>
    <s v="Female"/>
    <n v="43"/>
    <n v="3"/>
    <n v="3"/>
    <s v="Sales Executive"/>
    <n v="4"/>
    <s v="Married"/>
    <n v="7654"/>
    <n v="5860"/>
    <n v="1"/>
    <s v="No"/>
    <n v="18"/>
    <n v="3"/>
    <n v="1"/>
    <n v="2"/>
    <n v="9"/>
    <n v="3"/>
    <n v="4"/>
    <n v="9"/>
    <n v="8"/>
    <n v="7"/>
    <n v="7"/>
  </r>
  <r>
    <n v="55"/>
    <x v="0"/>
    <s v="Travel_Rarely"/>
    <n v="436"/>
    <x v="0"/>
    <n v="2"/>
    <n v="1"/>
    <s v="Medical"/>
    <n v="842"/>
    <n v="3"/>
    <s v="Male"/>
    <n v="37"/>
    <n v="3"/>
    <n v="2"/>
    <s v="Sales Executive"/>
    <n v="4"/>
    <s v="Single"/>
    <n v="5160"/>
    <n v="21519"/>
    <n v="4"/>
    <s v="No"/>
    <n v="16"/>
    <n v="3"/>
    <n v="3"/>
    <n v="0"/>
    <n v="12"/>
    <n v="3"/>
    <n v="2"/>
    <n v="9"/>
    <n v="7"/>
    <n v="7"/>
    <n v="3"/>
  </r>
  <r>
    <n v="43"/>
    <x v="1"/>
    <s v="Travel_Rarely"/>
    <n v="589"/>
    <x v="1"/>
    <n v="14"/>
    <n v="2"/>
    <s v="Life Sciences"/>
    <n v="843"/>
    <n v="2"/>
    <s v="Male"/>
    <n v="94"/>
    <n v="3"/>
    <n v="4"/>
    <s v="Research Director"/>
    <n v="1"/>
    <s v="Married"/>
    <n v="17159"/>
    <n v="5200"/>
    <n v="6"/>
    <s v="No"/>
    <n v="24"/>
    <n v="4"/>
    <n v="3"/>
    <n v="1"/>
    <n v="22"/>
    <n v="3"/>
    <n v="3"/>
    <n v="4"/>
    <n v="1"/>
    <n v="1"/>
    <n v="0"/>
  </r>
  <r>
    <n v="27"/>
    <x v="1"/>
    <s v="Travel_Rarely"/>
    <n v="269"/>
    <x v="1"/>
    <n v="5"/>
    <n v="1"/>
    <s v="Technical Degree"/>
    <n v="844"/>
    <n v="3"/>
    <s v="Male"/>
    <n v="42"/>
    <n v="2"/>
    <n v="3"/>
    <s v="Research Director"/>
    <n v="4"/>
    <s v="Divorced"/>
    <n v="12808"/>
    <n v="8842"/>
    <n v="1"/>
    <s v="Yes"/>
    <n v="16"/>
    <n v="3"/>
    <n v="2"/>
    <n v="1"/>
    <n v="9"/>
    <n v="3"/>
    <n v="3"/>
    <n v="9"/>
    <n v="8"/>
    <n v="0"/>
    <n v="8"/>
  </r>
  <r>
    <n v="35"/>
    <x v="1"/>
    <s v="Travel_Rarely"/>
    <n v="950"/>
    <x v="1"/>
    <n v="7"/>
    <n v="3"/>
    <s v="Other"/>
    <n v="845"/>
    <n v="3"/>
    <s v="Male"/>
    <n v="59"/>
    <n v="3"/>
    <n v="3"/>
    <s v="Manufacturing Director"/>
    <n v="3"/>
    <s v="Single"/>
    <n v="10221"/>
    <n v="18869"/>
    <n v="3"/>
    <s v="No"/>
    <n v="21"/>
    <n v="4"/>
    <n v="2"/>
    <n v="0"/>
    <n v="17"/>
    <n v="3"/>
    <n v="4"/>
    <n v="8"/>
    <n v="5"/>
    <n v="1"/>
    <n v="6"/>
  </r>
  <r>
    <n v="28"/>
    <x v="1"/>
    <s v="Travel_Rarely"/>
    <n v="760"/>
    <x v="0"/>
    <n v="2"/>
    <n v="4"/>
    <s v="Marketing"/>
    <n v="846"/>
    <n v="2"/>
    <s v="Female"/>
    <n v="81"/>
    <n v="3"/>
    <n v="2"/>
    <s v="Sales Executive"/>
    <n v="2"/>
    <s v="Married"/>
    <n v="4779"/>
    <n v="3698"/>
    <n v="1"/>
    <s v="Yes"/>
    <n v="20"/>
    <n v="4"/>
    <n v="1"/>
    <n v="0"/>
    <n v="8"/>
    <n v="2"/>
    <n v="3"/>
    <n v="8"/>
    <n v="7"/>
    <n v="7"/>
    <n v="5"/>
  </r>
  <r>
    <n v="34"/>
    <x v="1"/>
    <s v="Travel_Rarely"/>
    <n v="829"/>
    <x v="2"/>
    <n v="3"/>
    <n v="2"/>
    <s v="Human Resources"/>
    <n v="847"/>
    <n v="3"/>
    <s v="Male"/>
    <n v="88"/>
    <n v="3"/>
    <n v="1"/>
    <s v="Human Resources"/>
    <n v="4"/>
    <s v="Married"/>
    <n v="3737"/>
    <n v="2243"/>
    <n v="0"/>
    <s v="No"/>
    <n v="19"/>
    <n v="3"/>
    <n v="3"/>
    <n v="1"/>
    <n v="4"/>
    <n v="1"/>
    <n v="1"/>
    <n v="3"/>
    <n v="2"/>
    <n v="0"/>
    <n v="2"/>
  </r>
  <r>
    <n v="26"/>
    <x v="0"/>
    <s v="Travel_Frequently"/>
    <n v="887"/>
    <x v="1"/>
    <n v="5"/>
    <n v="2"/>
    <s v="Medical"/>
    <n v="848"/>
    <n v="3"/>
    <s v="Female"/>
    <n v="88"/>
    <n v="2"/>
    <n v="1"/>
    <s v="Research Scientist"/>
    <n v="3"/>
    <s v="Married"/>
    <n v="2366"/>
    <n v="20898"/>
    <n v="1"/>
    <s v="Yes"/>
    <n v="14"/>
    <n v="3"/>
    <n v="1"/>
    <n v="1"/>
    <n v="8"/>
    <n v="2"/>
    <n v="3"/>
    <n v="8"/>
    <n v="7"/>
    <n v="1"/>
    <n v="7"/>
  </r>
  <r>
    <n v="27"/>
    <x v="1"/>
    <s v="Non-Travel"/>
    <n v="443"/>
    <x v="1"/>
    <n v="3"/>
    <n v="3"/>
    <s v="Medical"/>
    <n v="850"/>
    <n v="4"/>
    <s v="Male"/>
    <n v="50"/>
    <n v="3"/>
    <n v="1"/>
    <s v="Research Scientist"/>
    <n v="4"/>
    <s v="Married"/>
    <n v="1706"/>
    <n v="16571"/>
    <n v="1"/>
    <s v="No"/>
    <n v="11"/>
    <n v="3"/>
    <n v="3"/>
    <n v="3"/>
    <n v="0"/>
    <n v="6"/>
    <n v="2"/>
    <n v="0"/>
    <n v="0"/>
    <n v="0"/>
    <n v="0"/>
  </r>
  <r>
    <n v="51"/>
    <x v="1"/>
    <s v="Travel_Rarely"/>
    <n v="1318"/>
    <x v="0"/>
    <n v="26"/>
    <n v="4"/>
    <s v="Marketing"/>
    <n v="851"/>
    <n v="1"/>
    <s v="Female"/>
    <n v="66"/>
    <n v="3"/>
    <n v="4"/>
    <s v="Manager"/>
    <n v="3"/>
    <s v="Married"/>
    <n v="16307"/>
    <n v="5594"/>
    <n v="2"/>
    <s v="No"/>
    <n v="14"/>
    <n v="3"/>
    <n v="3"/>
    <n v="1"/>
    <n v="29"/>
    <n v="2"/>
    <n v="2"/>
    <n v="20"/>
    <n v="6"/>
    <n v="4"/>
    <n v="17"/>
  </r>
  <r>
    <n v="44"/>
    <x v="1"/>
    <s v="Travel_Rarely"/>
    <n v="625"/>
    <x v="1"/>
    <n v="4"/>
    <n v="3"/>
    <s v="Medical"/>
    <n v="852"/>
    <n v="4"/>
    <s v="Male"/>
    <n v="50"/>
    <n v="3"/>
    <n v="2"/>
    <s v="Healthcare Representative"/>
    <n v="2"/>
    <s v="Single"/>
    <n v="5933"/>
    <n v="5197"/>
    <n v="9"/>
    <s v="No"/>
    <n v="12"/>
    <n v="3"/>
    <n v="4"/>
    <n v="0"/>
    <n v="10"/>
    <n v="2"/>
    <n v="2"/>
    <n v="5"/>
    <n v="2"/>
    <n v="2"/>
    <n v="3"/>
  </r>
  <r>
    <n v="25"/>
    <x v="1"/>
    <s v="Travel_Rarely"/>
    <n v="180"/>
    <x v="1"/>
    <n v="2"/>
    <n v="1"/>
    <s v="Medical"/>
    <n v="854"/>
    <n v="1"/>
    <s v="Male"/>
    <n v="65"/>
    <n v="4"/>
    <n v="1"/>
    <s v="Research Scientist"/>
    <n v="1"/>
    <s v="Single"/>
    <n v="3424"/>
    <n v="21632"/>
    <n v="7"/>
    <s v="No"/>
    <n v="13"/>
    <n v="3"/>
    <n v="3"/>
    <n v="0"/>
    <n v="6"/>
    <n v="3"/>
    <n v="2"/>
    <n v="4"/>
    <n v="3"/>
    <n v="0"/>
    <n v="1"/>
  </r>
  <r>
    <n v="33"/>
    <x v="1"/>
    <s v="Travel_Rarely"/>
    <n v="586"/>
    <x v="0"/>
    <n v="1"/>
    <n v="3"/>
    <s v="Medical"/>
    <n v="855"/>
    <n v="1"/>
    <s v="Male"/>
    <n v="48"/>
    <n v="4"/>
    <n v="2"/>
    <s v="Sales Executive"/>
    <n v="1"/>
    <s v="Divorced"/>
    <n v="4037"/>
    <n v="21816"/>
    <n v="1"/>
    <s v="No"/>
    <n v="22"/>
    <n v="4"/>
    <n v="1"/>
    <n v="1"/>
    <n v="9"/>
    <n v="5"/>
    <n v="3"/>
    <n v="9"/>
    <n v="8"/>
    <n v="0"/>
    <n v="8"/>
  </r>
  <r>
    <n v="35"/>
    <x v="1"/>
    <s v="Travel_Rarely"/>
    <n v="1343"/>
    <x v="1"/>
    <n v="27"/>
    <n v="1"/>
    <s v="Medical"/>
    <n v="856"/>
    <n v="3"/>
    <s v="Female"/>
    <n v="53"/>
    <n v="2"/>
    <n v="1"/>
    <s v="Research Scientist"/>
    <n v="1"/>
    <s v="Single"/>
    <n v="2559"/>
    <n v="17852"/>
    <n v="1"/>
    <s v="No"/>
    <n v="11"/>
    <n v="3"/>
    <n v="4"/>
    <n v="0"/>
    <n v="6"/>
    <n v="3"/>
    <n v="2"/>
    <n v="6"/>
    <n v="5"/>
    <n v="1"/>
    <n v="1"/>
  </r>
  <r>
    <n v="36"/>
    <x v="1"/>
    <s v="Travel_Rarely"/>
    <n v="928"/>
    <x v="0"/>
    <n v="1"/>
    <n v="2"/>
    <s v="Life Sciences"/>
    <n v="857"/>
    <n v="2"/>
    <s v="Male"/>
    <n v="56"/>
    <n v="3"/>
    <n v="2"/>
    <s v="Sales Executive"/>
    <n v="4"/>
    <s v="Married"/>
    <n v="6201"/>
    <n v="2823"/>
    <n v="1"/>
    <s v="Yes"/>
    <n v="14"/>
    <n v="3"/>
    <n v="4"/>
    <n v="1"/>
    <n v="18"/>
    <n v="1"/>
    <n v="2"/>
    <n v="18"/>
    <n v="14"/>
    <n v="4"/>
    <n v="11"/>
  </r>
  <r>
    <n v="32"/>
    <x v="1"/>
    <s v="Travel_Rarely"/>
    <n v="117"/>
    <x v="0"/>
    <n v="13"/>
    <n v="4"/>
    <s v="Life Sciences"/>
    <n v="859"/>
    <n v="2"/>
    <s v="Male"/>
    <n v="73"/>
    <n v="3"/>
    <n v="2"/>
    <s v="Sales Executive"/>
    <n v="4"/>
    <s v="Divorced"/>
    <n v="4403"/>
    <n v="9250"/>
    <n v="2"/>
    <s v="No"/>
    <n v="11"/>
    <n v="3"/>
    <n v="3"/>
    <n v="1"/>
    <n v="8"/>
    <n v="3"/>
    <n v="2"/>
    <n v="5"/>
    <n v="2"/>
    <n v="0"/>
    <n v="3"/>
  </r>
  <r>
    <n v="30"/>
    <x v="1"/>
    <s v="Travel_Frequently"/>
    <n v="1012"/>
    <x v="1"/>
    <n v="5"/>
    <n v="4"/>
    <s v="Life Sciences"/>
    <n v="861"/>
    <n v="2"/>
    <s v="Male"/>
    <n v="75"/>
    <n v="2"/>
    <n v="1"/>
    <s v="Research Scientist"/>
    <n v="4"/>
    <s v="Divorced"/>
    <n v="3761"/>
    <n v="2373"/>
    <n v="9"/>
    <s v="No"/>
    <n v="12"/>
    <n v="3"/>
    <n v="2"/>
    <n v="1"/>
    <n v="10"/>
    <n v="3"/>
    <n v="2"/>
    <n v="5"/>
    <n v="4"/>
    <n v="0"/>
    <n v="3"/>
  </r>
  <r>
    <n v="53"/>
    <x v="1"/>
    <s v="Travel_Rarely"/>
    <n v="661"/>
    <x v="0"/>
    <n v="7"/>
    <n v="2"/>
    <s v="Marketing"/>
    <n v="862"/>
    <n v="1"/>
    <s v="Female"/>
    <n v="78"/>
    <n v="2"/>
    <n v="3"/>
    <s v="Sales Executive"/>
    <n v="4"/>
    <s v="Married"/>
    <n v="10934"/>
    <n v="20715"/>
    <n v="7"/>
    <s v="Yes"/>
    <n v="18"/>
    <n v="3"/>
    <n v="4"/>
    <n v="1"/>
    <n v="35"/>
    <n v="3"/>
    <n v="3"/>
    <n v="5"/>
    <n v="2"/>
    <n v="0"/>
    <n v="4"/>
  </r>
  <r>
    <n v="45"/>
    <x v="1"/>
    <s v="Travel_Rarely"/>
    <n v="930"/>
    <x v="0"/>
    <n v="9"/>
    <n v="3"/>
    <s v="Marketing"/>
    <n v="864"/>
    <n v="4"/>
    <s v="Male"/>
    <n v="74"/>
    <n v="3"/>
    <n v="3"/>
    <s v="Sales Executive"/>
    <n v="1"/>
    <s v="Divorced"/>
    <n v="10761"/>
    <n v="19239"/>
    <n v="4"/>
    <s v="Yes"/>
    <n v="12"/>
    <n v="3"/>
    <n v="3"/>
    <n v="1"/>
    <n v="18"/>
    <n v="2"/>
    <n v="3"/>
    <n v="5"/>
    <n v="4"/>
    <n v="0"/>
    <n v="2"/>
  </r>
  <r>
    <n v="32"/>
    <x v="1"/>
    <s v="Travel_Rarely"/>
    <n v="638"/>
    <x v="1"/>
    <n v="8"/>
    <n v="2"/>
    <s v="Medical"/>
    <n v="865"/>
    <n v="3"/>
    <s v="Female"/>
    <n v="91"/>
    <n v="4"/>
    <n v="2"/>
    <s v="Research Scientist"/>
    <n v="3"/>
    <s v="Married"/>
    <n v="5175"/>
    <n v="22162"/>
    <n v="5"/>
    <s v="No"/>
    <n v="12"/>
    <n v="3"/>
    <n v="3"/>
    <n v="1"/>
    <n v="9"/>
    <n v="3"/>
    <n v="2"/>
    <n v="5"/>
    <n v="3"/>
    <n v="1"/>
    <n v="3"/>
  </r>
  <r>
    <n v="52"/>
    <x v="1"/>
    <s v="Travel_Frequently"/>
    <n v="890"/>
    <x v="1"/>
    <n v="25"/>
    <n v="4"/>
    <s v="Medical"/>
    <n v="867"/>
    <n v="3"/>
    <s v="Female"/>
    <n v="81"/>
    <n v="2"/>
    <n v="4"/>
    <s v="Manufacturing Director"/>
    <n v="4"/>
    <s v="Married"/>
    <n v="13826"/>
    <n v="19028"/>
    <n v="3"/>
    <s v="No"/>
    <n v="22"/>
    <n v="4"/>
    <n v="3"/>
    <n v="0"/>
    <n v="31"/>
    <n v="3"/>
    <n v="3"/>
    <n v="9"/>
    <n v="8"/>
    <n v="0"/>
    <n v="0"/>
  </r>
  <r>
    <n v="37"/>
    <x v="1"/>
    <s v="Travel_Rarely"/>
    <n v="342"/>
    <x v="0"/>
    <n v="16"/>
    <n v="4"/>
    <s v="Marketing"/>
    <n v="868"/>
    <n v="4"/>
    <s v="Male"/>
    <n v="66"/>
    <n v="2"/>
    <n v="2"/>
    <s v="Sales Executive"/>
    <n v="3"/>
    <s v="Divorced"/>
    <n v="6334"/>
    <n v="24558"/>
    <n v="4"/>
    <s v="No"/>
    <n v="19"/>
    <n v="3"/>
    <n v="4"/>
    <n v="2"/>
    <n v="9"/>
    <n v="2"/>
    <n v="3"/>
    <n v="1"/>
    <n v="0"/>
    <n v="0"/>
    <n v="0"/>
  </r>
  <r>
    <n v="28"/>
    <x v="1"/>
    <s v="Travel_Rarely"/>
    <n v="1169"/>
    <x v="2"/>
    <n v="8"/>
    <n v="2"/>
    <s v="Medical"/>
    <n v="869"/>
    <n v="2"/>
    <s v="Male"/>
    <n v="63"/>
    <n v="2"/>
    <n v="1"/>
    <s v="Human Resources"/>
    <n v="4"/>
    <s v="Divorced"/>
    <n v="4936"/>
    <n v="23965"/>
    <n v="1"/>
    <s v="No"/>
    <n v="13"/>
    <n v="3"/>
    <n v="4"/>
    <n v="1"/>
    <n v="6"/>
    <n v="6"/>
    <n v="3"/>
    <n v="5"/>
    <n v="1"/>
    <n v="0"/>
    <n v="4"/>
  </r>
  <r>
    <n v="22"/>
    <x v="1"/>
    <s v="Travel_Rarely"/>
    <n v="1230"/>
    <x v="1"/>
    <n v="1"/>
    <n v="2"/>
    <s v="Life Sciences"/>
    <n v="872"/>
    <n v="4"/>
    <s v="Male"/>
    <n v="33"/>
    <n v="2"/>
    <n v="2"/>
    <s v="Manufacturing Director"/>
    <n v="4"/>
    <s v="Married"/>
    <n v="4775"/>
    <n v="19146"/>
    <n v="6"/>
    <s v="No"/>
    <n v="22"/>
    <n v="4"/>
    <n v="1"/>
    <n v="2"/>
    <n v="4"/>
    <n v="2"/>
    <n v="1"/>
    <n v="2"/>
    <n v="2"/>
    <n v="2"/>
    <n v="2"/>
  </r>
  <r>
    <n v="44"/>
    <x v="1"/>
    <s v="Travel_Rarely"/>
    <n v="986"/>
    <x v="1"/>
    <n v="8"/>
    <n v="4"/>
    <s v="Life Sciences"/>
    <n v="874"/>
    <n v="1"/>
    <s v="Male"/>
    <n v="62"/>
    <n v="4"/>
    <n v="1"/>
    <s v="Laboratory Technician"/>
    <n v="4"/>
    <s v="Married"/>
    <n v="2818"/>
    <n v="5044"/>
    <n v="2"/>
    <s v="Yes"/>
    <n v="24"/>
    <n v="4"/>
    <n v="3"/>
    <n v="1"/>
    <n v="10"/>
    <n v="2"/>
    <n v="2"/>
    <n v="3"/>
    <n v="2"/>
    <n v="0"/>
    <n v="2"/>
  </r>
  <r>
    <n v="42"/>
    <x v="1"/>
    <s v="Travel_Frequently"/>
    <n v="1271"/>
    <x v="1"/>
    <n v="2"/>
    <n v="1"/>
    <s v="Medical"/>
    <n v="875"/>
    <n v="2"/>
    <s v="Male"/>
    <n v="35"/>
    <n v="3"/>
    <n v="1"/>
    <s v="Research Scientist"/>
    <n v="4"/>
    <s v="Single"/>
    <n v="2515"/>
    <n v="9068"/>
    <n v="5"/>
    <s v="Yes"/>
    <n v="14"/>
    <n v="3"/>
    <n v="4"/>
    <n v="0"/>
    <n v="8"/>
    <n v="2"/>
    <n v="3"/>
    <n v="2"/>
    <n v="1"/>
    <n v="2"/>
    <n v="2"/>
  </r>
  <r>
    <n v="36"/>
    <x v="1"/>
    <s v="Travel_Rarely"/>
    <n v="1278"/>
    <x v="2"/>
    <n v="8"/>
    <n v="3"/>
    <s v="Life Sciences"/>
    <n v="878"/>
    <n v="1"/>
    <s v="Male"/>
    <n v="77"/>
    <n v="2"/>
    <n v="1"/>
    <s v="Human Resources"/>
    <n v="1"/>
    <s v="Married"/>
    <n v="2342"/>
    <n v="8635"/>
    <n v="0"/>
    <s v="No"/>
    <n v="21"/>
    <n v="4"/>
    <n v="3"/>
    <n v="0"/>
    <n v="6"/>
    <n v="3"/>
    <n v="3"/>
    <n v="5"/>
    <n v="4"/>
    <n v="0"/>
    <n v="3"/>
  </r>
  <r>
    <n v="25"/>
    <x v="1"/>
    <s v="Travel_Rarely"/>
    <n v="141"/>
    <x v="0"/>
    <n v="3"/>
    <n v="1"/>
    <s v="Other"/>
    <n v="879"/>
    <n v="3"/>
    <s v="Male"/>
    <n v="98"/>
    <n v="3"/>
    <n v="2"/>
    <s v="Sales Executive"/>
    <n v="1"/>
    <s v="Married"/>
    <n v="4194"/>
    <n v="14363"/>
    <n v="1"/>
    <s v="Yes"/>
    <n v="18"/>
    <n v="3"/>
    <n v="4"/>
    <n v="0"/>
    <n v="5"/>
    <n v="3"/>
    <n v="3"/>
    <n v="5"/>
    <n v="3"/>
    <n v="0"/>
    <n v="3"/>
  </r>
  <r>
    <n v="35"/>
    <x v="1"/>
    <s v="Travel_Rarely"/>
    <n v="607"/>
    <x v="1"/>
    <n v="9"/>
    <n v="3"/>
    <s v="Life Sciences"/>
    <n v="880"/>
    <n v="4"/>
    <s v="Female"/>
    <n v="66"/>
    <n v="2"/>
    <n v="3"/>
    <s v="Manufacturing Director"/>
    <n v="3"/>
    <s v="Married"/>
    <n v="10685"/>
    <n v="23457"/>
    <n v="1"/>
    <s v="Yes"/>
    <n v="20"/>
    <n v="4"/>
    <n v="2"/>
    <n v="1"/>
    <n v="17"/>
    <n v="2"/>
    <n v="3"/>
    <n v="17"/>
    <n v="14"/>
    <n v="5"/>
    <n v="15"/>
  </r>
  <r>
    <n v="35"/>
    <x v="0"/>
    <s v="Travel_Frequently"/>
    <n v="130"/>
    <x v="1"/>
    <n v="25"/>
    <n v="4"/>
    <s v="Life Sciences"/>
    <n v="881"/>
    <n v="4"/>
    <s v="Female"/>
    <n v="96"/>
    <n v="3"/>
    <n v="1"/>
    <s v="Research Scientist"/>
    <n v="2"/>
    <s v="Divorced"/>
    <n v="2022"/>
    <n v="16612"/>
    <n v="1"/>
    <s v="Yes"/>
    <n v="19"/>
    <n v="3"/>
    <n v="1"/>
    <n v="1"/>
    <n v="10"/>
    <n v="3"/>
    <n v="2"/>
    <n v="10"/>
    <n v="2"/>
    <n v="7"/>
    <n v="8"/>
  </r>
  <r>
    <n v="32"/>
    <x v="1"/>
    <s v="Non-Travel"/>
    <n v="300"/>
    <x v="1"/>
    <n v="1"/>
    <n v="3"/>
    <s v="Life Sciences"/>
    <n v="882"/>
    <n v="4"/>
    <s v="Male"/>
    <n v="61"/>
    <n v="3"/>
    <n v="1"/>
    <s v="Laboratory Technician"/>
    <n v="4"/>
    <s v="Divorced"/>
    <n v="2314"/>
    <n v="9148"/>
    <n v="0"/>
    <s v="No"/>
    <n v="12"/>
    <n v="3"/>
    <n v="2"/>
    <n v="1"/>
    <n v="4"/>
    <n v="2"/>
    <n v="3"/>
    <n v="3"/>
    <n v="0"/>
    <n v="0"/>
    <n v="2"/>
  </r>
  <r>
    <n v="25"/>
    <x v="1"/>
    <s v="Travel_Rarely"/>
    <n v="583"/>
    <x v="0"/>
    <n v="4"/>
    <n v="1"/>
    <s v="Marketing"/>
    <n v="885"/>
    <n v="3"/>
    <s v="Male"/>
    <n v="87"/>
    <n v="2"/>
    <n v="2"/>
    <s v="Sales Executive"/>
    <n v="1"/>
    <s v="Married"/>
    <n v="4256"/>
    <n v="18154"/>
    <n v="1"/>
    <s v="No"/>
    <n v="12"/>
    <n v="3"/>
    <n v="1"/>
    <n v="0"/>
    <n v="5"/>
    <n v="1"/>
    <n v="4"/>
    <n v="5"/>
    <n v="2"/>
    <n v="0"/>
    <n v="3"/>
  </r>
  <r>
    <n v="49"/>
    <x v="1"/>
    <s v="Travel_Rarely"/>
    <n v="1418"/>
    <x v="1"/>
    <n v="1"/>
    <n v="3"/>
    <s v="Technical Degree"/>
    <n v="887"/>
    <n v="3"/>
    <s v="Female"/>
    <n v="36"/>
    <n v="3"/>
    <n v="1"/>
    <s v="Research Scientist"/>
    <n v="1"/>
    <s v="Married"/>
    <n v="3580"/>
    <n v="10554"/>
    <n v="2"/>
    <s v="No"/>
    <n v="16"/>
    <n v="3"/>
    <n v="2"/>
    <n v="1"/>
    <n v="7"/>
    <n v="2"/>
    <n v="3"/>
    <n v="4"/>
    <n v="2"/>
    <n v="0"/>
    <n v="2"/>
  </r>
  <r>
    <n v="24"/>
    <x v="1"/>
    <s v="Non-Travel"/>
    <n v="1269"/>
    <x v="1"/>
    <n v="4"/>
    <n v="1"/>
    <s v="Life Sciences"/>
    <n v="888"/>
    <n v="1"/>
    <s v="Male"/>
    <n v="46"/>
    <n v="2"/>
    <n v="1"/>
    <s v="Laboratory Technician"/>
    <n v="4"/>
    <s v="Married"/>
    <n v="3162"/>
    <n v="10778"/>
    <n v="0"/>
    <s v="No"/>
    <n v="17"/>
    <n v="3"/>
    <n v="4"/>
    <n v="0"/>
    <n v="6"/>
    <n v="2"/>
    <n v="2"/>
    <n v="5"/>
    <n v="2"/>
    <n v="3"/>
    <n v="4"/>
  </r>
  <r>
    <n v="32"/>
    <x v="1"/>
    <s v="Travel_Frequently"/>
    <n v="379"/>
    <x v="0"/>
    <n v="5"/>
    <n v="2"/>
    <s v="Life Sciences"/>
    <n v="889"/>
    <n v="2"/>
    <s v="Male"/>
    <n v="48"/>
    <n v="3"/>
    <n v="2"/>
    <s v="Sales Executive"/>
    <n v="2"/>
    <s v="Married"/>
    <n v="6524"/>
    <n v="8891"/>
    <n v="1"/>
    <s v="No"/>
    <n v="14"/>
    <n v="3"/>
    <n v="4"/>
    <n v="1"/>
    <n v="10"/>
    <n v="3"/>
    <n v="3"/>
    <n v="10"/>
    <n v="8"/>
    <n v="5"/>
    <n v="3"/>
  </r>
  <r>
    <n v="38"/>
    <x v="1"/>
    <s v="Travel_Rarely"/>
    <n v="395"/>
    <x v="0"/>
    <n v="9"/>
    <n v="3"/>
    <s v="Marketing"/>
    <n v="893"/>
    <n v="2"/>
    <s v="Male"/>
    <n v="98"/>
    <n v="2"/>
    <n v="1"/>
    <s v="Sales Representative"/>
    <n v="2"/>
    <s v="Married"/>
    <n v="2899"/>
    <n v="12102"/>
    <n v="0"/>
    <s v="No"/>
    <n v="19"/>
    <n v="3"/>
    <n v="4"/>
    <n v="1"/>
    <n v="3"/>
    <n v="3"/>
    <n v="3"/>
    <n v="2"/>
    <n v="2"/>
    <n v="1"/>
    <n v="2"/>
  </r>
  <r>
    <n v="42"/>
    <x v="1"/>
    <s v="Travel_Rarely"/>
    <n v="1265"/>
    <x v="1"/>
    <n v="3"/>
    <n v="3"/>
    <s v="Life Sciences"/>
    <n v="894"/>
    <n v="3"/>
    <s v="Female"/>
    <n v="95"/>
    <n v="4"/>
    <n v="2"/>
    <s v="Laboratory Technician"/>
    <n v="4"/>
    <s v="Married"/>
    <n v="5231"/>
    <n v="23726"/>
    <n v="2"/>
    <s v="Yes"/>
    <n v="13"/>
    <n v="3"/>
    <n v="2"/>
    <n v="1"/>
    <n v="17"/>
    <n v="1"/>
    <n v="2"/>
    <n v="5"/>
    <n v="3"/>
    <n v="1"/>
    <n v="3"/>
  </r>
  <r>
    <n v="31"/>
    <x v="1"/>
    <s v="Travel_Rarely"/>
    <n v="1222"/>
    <x v="1"/>
    <n v="11"/>
    <n v="4"/>
    <s v="Life Sciences"/>
    <n v="895"/>
    <n v="4"/>
    <s v="Male"/>
    <n v="48"/>
    <n v="3"/>
    <n v="1"/>
    <s v="Research Scientist"/>
    <n v="4"/>
    <s v="Married"/>
    <n v="2356"/>
    <n v="14871"/>
    <n v="3"/>
    <s v="Yes"/>
    <n v="19"/>
    <n v="3"/>
    <n v="2"/>
    <n v="1"/>
    <n v="8"/>
    <n v="2"/>
    <n v="3"/>
    <n v="6"/>
    <n v="4"/>
    <n v="0"/>
    <n v="2"/>
  </r>
  <r>
    <n v="29"/>
    <x v="0"/>
    <s v="Travel_Rarely"/>
    <n v="341"/>
    <x v="0"/>
    <n v="1"/>
    <n v="3"/>
    <s v="Medical"/>
    <n v="896"/>
    <n v="2"/>
    <s v="Female"/>
    <n v="48"/>
    <n v="2"/>
    <n v="1"/>
    <s v="Sales Representative"/>
    <n v="3"/>
    <s v="Divorced"/>
    <n v="2800"/>
    <n v="23522"/>
    <n v="6"/>
    <s v="Yes"/>
    <n v="19"/>
    <n v="3"/>
    <n v="3"/>
    <n v="3"/>
    <n v="5"/>
    <n v="3"/>
    <n v="3"/>
    <n v="3"/>
    <n v="2"/>
    <n v="0"/>
    <n v="2"/>
  </r>
  <r>
    <n v="53"/>
    <x v="1"/>
    <s v="Travel_Rarely"/>
    <n v="868"/>
    <x v="0"/>
    <n v="8"/>
    <n v="3"/>
    <s v="Marketing"/>
    <n v="897"/>
    <n v="1"/>
    <s v="Male"/>
    <n v="73"/>
    <n v="3"/>
    <n v="4"/>
    <s v="Sales Executive"/>
    <n v="4"/>
    <s v="Married"/>
    <n v="11836"/>
    <n v="22789"/>
    <n v="5"/>
    <s v="No"/>
    <n v="14"/>
    <n v="3"/>
    <n v="3"/>
    <n v="1"/>
    <n v="28"/>
    <n v="3"/>
    <n v="3"/>
    <n v="2"/>
    <n v="0"/>
    <n v="2"/>
    <n v="2"/>
  </r>
  <r>
    <n v="35"/>
    <x v="1"/>
    <s v="Travel_Rarely"/>
    <n v="672"/>
    <x v="1"/>
    <n v="25"/>
    <n v="3"/>
    <s v="Technical Degree"/>
    <n v="899"/>
    <n v="4"/>
    <s v="Male"/>
    <n v="78"/>
    <n v="2"/>
    <n v="3"/>
    <s v="Manufacturing Director"/>
    <n v="2"/>
    <s v="Married"/>
    <n v="10903"/>
    <n v="9129"/>
    <n v="3"/>
    <s v="No"/>
    <n v="16"/>
    <n v="3"/>
    <n v="1"/>
    <n v="0"/>
    <n v="16"/>
    <n v="2"/>
    <n v="3"/>
    <n v="13"/>
    <n v="10"/>
    <n v="4"/>
    <n v="8"/>
  </r>
  <r>
    <n v="37"/>
    <x v="1"/>
    <s v="Travel_Frequently"/>
    <n v="1231"/>
    <x v="0"/>
    <n v="21"/>
    <n v="2"/>
    <s v="Medical"/>
    <n v="900"/>
    <n v="3"/>
    <s v="Female"/>
    <n v="54"/>
    <n v="3"/>
    <n v="1"/>
    <s v="Sales Representative"/>
    <n v="4"/>
    <s v="Married"/>
    <n v="2973"/>
    <n v="21222"/>
    <n v="5"/>
    <s v="No"/>
    <n v="15"/>
    <n v="3"/>
    <n v="2"/>
    <n v="1"/>
    <n v="10"/>
    <n v="3"/>
    <n v="3"/>
    <n v="5"/>
    <n v="4"/>
    <n v="0"/>
    <n v="0"/>
  </r>
  <r>
    <n v="53"/>
    <x v="1"/>
    <s v="Travel_Rarely"/>
    <n v="102"/>
    <x v="1"/>
    <n v="23"/>
    <n v="4"/>
    <s v="Life Sciences"/>
    <n v="901"/>
    <n v="4"/>
    <s v="Female"/>
    <n v="72"/>
    <n v="3"/>
    <n v="4"/>
    <s v="Research Director"/>
    <n v="4"/>
    <s v="Single"/>
    <n v="14275"/>
    <n v="20206"/>
    <n v="6"/>
    <s v="No"/>
    <n v="18"/>
    <n v="3"/>
    <n v="3"/>
    <n v="0"/>
    <n v="33"/>
    <n v="0"/>
    <n v="3"/>
    <n v="12"/>
    <n v="9"/>
    <n v="3"/>
    <n v="8"/>
  </r>
  <r>
    <n v="43"/>
    <x v="1"/>
    <s v="Travel_Frequently"/>
    <n v="422"/>
    <x v="1"/>
    <n v="1"/>
    <n v="3"/>
    <s v="Life Sciences"/>
    <n v="902"/>
    <n v="4"/>
    <s v="Female"/>
    <n v="33"/>
    <n v="3"/>
    <n v="2"/>
    <s v="Healthcare Representative"/>
    <n v="4"/>
    <s v="Married"/>
    <n v="5562"/>
    <n v="21782"/>
    <n v="4"/>
    <s v="No"/>
    <n v="13"/>
    <n v="3"/>
    <n v="2"/>
    <n v="1"/>
    <n v="12"/>
    <n v="2"/>
    <n v="2"/>
    <n v="5"/>
    <n v="2"/>
    <n v="2"/>
    <n v="2"/>
  </r>
  <r>
    <n v="47"/>
    <x v="1"/>
    <s v="Travel_Rarely"/>
    <n v="249"/>
    <x v="0"/>
    <n v="2"/>
    <n v="2"/>
    <s v="Marketing"/>
    <n v="903"/>
    <n v="3"/>
    <s v="Female"/>
    <n v="35"/>
    <n v="3"/>
    <n v="2"/>
    <s v="Sales Executive"/>
    <n v="4"/>
    <s v="Married"/>
    <n v="4537"/>
    <n v="17783"/>
    <n v="0"/>
    <s v="Yes"/>
    <n v="22"/>
    <n v="4"/>
    <n v="1"/>
    <n v="1"/>
    <n v="8"/>
    <n v="2"/>
    <n v="3"/>
    <n v="7"/>
    <n v="6"/>
    <n v="7"/>
    <n v="7"/>
  </r>
  <r>
    <n v="37"/>
    <x v="1"/>
    <s v="Non-Travel"/>
    <n v="1252"/>
    <x v="0"/>
    <n v="19"/>
    <n v="2"/>
    <s v="Medical"/>
    <n v="904"/>
    <n v="1"/>
    <s v="Male"/>
    <n v="32"/>
    <n v="3"/>
    <n v="3"/>
    <s v="Sales Executive"/>
    <n v="2"/>
    <s v="Single"/>
    <n v="7642"/>
    <n v="4814"/>
    <n v="1"/>
    <s v="Yes"/>
    <n v="13"/>
    <n v="3"/>
    <n v="4"/>
    <n v="0"/>
    <n v="10"/>
    <n v="2"/>
    <n v="3"/>
    <n v="10"/>
    <n v="0"/>
    <n v="0"/>
    <n v="9"/>
  </r>
  <r>
    <n v="50"/>
    <x v="1"/>
    <s v="Non-Travel"/>
    <n v="881"/>
    <x v="1"/>
    <n v="2"/>
    <n v="4"/>
    <s v="Life Sciences"/>
    <n v="905"/>
    <n v="1"/>
    <s v="Male"/>
    <n v="98"/>
    <n v="3"/>
    <n v="4"/>
    <s v="Manager"/>
    <n v="1"/>
    <s v="Divorced"/>
    <n v="17924"/>
    <n v="4544"/>
    <n v="1"/>
    <s v="No"/>
    <n v="11"/>
    <n v="3"/>
    <n v="4"/>
    <n v="1"/>
    <n v="31"/>
    <n v="3"/>
    <n v="3"/>
    <n v="31"/>
    <n v="6"/>
    <n v="14"/>
    <n v="7"/>
  </r>
  <r>
    <n v="39"/>
    <x v="1"/>
    <s v="Travel_Rarely"/>
    <n v="1383"/>
    <x v="2"/>
    <n v="2"/>
    <n v="3"/>
    <s v="Life Sciences"/>
    <n v="909"/>
    <n v="4"/>
    <s v="Female"/>
    <n v="42"/>
    <n v="2"/>
    <n v="2"/>
    <s v="Human Resources"/>
    <n v="4"/>
    <s v="Married"/>
    <n v="5204"/>
    <n v="7790"/>
    <n v="8"/>
    <s v="No"/>
    <n v="11"/>
    <n v="3"/>
    <n v="3"/>
    <n v="2"/>
    <n v="13"/>
    <n v="2"/>
    <n v="3"/>
    <n v="5"/>
    <n v="4"/>
    <n v="0"/>
    <n v="4"/>
  </r>
  <r>
    <n v="33"/>
    <x v="1"/>
    <s v="Travel_Rarely"/>
    <n v="1075"/>
    <x v="2"/>
    <n v="3"/>
    <n v="2"/>
    <s v="Human Resources"/>
    <n v="910"/>
    <n v="4"/>
    <s v="Male"/>
    <n v="57"/>
    <n v="3"/>
    <n v="1"/>
    <s v="Human Resources"/>
    <n v="2"/>
    <s v="Divorced"/>
    <n v="2277"/>
    <n v="22650"/>
    <n v="3"/>
    <s v="Yes"/>
    <n v="11"/>
    <n v="3"/>
    <n v="3"/>
    <n v="1"/>
    <n v="7"/>
    <n v="4"/>
    <n v="4"/>
    <n v="4"/>
    <n v="3"/>
    <n v="0"/>
    <n v="3"/>
  </r>
  <r>
    <n v="32"/>
    <x v="0"/>
    <s v="Travel_Rarely"/>
    <n v="374"/>
    <x v="1"/>
    <n v="25"/>
    <n v="4"/>
    <s v="Life Sciences"/>
    <n v="911"/>
    <n v="1"/>
    <s v="Male"/>
    <n v="87"/>
    <n v="3"/>
    <n v="1"/>
    <s v="Laboratory Technician"/>
    <n v="4"/>
    <s v="Single"/>
    <n v="2795"/>
    <n v="18016"/>
    <n v="1"/>
    <s v="Yes"/>
    <n v="24"/>
    <n v="4"/>
    <n v="3"/>
    <n v="0"/>
    <n v="1"/>
    <n v="2"/>
    <n v="1"/>
    <n v="1"/>
    <n v="0"/>
    <n v="0"/>
    <n v="1"/>
  </r>
  <r>
    <n v="29"/>
    <x v="1"/>
    <s v="Travel_Rarely"/>
    <n v="1086"/>
    <x v="1"/>
    <n v="7"/>
    <n v="1"/>
    <s v="Medical"/>
    <n v="912"/>
    <n v="1"/>
    <s v="Female"/>
    <n v="62"/>
    <n v="2"/>
    <n v="1"/>
    <s v="Laboratory Technician"/>
    <n v="4"/>
    <s v="Divorced"/>
    <n v="2532"/>
    <n v="6054"/>
    <n v="6"/>
    <s v="No"/>
    <n v="14"/>
    <n v="3"/>
    <n v="3"/>
    <n v="3"/>
    <n v="8"/>
    <n v="5"/>
    <n v="3"/>
    <n v="4"/>
    <n v="3"/>
    <n v="0"/>
    <n v="3"/>
  </r>
  <r>
    <n v="44"/>
    <x v="1"/>
    <s v="Travel_Rarely"/>
    <n v="661"/>
    <x v="1"/>
    <n v="9"/>
    <n v="2"/>
    <s v="Life Sciences"/>
    <n v="913"/>
    <n v="2"/>
    <s v="Male"/>
    <n v="61"/>
    <n v="3"/>
    <n v="1"/>
    <s v="Research Scientist"/>
    <n v="1"/>
    <s v="Married"/>
    <n v="2559"/>
    <n v="7508"/>
    <n v="1"/>
    <s v="Yes"/>
    <n v="13"/>
    <n v="3"/>
    <n v="4"/>
    <n v="0"/>
    <n v="8"/>
    <n v="0"/>
    <n v="3"/>
    <n v="8"/>
    <n v="7"/>
    <n v="7"/>
    <n v="1"/>
  </r>
  <r>
    <n v="28"/>
    <x v="1"/>
    <s v="Travel_Rarely"/>
    <n v="821"/>
    <x v="0"/>
    <n v="5"/>
    <n v="4"/>
    <s v="Medical"/>
    <n v="916"/>
    <n v="1"/>
    <s v="Male"/>
    <n v="98"/>
    <n v="3"/>
    <n v="2"/>
    <s v="Sales Executive"/>
    <n v="4"/>
    <s v="Single"/>
    <n v="4908"/>
    <n v="24252"/>
    <n v="1"/>
    <s v="No"/>
    <n v="14"/>
    <n v="3"/>
    <n v="2"/>
    <n v="0"/>
    <n v="4"/>
    <n v="3"/>
    <n v="3"/>
    <n v="4"/>
    <n v="2"/>
    <n v="0"/>
    <n v="2"/>
  </r>
  <r>
    <n v="58"/>
    <x v="0"/>
    <s v="Travel_Frequently"/>
    <n v="781"/>
    <x v="1"/>
    <n v="2"/>
    <n v="1"/>
    <s v="Life Sciences"/>
    <n v="918"/>
    <n v="4"/>
    <s v="Male"/>
    <n v="57"/>
    <n v="2"/>
    <n v="1"/>
    <s v="Laboratory Technician"/>
    <n v="4"/>
    <s v="Divorced"/>
    <n v="2380"/>
    <n v="13384"/>
    <n v="9"/>
    <s v="Yes"/>
    <n v="14"/>
    <n v="3"/>
    <n v="4"/>
    <n v="1"/>
    <n v="3"/>
    <n v="3"/>
    <n v="2"/>
    <n v="1"/>
    <n v="0"/>
    <n v="0"/>
    <n v="0"/>
  </r>
  <r>
    <n v="43"/>
    <x v="1"/>
    <s v="Travel_Rarely"/>
    <n v="177"/>
    <x v="1"/>
    <n v="8"/>
    <n v="3"/>
    <s v="Life Sciences"/>
    <n v="920"/>
    <n v="1"/>
    <s v="Female"/>
    <n v="55"/>
    <n v="3"/>
    <n v="2"/>
    <s v="Manufacturing Director"/>
    <n v="2"/>
    <s v="Divorced"/>
    <n v="4765"/>
    <n v="23814"/>
    <n v="4"/>
    <s v="No"/>
    <n v="21"/>
    <n v="4"/>
    <n v="3"/>
    <n v="1"/>
    <n v="4"/>
    <n v="2"/>
    <n v="4"/>
    <n v="1"/>
    <n v="0"/>
    <n v="0"/>
    <n v="0"/>
  </r>
  <r>
    <n v="20"/>
    <x v="0"/>
    <s v="Travel_Rarely"/>
    <n v="500"/>
    <x v="0"/>
    <n v="2"/>
    <n v="3"/>
    <s v="Medical"/>
    <n v="922"/>
    <n v="3"/>
    <s v="Female"/>
    <n v="49"/>
    <n v="2"/>
    <n v="1"/>
    <s v="Sales Representative"/>
    <n v="3"/>
    <s v="Single"/>
    <n v="2044"/>
    <n v="22052"/>
    <n v="1"/>
    <s v="No"/>
    <n v="13"/>
    <n v="3"/>
    <n v="4"/>
    <n v="0"/>
    <n v="2"/>
    <n v="3"/>
    <n v="2"/>
    <n v="2"/>
    <n v="2"/>
    <n v="0"/>
    <n v="2"/>
  </r>
  <r>
    <n v="21"/>
    <x v="0"/>
    <s v="Travel_Rarely"/>
    <n v="1427"/>
    <x v="1"/>
    <n v="18"/>
    <n v="1"/>
    <s v="Other"/>
    <n v="923"/>
    <n v="4"/>
    <s v="Female"/>
    <n v="65"/>
    <n v="3"/>
    <n v="1"/>
    <s v="Research Scientist"/>
    <n v="4"/>
    <s v="Single"/>
    <n v="2693"/>
    <n v="8870"/>
    <n v="1"/>
    <s v="No"/>
    <n v="19"/>
    <n v="3"/>
    <n v="1"/>
    <n v="0"/>
    <n v="1"/>
    <n v="3"/>
    <n v="2"/>
    <n v="1"/>
    <n v="0"/>
    <n v="0"/>
    <n v="0"/>
  </r>
  <r>
    <n v="36"/>
    <x v="1"/>
    <s v="Travel_Rarely"/>
    <n v="1425"/>
    <x v="1"/>
    <n v="14"/>
    <n v="1"/>
    <s v="Life Sciences"/>
    <n v="924"/>
    <n v="3"/>
    <s v="Male"/>
    <n v="68"/>
    <n v="3"/>
    <n v="2"/>
    <s v="Healthcare Representative"/>
    <n v="4"/>
    <s v="Married"/>
    <n v="6586"/>
    <n v="4821"/>
    <n v="0"/>
    <s v="Yes"/>
    <n v="17"/>
    <n v="3"/>
    <n v="1"/>
    <n v="1"/>
    <n v="17"/>
    <n v="2"/>
    <n v="2"/>
    <n v="16"/>
    <n v="8"/>
    <n v="4"/>
    <n v="11"/>
  </r>
  <r>
    <n v="47"/>
    <x v="1"/>
    <s v="Travel_Rarely"/>
    <n v="1454"/>
    <x v="0"/>
    <n v="2"/>
    <n v="4"/>
    <s v="Life Sciences"/>
    <n v="925"/>
    <n v="4"/>
    <s v="Female"/>
    <n v="65"/>
    <n v="2"/>
    <n v="1"/>
    <s v="Sales Representative"/>
    <n v="4"/>
    <s v="Single"/>
    <n v="3294"/>
    <n v="13137"/>
    <n v="1"/>
    <s v="Yes"/>
    <n v="18"/>
    <n v="3"/>
    <n v="1"/>
    <n v="0"/>
    <n v="3"/>
    <n v="3"/>
    <n v="2"/>
    <n v="3"/>
    <n v="2"/>
    <n v="1"/>
    <n v="2"/>
  </r>
  <r>
    <n v="22"/>
    <x v="0"/>
    <s v="Travel_Rarely"/>
    <n v="617"/>
    <x v="1"/>
    <n v="3"/>
    <n v="1"/>
    <s v="Life Sciences"/>
    <n v="926"/>
    <n v="2"/>
    <s v="Female"/>
    <n v="34"/>
    <n v="3"/>
    <n v="2"/>
    <s v="Manufacturing Director"/>
    <n v="3"/>
    <s v="Married"/>
    <n v="4171"/>
    <n v="10022"/>
    <n v="0"/>
    <s v="Yes"/>
    <n v="19"/>
    <n v="3"/>
    <n v="1"/>
    <n v="1"/>
    <n v="4"/>
    <n v="3"/>
    <n v="4"/>
    <n v="3"/>
    <n v="2"/>
    <n v="0"/>
    <n v="2"/>
  </r>
  <r>
    <n v="41"/>
    <x v="0"/>
    <s v="Travel_Rarely"/>
    <n v="1085"/>
    <x v="1"/>
    <n v="2"/>
    <n v="4"/>
    <s v="Life Sciences"/>
    <n v="927"/>
    <n v="2"/>
    <s v="Female"/>
    <n v="57"/>
    <n v="1"/>
    <n v="1"/>
    <s v="Laboratory Technician"/>
    <n v="4"/>
    <s v="Divorced"/>
    <n v="2778"/>
    <n v="17725"/>
    <n v="4"/>
    <s v="Yes"/>
    <n v="13"/>
    <n v="3"/>
    <n v="3"/>
    <n v="1"/>
    <n v="10"/>
    <n v="1"/>
    <n v="2"/>
    <n v="7"/>
    <n v="7"/>
    <n v="1"/>
    <n v="0"/>
  </r>
  <r>
    <n v="28"/>
    <x v="1"/>
    <s v="Travel_Rarely"/>
    <n v="995"/>
    <x v="1"/>
    <n v="9"/>
    <n v="3"/>
    <s v="Medical"/>
    <n v="930"/>
    <n v="3"/>
    <s v="Female"/>
    <n v="77"/>
    <n v="3"/>
    <n v="1"/>
    <s v="Research Scientist"/>
    <n v="3"/>
    <s v="Divorced"/>
    <n v="2377"/>
    <n v="9834"/>
    <n v="5"/>
    <s v="No"/>
    <n v="18"/>
    <n v="3"/>
    <n v="2"/>
    <n v="1"/>
    <n v="6"/>
    <n v="2"/>
    <n v="3"/>
    <n v="2"/>
    <n v="2"/>
    <n v="2"/>
    <n v="2"/>
  </r>
  <r>
    <n v="39"/>
    <x v="0"/>
    <s v="Travel_Rarely"/>
    <n v="1122"/>
    <x v="1"/>
    <n v="6"/>
    <n v="3"/>
    <s v="Medical"/>
    <n v="932"/>
    <n v="4"/>
    <s v="Male"/>
    <n v="70"/>
    <n v="3"/>
    <n v="1"/>
    <s v="Laboratory Technician"/>
    <n v="1"/>
    <s v="Married"/>
    <n v="2404"/>
    <n v="4303"/>
    <n v="7"/>
    <s v="Yes"/>
    <n v="21"/>
    <n v="4"/>
    <n v="4"/>
    <n v="0"/>
    <n v="8"/>
    <n v="2"/>
    <n v="1"/>
    <n v="2"/>
    <n v="2"/>
    <n v="2"/>
    <n v="2"/>
  </r>
  <r>
    <n v="27"/>
    <x v="1"/>
    <s v="Travel_Rarely"/>
    <n v="618"/>
    <x v="1"/>
    <n v="4"/>
    <n v="3"/>
    <s v="Life Sciences"/>
    <n v="933"/>
    <n v="2"/>
    <s v="Female"/>
    <n v="76"/>
    <n v="3"/>
    <n v="1"/>
    <s v="Research Scientist"/>
    <n v="3"/>
    <s v="Single"/>
    <n v="2318"/>
    <n v="17808"/>
    <n v="1"/>
    <s v="No"/>
    <n v="19"/>
    <n v="3"/>
    <n v="3"/>
    <n v="0"/>
    <n v="1"/>
    <n v="2"/>
    <n v="3"/>
    <n v="1"/>
    <n v="1"/>
    <n v="0"/>
    <n v="0"/>
  </r>
  <r>
    <n v="34"/>
    <x v="1"/>
    <s v="Travel_Rarely"/>
    <n v="546"/>
    <x v="1"/>
    <n v="10"/>
    <n v="3"/>
    <s v="Life Sciences"/>
    <n v="934"/>
    <n v="2"/>
    <s v="Male"/>
    <n v="83"/>
    <n v="3"/>
    <n v="1"/>
    <s v="Laboratory Technician"/>
    <n v="2"/>
    <s v="Divorced"/>
    <n v="2008"/>
    <n v="6896"/>
    <n v="1"/>
    <s v="No"/>
    <n v="14"/>
    <n v="3"/>
    <n v="2"/>
    <n v="2"/>
    <n v="1"/>
    <n v="3"/>
    <n v="3"/>
    <n v="1"/>
    <n v="0"/>
    <n v="1"/>
    <n v="0"/>
  </r>
  <r>
    <n v="42"/>
    <x v="1"/>
    <s v="Travel_Rarely"/>
    <n v="462"/>
    <x v="0"/>
    <n v="14"/>
    <n v="2"/>
    <s v="Medical"/>
    <n v="936"/>
    <n v="3"/>
    <s v="Female"/>
    <n v="68"/>
    <n v="2"/>
    <n v="2"/>
    <s v="Sales Executive"/>
    <n v="3"/>
    <s v="Single"/>
    <n v="6244"/>
    <n v="7824"/>
    <n v="7"/>
    <s v="No"/>
    <n v="17"/>
    <n v="3"/>
    <n v="1"/>
    <n v="0"/>
    <n v="10"/>
    <n v="6"/>
    <n v="3"/>
    <n v="5"/>
    <n v="4"/>
    <n v="0"/>
    <n v="3"/>
  </r>
  <r>
    <n v="33"/>
    <x v="1"/>
    <s v="Travel_Rarely"/>
    <n v="1198"/>
    <x v="1"/>
    <n v="1"/>
    <n v="4"/>
    <s v="Other"/>
    <n v="939"/>
    <n v="3"/>
    <s v="Male"/>
    <n v="100"/>
    <n v="2"/>
    <n v="1"/>
    <s v="Research Scientist"/>
    <n v="1"/>
    <s v="Single"/>
    <n v="2799"/>
    <n v="3339"/>
    <n v="3"/>
    <s v="Yes"/>
    <n v="11"/>
    <n v="3"/>
    <n v="2"/>
    <n v="0"/>
    <n v="6"/>
    <n v="1"/>
    <n v="3"/>
    <n v="3"/>
    <n v="2"/>
    <n v="0"/>
    <n v="2"/>
  </r>
  <r>
    <n v="58"/>
    <x v="1"/>
    <s v="Travel_Rarely"/>
    <n v="1272"/>
    <x v="1"/>
    <n v="5"/>
    <n v="3"/>
    <s v="Technical Degree"/>
    <n v="940"/>
    <n v="3"/>
    <s v="Female"/>
    <n v="37"/>
    <n v="2"/>
    <n v="3"/>
    <s v="Healthcare Representative"/>
    <n v="2"/>
    <s v="Divorced"/>
    <n v="10552"/>
    <n v="9255"/>
    <n v="2"/>
    <s v="Yes"/>
    <n v="13"/>
    <n v="3"/>
    <n v="4"/>
    <n v="1"/>
    <n v="24"/>
    <n v="3"/>
    <n v="3"/>
    <n v="6"/>
    <n v="0"/>
    <n v="0"/>
    <n v="4"/>
  </r>
  <r>
    <n v="31"/>
    <x v="1"/>
    <s v="Travel_Rarely"/>
    <n v="154"/>
    <x v="0"/>
    <n v="7"/>
    <n v="4"/>
    <s v="Life Sciences"/>
    <n v="941"/>
    <n v="2"/>
    <s v="Male"/>
    <n v="41"/>
    <n v="2"/>
    <n v="1"/>
    <s v="Sales Representative"/>
    <n v="3"/>
    <s v="Married"/>
    <n v="2329"/>
    <n v="11737"/>
    <n v="3"/>
    <s v="No"/>
    <n v="15"/>
    <n v="3"/>
    <n v="2"/>
    <n v="0"/>
    <n v="13"/>
    <n v="2"/>
    <n v="4"/>
    <n v="7"/>
    <n v="7"/>
    <n v="5"/>
    <n v="2"/>
  </r>
  <r>
    <n v="35"/>
    <x v="1"/>
    <s v="Travel_Rarely"/>
    <n v="1137"/>
    <x v="1"/>
    <n v="21"/>
    <n v="1"/>
    <s v="Life Sciences"/>
    <n v="942"/>
    <n v="4"/>
    <s v="Female"/>
    <n v="51"/>
    <n v="3"/>
    <n v="2"/>
    <s v="Healthcare Representative"/>
    <n v="4"/>
    <s v="Married"/>
    <n v="4014"/>
    <n v="19170"/>
    <n v="1"/>
    <s v="Yes"/>
    <n v="25"/>
    <n v="4"/>
    <n v="4"/>
    <n v="1"/>
    <n v="10"/>
    <n v="2"/>
    <n v="1"/>
    <n v="10"/>
    <n v="6"/>
    <n v="0"/>
    <n v="7"/>
  </r>
  <r>
    <n v="49"/>
    <x v="1"/>
    <s v="Travel_Rarely"/>
    <n v="527"/>
    <x v="1"/>
    <n v="8"/>
    <n v="2"/>
    <s v="Other"/>
    <n v="944"/>
    <n v="1"/>
    <s v="Female"/>
    <n v="51"/>
    <n v="3"/>
    <n v="3"/>
    <s v="Laboratory Technician"/>
    <n v="2"/>
    <s v="Married"/>
    <n v="7403"/>
    <n v="22477"/>
    <n v="4"/>
    <s v="No"/>
    <n v="11"/>
    <n v="3"/>
    <n v="3"/>
    <n v="1"/>
    <n v="29"/>
    <n v="3"/>
    <n v="2"/>
    <n v="26"/>
    <n v="9"/>
    <n v="1"/>
    <n v="7"/>
  </r>
  <r>
    <n v="48"/>
    <x v="1"/>
    <s v="Travel_Rarely"/>
    <n v="1469"/>
    <x v="1"/>
    <n v="20"/>
    <n v="4"/>
    <s v="Medical"/>
    <n v="945"/>
    <n v="4"/>
    <s v="Male"/>
    <n v="51"/>
    <n v="3"/>
    <n v="1"/>
    <s v="Research Scientist"/>
    <n v="3"/>
    <s v="Married"/>
    <n v="2259"/>
    <n v="5543"/>
    <n v="4"/>
    <s v="No"/>
    <n v="17"/>
    <n v="3"/>
    <n v="1"/>
    <n v="2"/>
    <n v="13"/>
    <n v="2"/>
    <n v="2"/>
    <n v="0"/>
    <n v="0"/>
    <n v="0"/>
    <n v="0"/>
  </r>
  <r>
    <n v="31"/>
    <x v="1"/>
    <s v="Non-Travel"/>
    <n v="1188"/>
    <x v="0"/>
    <n v="20"/>
    <n v="2"/>
    <s v="Marketing"/>
    <n v="947"/>
    <n v="4"/>
    <s v="Female"/>
    <n v="45"/>
    <n v="3"/>
    <n v="2"/>
    <s v="Sales Executive"/>
    <n v="3"/>
    <s v="Married"/>
    <n v="6932"/>
    <n v="24406"/>
    <n v="1"/>
    <s v="No"/>
    <n v="13"/>
    <n v="3"/>
    <n v="4"/>
    <n v="1"/>
    <n v="9"/>
    <n v="2"/>
    <n v="2"/>
    <n v="9"/>
    <n v="8"/>
    <n v="0"/>
    <n v="0"/>
  </r>
  <r>
    <n v="36"/>
    <x v="1"/>
    <s v="Travel_Rarely"/>
    <n v="188"/>
    <x v="1"/>
    <n v="7"/>
    <n v="4"/>
    <s v="Other"/>
    <n v="949"/>
    <n v="2"/>
    <s v="Male"/>
    <n v="65"/>
    <n v="3"/>
    <n v="1"/>
    <s v="Research Scientist"/>
    <n v="4"/>
    <s v="Single"/>
    <n v="4678"/>
    <n v="23293"/>
    <n v="2"/>
    <s v="No"/>
    <n v="18"/>
    <n v="3"/>
    <n v="3"/>
    <n v="0"/>
    <n v="8"/>
    <n v="6"/>
    <n v="3"/>
    <n v="6"/>
    <n v="2"/>
    <n v="0"/>
    <n v="1"/>
  </r>
  <r>
    <n v="38"/>
    <x v="1"/>
    <s v="Travel_Rarely"/>
    <n v="1333"/>
    <x v="1"/>
    <n v="1"/>
    <n v="3"/>
    <s v="Technical Degree"/>
    <n v="950"/>
    <n v="4"/>
    <s v="Female"/>
    <n v="80"/>
    <n v="3"/>
    <n v="3"/>
    <s v="Research Director"/>
    <n v="1"/>
    <s v="Married"/>
    <n v="13582"/>
    <n v="16292"/>
    <n v="1"/>
    <s v="No"/>
    <n v="13"/>
    <n v="3"/>
    <n v="2"/>
    <n v="1"/>
    <n v="15"/>
    <n v="3"/>
    <n v="3"/>
    <n v="15"/>
    <n v="12"/>
    <n v="5"/>
    <n v="11"/>
  </r>
  <r>
    <n v="32"/>
    <x v="1"/>
    <s v="Non-Travel"/>
    <n v="1184"/>
    <x v="1"/>
    <n v="1"/>
    <n v="3"/>
    <s v="Life Sciences"/>
    <n v="951"/>
    <n v="3"/>
    <s v="Female"/>
    <n v="70"/>
    <n v="2"/>
    <n v="1"/>
    <s v="Laboratory Technician"/>
    <n v="2"/>
    <s v="Married"/>
    <n v="2332"/>
    <n v="3974"/>
    <n v="6"/>
    <s v="No"/>
    <n v="20"/>
    <n v="4"/>
    <n v="3"/>
    <n v="0"/>
    <n v="5"/>
    <n v="3"/>
    <n v="3"/>
    <n v="3"/>
    <n v="0"/>
    <n v="0"/>
    <n v="2"/>
  </r>
  <r>
    <n v="25"/>
    <x v="0"/>
    <s v="Travel_Rarely"/>
    <n v="867"/>
    <x v="0"/>
    <n v="19"/>
    <n v="2"/>
    <s v="Marketing"/>
    <n v="952"/>
    <n v="3"/>
    <s v="Male"/>
    <n v="36"/>
    <n v="2"/>
    <n v="1"/>
    <s v="Sales Representative"/>
    <n v="2"/>
    <s v="Married"/>
    <n v="2413"/>
    <n v="18798"/>
    <n v="1"/>
    <s v="Yes"/>
    <n v="18"/>
    <n v="3"/>
    <n v="3"/>
    <n v="3"/>
    <n v="1"/>
    <n v="2"/>
    <n v="3"/>
    <n v="1"/>
    <n v="0"/>
    <n v="0"/>
    <n v="0"/>
  </r>
  <r>
    <n v="40"/>
    <x v="1"/>
    <s v="Travel_Rarely"/>
    <n v="658"/>
    <x v="0"/>
    <n v="10"/>
    <n v="4"/>
    <s v="Marketing"/>
    <n v="954"/>
    <n v="1"/>
    <s v="Male"/>
    <n v="67"/>
    <n v="2"/>
    <n v="3"/>
    <s v="Sales Executive"/>
    <n v="2"/>
    <s v="Divorced"/>
    <n v="9705"/>
    <n v="20652"/>
    <n v="2"/>
    <s v="No"/>
    <n v="12"/>
    <n v="3"/>
    <n v="2"/>
    <n v="1"/>
    <n v="11"/>
    <n v="2"/>
    <n v="2"/>
    <n v="1"/>
    <n v="0"/>
    <n v="0"/>
    <n v="0"/>
  </r>
  <r>
    <n v="26"/>
    <x v="1"/>
    <s v="Travel_Frequently"/>
    <n v="1283"/>
    <x v="0"/>
    <n v="1"/>
    <n v="3"/>
    <s v="Medical"/>
    <n v="956"/>
    <n v="3"/>
    <s v="Male"/>
    <n v="52"/>
    <n v="2"/>
    <n v="2"/>
    <s v="Sales Executive"/>
    <n v="1"/>
    <s v="Single"/>
    <n v="4294"/>
    <n v="11148"/>
    <n v="1"/>
    <s v="No"/>
    <n v="12"/>
    <n v="3"/>
    <n v="2"/>
    <n v="0"/>
    <n v="7"/>
    <n v="2"/>
    <n v="3"/>
    <n v="7"/>
    <n v="7"/>
    <n v="0"/>
    <n v="7"/>
  </r>
  <r>
    <n v="41"/>
    <x v="1"/>
    <s v="Travel_Rarely"/>
    <n v="263"/>
    <x v="1"/>
    <n v="6"/>
    <n v="3"/>
    <s v="Medical"/>
    <n v="957"/>
    <n v="4"/>
    <s v="Male"/>
    <n v="59"/>
    <n v="3"/>
    <n v="1"/>
    <s v="Laboratory Technician"/>
    <n v="1"/>
    <s v="Single"/>
    <n v="4721"/>
    <n v="3119"/>
    <n v="2"/>
    <s v="Yes"/>
    <n v="13"/>
    <n v="3"/>
    <n v="3"/>
    <n v="0"/>
    <n v="20"/>
    <n v="3"/>
    <n v="3"/>
    <n v="18"/>
    <n v="13"/>
    <n v="2"/>
    <n v="17"/>
  </r>
  <r>
    <n v="36"/>
    <x v="1"/>
    <s v="Travel_Rarely"/>
    <n v="938"/>
    <x v="1"/>
    <n v="2"/>
    <n v="4"/>
    <s v="Medical"/>
    <n v="958"/>
    <n v="3"/>
    <s v="Male"/>
    <n v="79"/>
    <n v="3"/>
    <n v="1"/>
    <s v="Laboratory Technician"/>
    <n v="3"/>
    <s v="Single"/>
    <n v="2519"/>
    <n v="12287"/>
    <n v="4"/>
    <s v="No"/>
    <n v="21"/>
    <n v="4"/>
    <n v="3"/>
    <n v="0"/>
    <n v="16"/>
    <n v="6"/>
    <n v="3"/>
    <n v="11"/>
    <n v="8"/>
    <n v="3"/>
    <n v="9"/>
  </r>
  <r>
    <n v="19"/>
    <x v="0"/>
    <s v="Travel_Rarely"/>
    <n v="419"/>
    <x v="0"/>
    <n v="21"/>
    <n v="3"/>
    <s v="Other"/>
    <n v="959"/>
    <n v="4"/>
    <s v="Male"/>
    <n v="37"/>
    <n v="2"/>
    <n v="1"/>
    <s v="Sales Representative"/>
    <n v="2"/>
    <s v="Single"/>
    <n v="2121"/>
    <n v="9947"/>
    <n v="1"/>
    <s v="Yes"/>
    <n v="13"/>
    <n v="3"/>
    <n v="2"/>
    <n v="0"/>
    <n v="1"/>
    <n v="3"/>
    <n v="4"/>
    <n v="1"/>
    <n v="0"/>
    <n v="0"/>
    <n v="0"/>
  </r>
  <r>
    <n v="20"/>
    <x v="0"/>
    <s v="Travel_Rarely"/>
    <n v="129"/>
    <x v="1"/>
    <n v="4"/>
    <n v="3"/>
    <s v="Technical Degree"/>
    <n v="960"/>
    <n v="1"/>
    <s v="Male"/>
    <n v="84"/>
    <n v="3"/>
    <n v="1"/>
    <s v="Laboratory Technician"/>
    <n v="1"/>
    <s v="Single"/>
    <n v="2973"/>
    <n v="13008"/>
    <n v="1"/>
    <s v="No"/>
    <n v="19"/>
    <n v="3"/>
    <n v="2"/>
    <n v="0"/>
    <n v="1"/>
    <n v="2"/>
    <n v="3"/>
    <n v="1"/>
    <n v="0"/>
    <n v="0"/>
    <n v="0"/>
  </r>
  <r>
    <n v="31"/>
    <x v="1"/>
    <s v="Travel_Rarely"/>
    <n v="616"/>
    <x v="1"/>
    <n v="12"/>
    <n v="3"/>
    <s v="Medical"/>
    <n v="961"/>
    <n v="4"/>
    <s v="Female"/>
    <n v="41"/>
    <n v="3"/>
    <n v="2"/>
    <s v="Healthcare Representative"/>
    <n v="4"/>
    <s v="Married"/>
    <n v="5855"/>
    <n v="17369"/>
    <n v="0"/>
    <s v="Yes"/>
    <n v="11"/>
    <n v="3"/>
    <n v="3"/>
    <n v="2"/>
    <n v="10"/>
    <n v="2"/>
    <n v="1"/>
    <n v="9"/>
    <n v="7"/>
    <n v="8"/>
    <n v="5"/>
  </r>
  <r>
    <n v="40"/>
    <x v="1"/>
    <s v="Travel_Frequently"/>
    <n v="1469"/>
    <x v="1"/>
    <n v="9"/>
    <n v="4"/>
    <s v="Medical"/>
    <n v="964"/>
    <n v="4"/>
    <s v="Male"/>
    <n v="35"/>
    <n v="3"/>
    <n v="1"/>
    <s v="Research Scientist"/>
    <n v="2"/>
    <s v="Divorced"/>
    <n v="3617"/>
    <n v="25063"/>
    <n v="8"/>
    <s v="Yes"/>
    <n v="14"/>
    <n v="3"/>
    <n v="4"/>
    <n v="1"/>
    <n v="3"/>
    <n v="2"/>
    <n v="3"/>
    <n v="1"/>
    <n v="1"/>
    <n v="0"/>
    <n v="0"/>
  </r>
  <r>
    <n v="32"/>
    <x v="1"/>
    <s v="Travel_Rarely"/>
    <n v="498"/>
    <x v="1"/>
    <n v="3"/>
    <n v="4"/>
    <s v="Medical"/>
    <n v="966"/>
    <n v="3"/>
    <s v="Female"/>
    <n v="93"/>
    <n v="3"/>
    <n v="2"/>
    <s v="Manufacturing Director"/>
    <n v="1"/>
    <s v="Married"/>
    <n v="6725"/>
    <n v="13554"/>
    <n v="1"/>
    <s v="No"/>
    <n v="12"/>
    <n v="3"/>
    <n v="3"/>
    <n v="1"/>
    <n v="8"/>
    <n v="2"/>
    <n v="4"/>
    <n v="8"/>
    <n v="7"/>
    <n v="6"/>
    <n v="3"/>
  </r>
  <r>
    <n v="36"/>
    <x v="0"/>
    <s v="Travel_Rarely"/>
    <n v="530"/>
    <x v="0"/>
    <n v="3"/>
    <n v="1"/>
    <s v="Life Sciences"/>
    <n v="967"/>
    <n v="3"/>
    <s v="Male"/>
    <n v="51"/>
    <n v="2"/>
    <n v="3"/>
    <s v="Sales Executive"/>
    <n v="4"/>
    <s v="Married"/>
    <n v="10325"/>
    <n v="5518"/>
    <n v="1"/>
    <s v="Yes"/>
    <n v="11"/>
    <n v="3"/>
    <n v="1"/>
    <n v="1"/>
    <n v="16"/>
    <n v="6"/>
    <n v="3"/>
    <n v="16"/>
    <n v="7"/>
    <n v="3"/>
    <n v="7"/>
  </r>
  <r>
    <n v="33"/>
    <x v="1"/>
    <s v="Travel_Rarely"/>
    <n v="1069"/>
    <x v="1"/>
    <n v="1"/>
    <n v="3"/>
    <s v="Life Sciences"/>
    <n v="969"/>
    <n v="2"/>
    <s v="Female"/>
    <n v="42"/>
    <n v="2"/>
    <n v="2"/>
    <s v="Healthcare Representative"/>
    <n v="4"/>
    <s v="Single"/>
    <n v="6949"/>
    <n v="12291"/>
    <n v="0"/>
    <s v="No"/>
    <n v="14"/>
    <n v="3"/>
    <n v="1"/>
    <n v="0"/>
    <n v="6"/>
    <n v="3"/>
    <n v="3"/>
    <n v="5"/>
    <n v="0"/>
    <n v="1"/>
    <n v="4"/>
  </r>
  <r>
    <n v="37"/>
    <x v="0"/>
    <s v="Travel_Rarely"/>
    <n v="625"/>
    <x v="0"/>
    <n v="1"/>
    <n v="4"/>
    <s v="Life Sciences"/>
    <n v="970"/>
    <n v="1"/>
    <s v="Male"/>
    <n v="46"/>
    <n v="2"/>
    <n v="3"/>
    <s v="Sales Executive"/>
    <n v="3"/>
    <s v="Married"/>
    <n v="10609"/>
    <n v="14922"/>
    <n v="5"/>
    <s v="No"/>
    <n v="11"/>
    <n v="3"/>
    <n v="3"/>
    <n v="0"/>
    <n v="17"/>
    <n v="2"/>
    <n v="1"/>
    <n v="14"/>
    <n v="1"/>
    <n v="11"/>
    <n v="7"/>
  </r>
  <r>
    <n v="45"/>
    <x v="1"/>
    <s v="Non-Travel"/>
    <n v="805"/>
    <x v="1"/>
    <n v="4"/>
    <n v="2"/>
    <s v="Life Sciences"/>
    <n v="972"/>
    <n v="3"/>
    <s v="Male"/>
    <n v="57"/>
    <n v="3"/>
    <n v="2"/>
    <s v="Laboratory Technician"/>
    <n v="2"/>
    <s v="Married"/>
    <n v="4447"/>
    <n v="23163"/>
    <n v="1"/>
    <s v="No"/>
    <n v="12"/>
    <n v="3"/>
    <n v="2"/>
    <n v="0"/>
    <n v="9"/>
    <n v="5"/>
    <n v="2"/>
    <n v="9"/>
    <n v="7"/>
    <n v="0"/>
    <n v="8"/>
  </r>
  <r>
    <n v="29"/>
    <x v="1"/>
    <s v="Travel_Frequently"/>
    <n v="1404"/>
    <x v="0"/>
    <n v="20"/>
    <n v="3"/>
    <s v="Technical Degree"/>
    <n v="974"/>
    <n v="3"/>
    <s v="Female"/>
    <n v="84"/>
    <n v="3"/>
    <n v="1"/>
    <s v="Sales Representative"/>
    <n v="4"/>
    <s v="Married"/>
    <n v="2157"/>
    <n v="18203"/>
    <n v="1"/>
    <s v="No"/>
    <n v="15"/>
    <n v="3"/>
    <n v="2"/>
    <n v="1"/>
    <n v="3"/>
    <n v="5"/>
    <n v="3"/>
    <n v="3"/>
    <n v="1"/>
    <n v="0"/>
    <n v="2"/>
  </r>
  <r>
    <n v="35"/>
    <x v="1"/>
    <s v="Travel_Rarely"/>
    <n v="1219"/>
    <x v="0"/>
    <n v="18"/>
    <n v="3"/>
    <s v="Medical"/>
    <n v="975"/>
    <n v="3"/>
    <s v="Female"/>
    <n v="86"/>
    <n v="3"/>
    <n v="2"/>
    <s v="Sales Executive"/>
    <n v="3"/>
    <s v="Married"/>
    <n v="4601"/>
    <n v="6179"/>
    <n v="1"/>
    <s v="No"/>
    <n v="16"/>
    <n v="3"/>
    <n v="2"/>
    <n v="0"/>
    <n v="5"/>
    <n v="3"/>
    <n v="3"/>
    <n v="5"/>
    <n v="2"/>
    <n v="1"/>
    <n v="0"/>
  </r>
  <r>
    <n v="52"/>
    <x v="1"/>
    <s v="Travel_Rarely"/>
    <n v="1053"/>
    <x v="1"/>
    <n v="1"/>
    <n v="2"/>
    <s v="Life Sciences"/>
    <n v="976"/>
    <n v="4"/>
    <s v="Male"/>
    <n v="70"/>
    <n v="3"/>
    <n v="4"/>
    <s v="Manager"/>
    <n v="4"/>
    <s v="Married"/>
    <n v="17099"/>
    <n v="13829"/>
    <n v="2"/>
    <s v="No"/>
    <n v="15"/>
    <n v="3"/>
    <n v="2"/>
    <n v="1"/>
    <n v="26"/>
    <n v="2"/>
    <n v="2"/>
    <n v="9"/>
    <n v="8"/>
    <n v="7"/>
    <n v="8"/>
  </r>
  <r>
    <n v="58"/>
    <x v="0"/>
    <s v="Travel_Rarely"/>
    <n v="289"/>
    <x v="1"/>
    <n v="2"/>
    <n v="3"/>
    <s v="Technical Degree"/>
    <n v="977"/>
    <n v="4"/>
    <s v="Male"/>
    <n v="51"/>
    <n v="3"/>
    <n v="1"/>
    <s v="Research Scientist"/>
    <n v="3"/>
    <s v="Single"/>
    <n v="2479"/>
    <n v="26227"/>
    <n v="4"/>
    <s v="No"/>
    <n v="24"/>
    <n v="4"/>
    <n v="1"/>
    <n v="0"/>
    <n v="7"/>
    <n v="4"/>
    <n v="3"/>
    <n v="1"/>
    <n v="0"/>
    <n v="0"/>
    <n v="0"/>
  </r>
  <r>
    <n v="53"/>
    <x v="1"/>
    <s v="Travel_Rarely"/>
    <n v="1376"/>
    <x v="0"/>
    <n v="2"/>
    <n v="2"/>
    <s v="Medical"/>
    <n v="981"/>
    <n v="3"/>
    <s v="Male"/>
    <n v="45"/>
    <n v="3"/>
    <n v="4"/>
    <s v="Manager"/>
    <n v="3"/>
    <s v="Divorced"/>
    <n v="14852"/>
    <n v="13938"/>
    <n v="6"/>
    <s v="No"/>
    <n v="13"/>
    <n v="3"/>
    <n v="3"/>
    <n v="1"/>
    <n v="22"/>
    <n v="3"/>
    <n v="4"/>
    <n v="17"/>
    <n v="13"/>
    <n v="15"/>
    <n v="2"/>
  </r>
  <r>
    <n v="30"/>
    <x v="1"/>
    <s v="Travel_Rarely"/>
    <n v="231"/>
    <x v="0"/>
    <n v="8"/>
    <n v="2"/>
    <s v="Other"/>
    <n v="982"/>
    <n v="3"/>
    <s v="Male"/>
    <n v="62"/>
    <n v="3"/>
    <n v="3"/>
    <s v="Sales Executive"/>
    <n v="3"/>
    <s v="Divorced"/>
    <n v="7264"/>
    <n v="9977"/>
    <n v="5"/>
    <s v="No"/>
    <n v="11"/>
    <n v="3"/>
    <n v="1"/>
    <n v="1"/>
    <n v="10"/>
    <n v="2"/>
    <n v="4"/>
    <n v="8"/>
    <n v="4"/>
    <n v="7"/>
    <n v="7"/>
  </r>
  <r>
    <n v="38"/>
    <x v="1"/>
    <s v="Non-Travel"/>
    <n v="152"/>
    <x v="0"/>
    <n v="10"/>
    <n v="3"/>
    <s v="Technical Degree"/>
    <n v="983"/>
    <n v="3"/>
    <s v="Female"/>
    <n v="85"/>
    <n v="3"/>
    <n v="2"/>
    <s v="Sales Executive"/>
    <n v="4"/>
    <s v="Single"/>
    <n v="5666"/>
    <n v="19899"/>
    <n v="1"/>
    <s v="Yes"/>
    <n v="13"/>
    <n v="3"/>
    <n v="2"/>
    <n v="0"/>
    <n v="6"/>
    <n v="1"/>
    <n v="3"/>
    <n v="5"/>
    <n v="3"/>
    <n v="1"/>
    <n v="3"/>
  </r>
  <r>
    <n v="35"/>
    <x v="1"/>
    <s v="Travel_Rarely"/>
    <n v="882"/>
    <x v="0"/>
    <n v="3"/>
    <n v="4"/>
    <s v="Life Sciences"/>
    <n v="984"/>
    <n v="4"/>
    <s v="Male"/>
    <n v="92"/>
    <n v="3"/>
    <n v="3"/>
    <s v="Sales Executive"/>
    <n v="4"/>
    <s v="Divorced"/>
    <n v="7823"/>
    <n v="6812"/>
    <n v="6"/>
    <s v="No"/>
    <n v="13"/>
    <n v="3"/>
    <n v="2"/>
    <n v="1"/>
    <n v="12"/>
    <n v="2"/>
    <n v="3"/>
    <n v="10"/>
    <n v="9"/>
    <n v="0"/>
    <n v="8"/>
  </r>
  <r>
    <n v="39"/>
    <x v="1"/>
    <s v="Travel_Rarely"/>
    <n v="903"/>
    <x v="0"/>
    <n v="2"/>
    <n v="5"/>
    <s v="Life Sciences"/>
    <n v="985"/>
    <n v="1"/>
    <s v="Male"/>
    <n v="41"/>
    <n v="4"/>
    <n v="3"/>
    <s v="Sales Executive"/>
    <n v="3"/>
    <s v="Single"/>
    <n v="7880"/>
    <n v="2560"/>
    <n v="0"/>
    <s v="No"/>
    <n v="18"/>
    <n v="3"/>
    <n v="4"/>
    <n v="0"/>
    <n v="9"/>
    <n v="3"/>
    <n v="3"/>
    <n v="8"/>
    <n v="7"/>
    <n v="0"/>
    <n v="7"/>
  </r>
  <r>
    <n v="40"/>
    <x v="0"/>
    <s v="Non-Travel"/>
    <n v="1479"/>
    <x v="0"/>
    <n v="24"/>
    <n v="3"/>
    <s v="Life Sciences"/>
    <n v="986"/>
    <n v="2"/>
    <s v="Female"/>
    <n v="100"/>
    <n v="4"/>
    <n v="4"/>
    <s v="Sales Executive"/>
    <n v="2"/>
    <s v="Single"/>
    <n v="13194"/>
    <n v="17071"/>
    <n v="4"/>
    <s v="Yes"/>
    <n v="16"/>
    <n v="3"/>
    <n v="4"/>
    <n v="0"/>
    <n v="22"/>
    <n v="2"/>
    <n v="2"/>
    <n v="1"/>
    <n v="0"/>
    <n v="0"/>
    <n v="0"/>
  </r>
  <r>
    <n v="47"/>
    <x v="1"/>
    <s v="Travel_Frequently"/>
    <n v="1379"/>
    <x v="1"/>
    <n v="16"/>
    <n v="4"/>
    <s v="Medical"/>
    <n v="987"/>
    <n v="3"/>
    <s v="Male"/>
    <n v="64"/>
    <n v="4"/>
    <n v="2"/>
    <s v="Manufacturing Director"/>
    <n v="3"/>
    <s v="Divorced"/>
    <n v="5067"/>
    <n v="6759"/>
    <n v="1"/>
    <s v="Yes"/>
    <n v="19"/>
    <n v="3"/>
    <n v="3"/>
    <n v="0"/>
    <n v="20"/>
    <n v="3"/>
    <n v="4"/>
    <n v="19"/>
    <n v="10"/>
    <n v="2"/>
    <n v="7"/>
  </r>
  <r>
    <n v="36"/>
    <x v="1"/>
    <s v="Non-Travel"/>
    <n v="1229"/>
    <x v="0"/>
    <n v="8"/>
    <n v="4"/>
    <s v="Technical Degree"/>
    <n v="990"/>
    <n v="1"/>
    <s v="Male"/>
    <n v="84"/>
    <n v="3"/>
    <n v="2"/>
    <s v="Sales Executive"/>
    <n v="4"/>
    <s v="Divorced"/>
    <n v="5079"/>
    <n v="25952"/>
    <n v="4"/>
    <s v="No"/>
    <n v="13"/>
    <n v="3"/>
    <n v="4"/>
    <n v="2"/>
    <n v="12"/>
    <n v="3"/>
    <n v="3"/>
    <n v="7"/>
    <n v="7"/>
    <n v="0"/>
    <n v="7"/>
  </r>
  <r>
    <n v="31"/>
    <x v="0"/>
    <s v="Non-Travel"/>
    <n v="335"/>
    <x v="1"/>
    <n v="9"/>
    <n v="2"/>
    <s v="Medical"/>
    <n v="991"/>
    <n v="3"/>
    <s v="Male"/>
    <n v="46"/>
    <n v="2"/>
    <n v="1"/>
    <s v="Research Scientist"/>
    <n v="1"/>
    <s v="Single"/>
    <n v="2321"/>
    <n v="10322"/>
    <n v="0"/>
    <s v="Yes"/>
    <n v="22"/>
    <n v="4"/>
    <n v="1"/>
    <n v="0"/>
    <n v="4"/>
    <n v="0"/>
    <n v="3"/>
    <n v="3"/>
    <n v="2"/>
    <n v="1"/>
    <n v="2"/>
  </r>
  <r>
    <n v="33"/>
    <x v="1"/>
    <s v="Non-Travel"/>
    <n v="722"/>
    <x v="0"/>
    <n v="17"/>
    <n v="3"/>
    <s v="Life Sciences"/>
    <n v="992"/>
    <n v="4"/>
    <s v="Male"/>
    <n v="38"/>
    <n v="3"/>
    <n v="4"/>
    <s v="Manager"/>
    <n v="3"/>
    <s v="Single"/>
    <n v="17444"/>
    <n v="20489"/>
    <n v="1"/>
    <s v="No"/>
    <n v="11"/>
    <n v="3"/>
    <n v="4"/>
    <n v="0"/>
    <n v="10"/>
    <n v="2"/>
    <n v="3"/>
    <n v="10"/>
    <n v="8"/>
    <n v="6"/>
    <n v="0"/>
  </r>
  <r>
    <n v="29"/>
    <x v="0"/>
    <s v="Travel_Rarely"/>
    <n v="906"/>
    <x v="1"/>
    <n v="10"/>
    <n v="3"/>
    <s v="Life Sciences"/>
    <n v="994"/>
    <n v="4"/>
    <s v="Female"/>
    <n v="92"/>
    <n v="2"/>
    <n v="1"/>
    <s v="Research Scientist"/>
    <n v="1"/>
    <s v="Single"/>
    <n v="2404"/>
    <n v="11479"/>
    <n v="6"/>
    <s v="Yes"/>
    <n v="20"/>
    <n v="4"/>
    <n v="3"/>
    <n v="0"/>
    <n v="3"/>
    <n v="5"/>
    <n v="3"/>
    <n v="0"/>
    <n v="0"/>
    <n v="0"/>
    <n v="0"/>
  </r>
  <r>
    <n v="33"/>
    <x v="1"/>
    <s v="Travel_Rarely"/>
    <n v="461"/>
    <x v="1"/>
    <n v="13"/>
    <n v="1"/>
    <s v="Life Sciences"/>
    <n v="995"/>
    <n v="2"/>
    <s v="Female"/>
    <n v="53"/>
    <n v="3"/>
    <n v="1"/>
    <s v="Research Scientist"/>
    <n v="4"/>
    <s v="Single"/>
    <n v="3452"/>
    <n v="17241"/>
    <n v="3"/>
    <s v="No"/>
    <n v="18"/>
    <n v="3"/>
    <n v="1"/>
    <n v="0"/>
    <n v="5"/>
    <n v="4"/>
    <n v="3"/>
    <n v="3"/>
    <n v="2"/>
    <n v="0"/>
    <n v="2"/>
  </r>
  <r>
    <n v="45"/>
    <x v="1"/>
    <s v="Travel_Rarely"/>
    <n v="974"/>
    <x v="1"/>
    <n v="1"/>
    <n v="4"/>
    <s v="Medical"/>
    <n v="996"/>
    <n v="4"/>
    <s v="Female"/>
    <n v="91"/>
    <n v="3"/>
    <n v="1"/>
    <s v="Laboratory Technician"/>
    <n v="4"/>
    <s v="Divorced"/>
    <n v="2270"/>
    <n v="11005"/>
    <n v="3"/>
    <s v="No"/>
    <n v="14"/>
    <n v="3"/>
    <n v="4"/>
    <n v="2"/>
    <n v="8"/>
    <n v="2"/>
    <n v="3"/>
    <n v="5"/>
    <n v="3"/>
    <n v="0"/>
    <n v="2"/>
  </r>
  <r>
    <n v="50"/>
    <x v="1"/>
    <s v="Travel_Rarely"/>
    <n v="1126"/>
    <x v="1"/>
    <n v="1"/>
    <n v="2"/>
    <s v="Medical"/>
    <n v="997"/>
    <n v="4"/>
    <s v="Male"/>
    <n v="66"/>
    <n v="3"/>
    <n v="4"/>
    <s v="Research Director"/>
    <n v="4"/>
    <s v="Divorced"/>
    <n v="17399"/>
    <n v="6615"/>
    <n v="9"/>
    <s v="No"/>
    <n v="22"/>
    <n v="4"/>
    <n v="3"/>
    <n v="1"/>
    <n v="32"/>
    <n v="1"/>
    <n v="2"/>
    <n v="5"/>
    <n v="4"/>
    <n v="1"/>
    <n v="3"/>
  </r>
  <r>
    <n v="33"/>
    <x v="1"/>
    <s v="Travel_Frequently"/>
    <n v="827"/>
    <x v="1"/>
    <n v="1"/>
    <n v="4"/>
    <s v="Other"/>
    <n v="998"/>
    <n v="3"/>
    <s v="Female"/>
    <n v="84"/>
    <n v="4"/>
    <n v="2"/>
    <s v="Healthcare Representative"/>
    <n v="2"/>
    <s v="Married"/>
    <n v="5488"/>
    <n v="20161"/>
    <n v="1"/>
    <s v="Yes"/>
    <n v="13"/>
    <n v="3"/>
    <n v="1"/>
    <n v="1"/>
    <n v="6"/>
    <n v="2"/>
    <n v="3"/>
    <n v="6"/>
    <n v="5"/>
    <n v="1"/>
    <n v="2"/>
  </r>
  <r>
    <n v="41"/>
    <x v="1"/>
    <s v="Travel_Frequently"/>
    <n v="840"/>
    <x v="1"/>
    <n v="9"/>
    <n v="3"/>
    <s v="Medical"/>
    <n v="999"/>
    <n v="1"/>
    <s v="Male"/>
    <n v="64"/>
    <n v="3"/>
    <n v="5"/>
    <s v="Research Director"/>
    <n v="3"/>
    <s v="Divorced"/>
    <n v="19419"/>
    <n v="3735"/>
    <n v="2"/>
    <s v="No"/>
    <n v="17"/>
    <n v="3"/>
    <n v="2"/>
    <n v="1"/>
    <n v="21"/>
    <n v="2"/>
    <n v="4"/>
    <n v="18"/>
    <n v="16"/>
    <n v="0"/>
    <n v="11"/>
  </r>
  <r>
    <n v="27"/>
    <x v="1"/>
    <s v="Travel_Rarely"/>
    <n v="1134"/>
    <x v="1"/>
    <n v="16"/>
    <n v="4"/>
    <s v="Technical Degree"/>
    <n v="1001"/>
    <n v="3"/>
    <s v="Female"/>
    <n v="37"/>
    <n v="3"/>
    <n v="1"/>
    <s v="Laboratory Technician"/>
    <n v="2"/>
    <s v="Married"/>
    <n v="2811"/>
    <n v="12086"/>
    <n v="9"/>
    <s v="No"/>
    <n v="14"/>
    <n v="3"/>
    <n v="2"/>
    <n v="1"/>
    <n v="4"/>
    <n v="2"/>
    <n v="3"/>
    <n v="2"/>
    <n v="2"/>
    <n v="2"/>
    <n v="2"/>
  </r>
  <r>
    <n v="45"/>
    <x v="1"/>
    <s v="Non-Travel"/>
    <n v="248"/>
    <x v="1"/>
    <n v="23"/>
    <n v="2"/>
    <s v="Life Sciences"/>
    <n v="1002"/>
    <n v="4"/>
    <s v="Male"/>
    <n v="42"/>
    <n v="3"/>
    <n v="2"/>
    <s v="Laboratory Technician"/>
    <n v="1"/>
    <s v="Married"/>
    <n v="3633"/>
    <n v="14039"/>
    <n v="1"/>
    <s v="Yes"/>
    <n v="15"/>
    <n v="3"/>
    <n v="3"/>
    <n v="1"/>
    <n v="9"/>
    <n v="2"/>
    <n v="3"/>
    <n v="9"/>
    <n v="8"/>
    <n v="0"/>
    <n v="8"/>
  </r>
  <r>
    <n v="47"/>
    <x v="1"/>
    <s v="Travel_Rarely"/>
    <n v="955"/>
    <x v="0"/>
    <n v="4"/>
    <n v="2"/>
    <s v="Life Sciences"/>
    <n v="1003"/>
    <n v="4"/>
    <s v="Female"/>
    <n v="83"/>
    <n v="3"/>
    <n v="2"/>
    <s v="Sales Executive"/>
    <n v="4"/>
    <s v="Single"/>
    <n v="4163"/>
    <n v="8571"/>
    <n v="1"/>
    <s v="Yes"/>
    <n v="17"/>
    <n v="3"/>
    <n v="3"/>
    <n v="0"/>
    <n v="9"/>
    <n v="0"/>
    <n v="3"/>
    <n v="9"/>
    <n v="0"/>
    <n v="0"/>
    <n v="7"/>
  </r>
  <r>
    <n v="30"/>
    <x v="0"/>
    <s v="Travel_Rarely"/>
    <n v="138"/>
    <x v="1"/>
    <n v="22"/>
    <n v="3"/>
    <s v="Life Sciences"/>
    <n v="1004"/>
    <n v="1"/>
    <s v="Female"/>
    <n v="48"/>
    <n v="3"/>
    <n v="1"/>
    <s v="Research Scientist"/>
    <n v="3"/>
    <s v="Married"/>
    <n v="2132"/>
    <n v="11539"/>
    <n v="4"/>
    <s v="Yes"/>
    <n v="11"/>
    <n v="3"/>
    <n v="2"/>
    <n v="0"/>
    <n v="7"/>
    <n v="2"/>
    <n v="3"/>
    <n v="5"/>
    <n v="2"/>
    <n v="0"/>
    <n v="1"/>
  </r>
  <r>
    <n v="50"/>
    <x v="1"/>
    <s v="Travel_Rarely"/>
    <n v="939"/>
    <x v="1"/>
    <n v="24"/>
    <n v="3"/>
    <s v="Life Sciences"/>
    <n v="1005"/>
    <n v="4"/>
    <s v="Male"/>
    <n v="95"/>
    <n v="3"/>
    <n v="4"/>
    <s v="Manufacturing Director"/>
    <n v="3"/>
    <s v="Married"/>
    <n v="13973"/>
    <n v="4161"/>
    <n v="3"/>
    <s v="Yes"/>
    <n v="18"/>
    <n v="3"/>
    <n v="4"/>
    <n v="1"/>
    <n v="22"/>
    <n v="2"/>
    <n v="3"/>
    <n v="12"/>
    <n v="11"/>
    <n v="1"/>
    <n v="5"/>
  </r>
  <r>
    <n v="38"/>
    <x v="1"/>
    <s v="Travel_Frequently"/>
    <n v="1391"/>
    <x v="1"/>
    <n v="10"/>
    <n v="1"/>
    <s v="Medical"/>
    <n v="1006"/>
    <n v="3"/>
    <s v="Male"/>
    <n v="66"/>
    <n v="3"/>
    <n v="1"/>
    <s v="Research Scientist"/>
    <n v="3"/>
    <s v="Married"/>
    <n v="2684"/>
    <n v="12127"/>
    <n v="0"/>
    <s v="No"/>
    <n v="17"/>
    <n v="3"/>
    <n v="2"/>
    <n v="1"/>
    <n v="3"/>
    <n v="0"/>
    <n v="2"/>
    <n v="2"/>
    <n v="1"/>
    <n v="0"/>
    <n v="2"/>
  </r>
  <r>
    <n v="46"/>
    <x v="1"/>
    <s v="Travel_Rarely"/>
    <n v="566"/>
    <x v="1"/>
    <n v="7"/>
    <n v="2"/>
    <s v="Medical"/>
    <n v="1007"/>
    <n v="4"/>
    <s v="Male"/>
    <n v="75"/>
    <n v="3"/>
    <n v="3"/>
    <s v="Manufacturing Director"/>
    <n v="3"/>
    <s v="Divorced"/>
    <n v="10845"/>
    <n v="24208"/>
    <n v="6"/>
    <s v="No"/>
    <n v="13"/>
    <n v="3"/>
    <n v="2"/>
    <n v="1"/>
    <n v="13"/>
    <n v="3"/>
    <n v="3"/>
    <n v="8"/>
    <n v="7"/>
    <n v="0"/>
    <n v="7"/>
  </r>
  <r>
    <n v="24"/>
    <x v="1"/>
    <s v="Travel_Rarely"/>
    <n v="1206"/>
    <x v="1"/>
    <n v="17"/>
    <n v="1"/>
    <s v="Medical"/>
    <n v="1009"/>
    <n v="4"/>
    <s v="Female"/>
    <n v="41"/>
    <n v="2"/>
    <n v="2"/>
    <s v="Manufacturing Director"/>
    <n v="3"/>
    <s v="Divorced"/>
    <n v="4377"/>
    <n v="24117"/>
    <n v="1"/>
    <s v="No"/>
    <n v="15"/>
    <n v="3"/>
    <n v="2"/>
    <n v="2"/>
    <n v="5"/>
    <n v="6"/>
    <n v="3"/>
    <n v="4"/>
    <n v="2"/>
    <n v="3"/>
    <n v="2"/>
  </r>
  <r>
    <n v="35"/>
    <x v="0"/>
    <s v="Travel_Rarely"/>
    <n v="622"/>
    <x v="1"/>
    <n v="14"/>
    <n v="4"/>
    <s v="Other"/>
    <n v="1010"/>
    <n v="3"/>
    <s v="Male"/>
    <n v="39"/>
    <n v="2"/>
    <n v="1"/>
    <s v="Laboratory Technician"/>
    <n v="2"/>
    <s v="Divorced"/>
    <n v="3743"/>
    <n v="10074"/>
    <n v="1"/>
    <s v="Yes"/>
    <n v="24"/>
    <n v="4"/>
    <n v="4"/>
    <n v="1"/>
    <n v="5"/>
    <n v="2"/>
    <n v="1"/>
    <n v="4"/>
    <n v="2"/>
    <n v="0"/>
    <n v="2"/>
  </r>
  <r>
    <n v="31"/>
    <x v="1"/>
    <s v="Travel_Frequently"/>
    <n v="853"/>
    <x v="1"/>
    <n v="1"/>
    <n v="1"/>
    <s v="Life Sciences"/>
    <n v="1011"/>
    <n v="3"/>
    <s v="Female"/>
    <n v="96"/>
    <n v="3"/>
    <n v="2"/>
    <s v="Manufacturing Director"/>
    <n v="1"/>
    <s v="Married"/>
    <n v="4148"/>
    <n v="11275"/>
    <n v="1"/>
    <s v="No"/>
    <n v="12"/>
    <n v="3"/>
    <n v="3"/>
    <n v="1"/>
    <n v="4"/>
    <n v="1"/>
    <n v="3"/>
    <n v="4"/>
    <n v="3"/>
    <n v="0"/>
    <n v="3"/>
  </r>
  <r>
    <n v="18"/>
    <x v="1"/>
    <s v="Non-Travel"/>
    <n v="287"/>
    <x v="1"/>
    <n v="5"/>
    <n v="2"/>
    <s v="Life Sciences"/>
    <n v="1012"/>
    <n v="2"/>
    <s v="Male"/>
    <n v="73"/>
    <n v="3"/>
    <n v="1"/>
    <s v="Research Scientist"/>
    <n v="4"/>
    <s v="Single"/>
    <n v="1051"/>
    <n v="13493"/>
    <n v="1"/>
    <s v="No"/>
    <n v="15"/>
    <n v="3"/>
    <n v="4"/>
    <n v="0"/>
    <n v="0"/>
    <n v="2"/>
    <n v="3"/>
    <n v="0"/>
    <n v="0"/>
    <n v="0"/>
    <n v="0"/>
  </r>
  <r>
    <n v="54"/>
    <x v="1"/>
    <s v="Travel_Rarely"/>
    <n v="1441"/>
    <x v="1"/>
    <n v="17"/>
    <n v="3"/>
    <s v="Technical Degree"/>
    <n v="1013"/>
    <n v="3"/>
    <s v="Female"/>
    <n v="56"/>
    <n v="3"/>
    <n v="3"/>
    <s v="Manufacturing Director"/>
    <n v="3"/>
    <s v="Married"/>
    <n v="10739"/>
    <n v="13943"/>
    <n v="8"/>
    <s v="No"/>
    <n v="11"/>
    <n v="3"/>
    <n v="3"/>
    <n v="1"/>
    <n v="22"/>
    <n v="2"/>
    <n v="3"/>
    <n v="10"/>
    <n v="7"/>
    <n v="0"/>
    <n v="8"/>
  </r>
  <r>
    <n v="35"/>
    <x v="1"/>
    <s v="Travel_Rarely"/>
    <n v="583"/>
    <x v="1"/>
    <n v="25"/>
    <n v="4"/>
    <s v="Medical"/>
    <n v="1014"/>
    <n v="3"/>
    <s v="Female"/>
    <n v="57"/>
    <n v="3"/>
    <n v="3"/>
    <s v="Healthcare Representative"/>
    <n v="3"/>
    <s v="Divorced"/>
    <n v="10388"/>
    <n v="6975"/>
    <n v="1"/>
    <s v="Yes"/>
    <n v="11"/>
    <n v="3"/>
    <n v="3"/>
    <n v="1"/>
    <n v="16"/>
    <n v="3"/>
    <n v="2"/>
    <n v="16"/>
    <n v="10"/>
    <n v="10"/>
    <n v="1"/>
  </r>
  <r>
    <n v="30"/>
    <x v="1"/>
    <s v="Travel_Rarely"/>
    <n v="153"/>
    <x v="1"/>
    <n v="8"/>
    <n v="2"/>
    <s v="Life Sciences"/>
    <n v="1015"/>
    <n v="2"/>
    <s v="Female"/>
    <n v="73"/>
    <n v="4"/>
    <n v="3"/>
    <s v="Research Director"/>
    <n v="1"/>
    <s v="Married"/>
    <n v="11416"/>
    <n v="17802"/>
    <n v="0"/>
    <s v="Yes"/>
    <n v="12"/>
    <n v="3"/>
    <n v="3"/>
    <n v="3"/>
    <n v="9"/>
    <n v="4"/>
    <n v="2"/>
    <n v="8"/>
    <n v="7"/>
    <n v="1"/>
    <n v="7"/>
  </r>
  <r>
    <n v="20"/>
    <x v="0"/>
    <s v="Travel_Rarely"/>
    <n v="1097"/>
    <x v="1"/>
    <n v="11"/>
    <n v="3"/>
    <s v="Medical"/>
    <n v="1016"/>
    <n v="4"/>
    <s v="Female"/>
    <n v="98"/>
    <n v="2"/>
    <n v="1"/>
    <s v="Research Scientist"/>
    <n v="1"/>
    <s v="Single"/>
    <n v="2600"/>
    <n v="18275"/>
    <n v="1"/>
    <s v="Yes"/>
    <n v="15"/>
    <n v="3"/>
    <n v="1"/>
    <n v="0"/>
    <n v="1"/>
    <n v="2"/>
    <n v="3"/>
    <n v="1"/>
    <n v="0"/>
    <n v="0"/>
    <n v="0"/>
  </r>
  <r>
    <n v="30"/>
    <x v="0"/>
    <s v="Travel_Frequently"/>
    <n v="109"/>
    <x v="1"/>
    <n v="5"/>
    <n v="3"/>
    <s v="Medical"/>
    <n v="1017"/>
    <n v="2"/>
    <s v="Female"/>
    <n v="60"/>
    <n v="3"/>
    <n v="1"/>
    <s v="Laboratory Technician"/>
    <n v="2"/>
    <s v="Single"/>
    <n v="2422"/>
    <n v="25725"/>
    <n v="0"/>
    <s v="No"/>
    <n v="17"/>
    <n v="3"/>
    <n v="1"/>
    <n v="0"/>
    <n v="4"/>
    <n v="3"/>
    <n v="3"/>
    <n v="3"/>
    <n v="2"/>
    <n v="1"/>
    <n v="2"/>
  </r>
  <r>
    <n v="26"/>
    <x v="1"/>
    <s v="Travel_Rarely"/>
    <n v="1066"/>
    <x v="1"/>
    <n v="2"/>
    <n v="2"/>
    <s v="Medical"/>
    <n v="1018"/>
    <n v="4"/>
    <s v="Male"/>
    <n v="32"/>
    <n v="4"/>
    <n v="2"/>
    <s v="Manufacturing Director"/>
    <n v="4"/>
    <s v="Married"/>
    <n v="5472"/>
    <n v="3334"/>
    <n v="1"/>
    <s v="No"/>
    <n v="12"/>
    <n v="3"/>
    <n v="2"/>
    <n v="0"/>
    <n v="8"/>
    <n v="2"/>
    <n v="3"/>
    <n v="8"/>
    <n v="7"/>
    <n v="1"/>
    <n v="3"/>
  </r>
  <r>
    <n v="22"/>
    <x v="1"/>
    <s v="Travel_Rarely"/>
    <n v="217"/>
    <x v="1"/>
    <n v="8"/>
    <n v="1"/>
    <s v="Life Sciences"/>
    <n v="1019"/>
    <n v="2"/>
    <s v="Male"/>
    <n v="94"/>
    <n v="1"/>
    <n v="1"/>
    <s v="Laboratory Technician"/>
    <n v="1"/>
    <s v="Married"/>
    <n v="2451"/>
    <n v="6881"/>
    <n v="1"/>
    <s v="No"/>
    <n v="15"/>
    <n v="3"/>
    <n v="1"/>
    <n v="1"/>
    <n v="4"/>
    <n v="3"/>
    <n v="2"/>
    <n v="4"/>
    <n v="3"/>
    <n v="1"/>
    <n v="1"/>
  </r>
  <r>
    <n v="48"/>
    <x v="1"/>
    <s v="Travel_Rarely"/>
    <n v="277"/>
    <x v="1"/>
    <n v="6"/>
    <n v="3"/>
    <s v="Life Sciences"/>
    <n v="1022"/>
    <n v="1"/>
    <s v="Male"/>
    <n v="97"/>
    <n v="2"/>
    <n v="2"/>
    <s v="Healthcare Representative"/>
    <n v="3"/>
    <s v="Single"/>
    <n v="4240"/>
    <n v="13119"/>
    <n v="2"/>
    <s v="No"/>
    <n v="13"/>
    <n v="3"/>
    <n v="4"/>
    <n v="0"/>
    <n v="19"/>
    <n v="0"/>
    <n v="3"/>
    <n v="2"/>
    <n v="2"/>
    <n v="2"/>
    <n v="2"/>
  </r>
  <r>
    <n v="48"/>
    <x v="1"/>
    <s v="Travel_Rarely"/>
    <n v="1355"/>
    <x v="1"/>
    <n v="4"/>
    <n v="4"/>
    <s v="Life Sciences"/>
    <n v="1024"/>
    <n v="3"/>
    <s v="Male"/>
    <n v="78"/>
    <n v="2"/>
    <n v="3"/>
    <s v="Healthcare Representative"/>
    <n v="3"/>
    <s v="Single"/>
    <n v="10999"/>
    <n v="22245"/>
    <n v="7"/>
    <s v="No"/>
    <n v="14"/>
    <n v="3"/>
    <n v="2"/>
    <n v="0"/>
    <n v="27"/>
    <n v="3"/>
    <n v="3"/>
    <n v="15"/>
    <n v="11"/>
    <n v="4"/>
    <n v="8"/>
  </r>
  <r>
    <n v="41"/>
    <x v="1"/>
    <s v="Travel_Rarely"/>
    <n v="549"/>
    <x v="1"/>
    <n v="7"/>
    <n v="2"/>
    <s v="Medical"/>
    <n v="1025"/>
    <n v="4"/>
    <s v="Female"/>
    <n v="42"/>
    <n v="3"/>
    <n v="2"/>
    <s v="Manufacturing Director"/>
    <n v="3"/>
    <s v="Single"/>
    <n v="5003"/>
    <n v="23371"/>
    <n v="6"/>
    <s v="No"/>
    <n v="14"/>
    <n v="3"/>
    <n v="2"/>
    <n v="0"/>
    <n v="8"/>
    <n v="6"/>
    <n v="3"/>
    <n v="2"/>
    <n v="2"/>
    <n v="2"/>
    <n v="1"/>
  </r>
  <r>
    <n v="39"/>
    <x v="1"/>
    <s v="Travel_Rarely"/>
    <n v="466"/>
    <x v="1"/>
    <n v="1"/>
    <n v="1"/>
    <s v="Life Sciences"/>
    <n v="1026"/>
    <n v="4"/>
    <s v="Female"/>
    <n v="65"/>
    <n v="2"/>
    <n v="4"/>
    <s v="Manufacturing Director"/>
    <n v="4"/>
    <s v="Married"/>
    <n v="12742"/>
    <n v="7060"/>
    <n v="1"/>
    <s v="No"/>
    <n v="16"/>
    <n v="3"/>
    <n v="3"/>
    <n v="1"/>
    <n v="21"/>
    <n v="3"/>
    <n v="3"/>
    <n v="21"/>
    <n v="6"/>
    <n v="11"/>
    <n v="8"/>
  </r>
  <r>
    <n v="27"/>
    <x v="1"/>
    <s v="Travel_Rarely"/>
    <n v="1055"/>
    <x v="1"/>
    <n v="2"/>
    <n v="4"/>
    <s v="Life Sciences"/>
    <n v="1027"/>
    <n v="1"/>
    <s v="Female"/>
    <n v="47"/>
    <n v="3"/>
    <n v="2"/>
    <s v="Manufacturing Director"/>
    <n v="4"/>
    <s v="Married"/>
    <n v="4227"/>
    <n v="4658"/>
    <n v="0"/>
    <s v="No"/>
    <n v="18"/>
    <n v="3"/>
    <n v="2"/>
    <n v="1"/>
    <n v="4"/>
    <n v="2"/>
    <n v="3"/>
    <n v="3"/>
    <n v="2"/>
    <n v="2"/>
    <n v="2"/>
  </r>
  <r>
    <n v="35"/>
    <x v="1"/>
    <s v="Travel_Rarely"/>
    <n v="802"/>
    <x v="1"/>
    <n v="10"/>
    <n v="3"/>
    <s v="Other"/>
    <n v="1028"/>
    <n v="2"/>
    <s v="Male"/>
    <n v="45"/>
    <n v="3"/>
    <n v="1"/>
    <s v="Laboratory Technician"/>
    <n v="4"/>
    <s v="Divorced"/>
    <n v="3917"/>
    <n v="9541"/>
    <n v="1"/>
    <s v="No"/>
    <n v="20"/>
    <n v="4"/>
    <n v="1"/>
    <n v="1"/>
    <n v="3"/>
    <n v="4"/>
    <n v="2"/>
    <n v="3"/>
    <n v="2"/>
    <n v="1"/>
    <n v="2"/>
  </r>
  <r>
    <n v="42"/>
    <x v="1"/>
    <s v="Travel_Rarely"/>
    <n v="265"/>
    <x v="0"/>
    <n v="5"/>
    <n v="2"/>
    <s v="Marketing"/>
    <n v="1029"/>
    <n v="4"/>
    <s v="Male"/>
    <n v="90"/>
    <n v="3"/>
    <n v="5"/>
    <s v="Manager"/>
    <n v="3"/>
    <s v="Married"/>
    <n v="18303"/>
    <n v="7770"/>
    <n v="6"/>
    <s v="No"/>
    <n v="13"/>
    <n v="3"/>
    <n v="2"/>
    <n v="0"/>
    <n v="21"/>
    <n v="3"/>
    <n v="4"/>
    <n v="1"/>
    <n v="0"/>
    <n v="0"/>
    <n v="0"/>
  </r>
  <r>
    <n v="50"/>
    <x v="1"/>
    <s v="Travel_Rarely"/>
    <n v="804"/>
    <x v="1"/>
    <n v="9"/>
    <n v="3"/>
    <s v="Life Sciences"/>
    <n v="1030"/>
    <n v="1"/>
    <s v="Male"/>
    <n v="64"/>
    <n v="3"/>
    <n v="1"/>
    <s v="Laboratory Technician"/>
    <n v="4"/>
    <s v="Married"/>
    <n v="2380"/>
    <n v="20165"/>
    <n v="4"/>
    <s v="No"/>
    <n v="18"/>
    <n v="3"/>
    <n v="2"/>
    <n v="0"/>
    <n v="8"/>
    <n v="5"/>
    <n v="3"/>
    <n v="1"/>
    <n v="0"/>
    <n v="0"/>
    <n v="0"/>
  </r>
  <r>
    <n v="59"/>
    <x v="1"/>
    <s v="Travel_Rarely"/>
    <n v="715"/>
    <x v="1"/>
    <n v="2"/>
    <n v="3"/>
    <s v="Life Sciences"/>
    <n v="1032"/>
    <n v="3"/>
    <s v="Female"/>
    <n v="69"/>
    <n v="2"/>
    <n v="4"/>
    <s v="Manufacturing Director"/>
    <n v="4"/>
    <s v="Single"/>
    <n v="13726"/>
    <n v="21829"/>
    <n v="3"/>
    <s v="Yes"/>
    <n v="13"/>
    <n v="3"/>
    <n v="1"/>
    <n v="0"/>
    <n v="30"/>
    <n v="4"/>
    <n v="3"/>
    <n v="5"/>
    <n v="3"/>
    <n v="4"/>
    <n v="3"/>
  </r>
  <r>
    <n v="37"/>
    <x v="0"/>
    <s v="Travel_Rarely"/>
    <n v="1141"/>
    <x v="1"/>
    <n v="11"/>
    <n v="2"/>
    <s v="Medical"/>
    <n v="1033"/>
    <n v="1"/>
    <s v="Female"/>
    <n v="61"/>
    <n v="1"/>
    <n v="2"/>
    <s v="Healthcare Representative"/>
    <n v="2"/>
    <s v="Married"/>
    <n v="4777"/>
    <n v="14382"/>
    <n v="5"/>
    <s v="No"/>
    <n v="15"/>
    <n v="3"/>
    <n v="1"/>
    <n v="0"/>
    <n v="15"/>
    <n v="2"/>
    <n v="1"/>
    <n v="1"/>
    <n v="0"/>
    <n v="0"/>
    <n v="0"/>
  </r>
  <r>
    <n v="55"/>
    <x v="1"/>
    <s v="Travel_Frequently"/>
    <n v="135"/>
    <x v="1"/>
    <n v="18"/>
    <n v="4"/>
    <s v="Medical"/>
    <n v="1034"/>
    <n v="3"/>
    <s v="Male"/>
    <n v="62"/>
    <n v="3"/>
    <n v="2"/>
    <s v="Healthcare Representative"/>
    <n v="2"/>
    <s v="Married"/>
    <n v="6385"/>
    <n v="12992"/>
    <n v="3"/>
    <s v="Yes"/>
    <n v="14"/>
    <n v="3"/>
    <n v="4"/>
    <n v="2"/>
    <n v="17"/>
    <n v="3"/>
    <n v="3"/>
    <n v="8"/>
    <n v="7"/>
    <n v="6"/>
    <n v="7"/>
  </r>
  <r>
    <n v="41"/>
    <x v="1"/>
    <s v="Non-Travel"/>
    <n v="247"/>
    <x v="1"/>
    <n v="7"/>
    <n v="1"/>
    <s v="Life Sciences"/>
    <n v="1035"/>
    <n v="2"/>
    <s v="Female"/>
    <n v="55"/>
    <n v="1"/>
    <n v="5"/>
    <s v="Research Director"/>
    <n v="3"/>
    <s v="Divorced"/>
    <n v="19973"/>
    <n v="20284"/>
    <n v="1"/>
    <s v="No"/>
    <n v="22"/>
    <n v="4"/>
    <n v="2"/>
    <n v="2"/>
    <n v="21"/>
    <n v="3"/>
    <n v="3"/>
    <n v="21"/>
    <n v="16"/>
    <n v="5"/>
    <n v="10"/>
  </r>
  <r>
    <n v="38"/>
    <x v="1"/>
    <s v="Travel_Rarely"/>
    <n v="1035"/>
    <x v="0"/>
    <n v="3"/>
    <n v="4"/>
    <s v="Life Sciences"/>
    <n v="1036"/>
    <n v="2"/>
    <s v="Male"/>
    <n v="42"/>
    <n v="3"/>
    <n v="2"/>
    <s v="Sales Executive"/>
    <n v="4"/>
    <s v="Single"/>
    <n v="6861"/>
    <n v="4981"/>
    <n v="8"/>
    <s v="Yes"/>
    <n v="12"/>
    <n v="3"/>
    <n v="3"/>
    <n v="0"/>
    <n v="19"/>
    <n v="1"/>
    <n v="3"/>
    <n v="1"/>
    <n v="0"/>
    <n v="0"/>
    <n v="0"/>
  </r>
  <r>
    <n v="26"/>
    <x v="0"/>
    <s v="Non-Travel"/>
    <n v="265"/>
    <x v="0"/>
    <n v="29"/>
    <n v="2"/>
    <s v="Medical"/>
    <n v="1037"/>
    <n v="2"/>
    <s v="Male"/>
    <n v="79"/>
    <n v="1"/>
    <n v="2"/>
    <s v="Sales Executive"/>
    <n v="1"/>
    <s v="Single"/>
    <n v="4969"/>
    <n v="21813"/>
    <n v="8"/>
    <s v="No"/>
    <n v="18"/>
    <n v="3"/>
    <n v="4"/>
    <n v="0"/>
    <n v="7"/>
    <n v="6"/>
    <n v="3"/>
    <n v="2"/>
    <n v="2"/>
    <n v="2"/>
    <n v="2"/>
  </r>
  <r>
    <n v="52"/>
    <x v="0"/>
    <s v="Travel_Rarely"/>
    <n v="266"/>
    <x v="0"/>
    <n v="2"/>
    <n v="1"/>
    <s v="Marketing"/>
    <n v="1038"/>
    <n v="1"/>
    <s v="Female"/>
    <n v="57"/>
    <n v="1"/>
    <n v="5"/>
    <s v="Manager"/>
    <n v="4"/>
    <s v="Married"/>
    <n v="19845"/>
    <n v="25846"/>
    <n v="1"/>
    <s v="No"/>
    <n v="15"/>
    <n v="3"/>
    <n v="4"/>
    <n v="1"/>
    <n v="33"/>
    <n v="3"/>
    <n v="3"/>
    <n v="32"/>
    <n v="14"/>
    <n v="6"/>
    <n v="9"/>
  </r>
  <r>
    <n v="44"/>
    <x v="1"/>
    <s v="Travel_Rarely"/>
    <n v="1448"/>
    <x v="0"/>
    <n v="28"/>
    <n v="3"/>
    <s v="Medical"/>
    <n v="1039"/>
    <n v="4"/>
    <s v="Female"/>
    <n v="53"/>
    <n v="4"/>
    <n v="4"/>
    <s v="Sales Executive"/>
    <n v="4"/>
    <s v="Married"/>
    <n v="13320"/>
    <n v="11737"/>
    <n v="3"/>
    <s v="Yes"/>
    <n v="18"/>
    <n v="3"/>
    <n v="3"/>
    <n v="1"/>
    <n v="23"/>
    <n v="2"/>
    <n v="3"/>
    <n v="12"/>
    <n v="11"/>
    <n v="11"/>
    <n v="11"/>
  </r>
  <r>
    <n v="50"/>
    <x v="1"/>
    <s v="Non-Travel"/>
    <n v="145"/>
    <x v="0"/>
    <n v="1"/>
    <n v="3"/>
    <s v="Life Sciences"/>
    <n v="1040"/>
    <n v="4"/>
    <s v="Female"/>
    <n v="95"/>
    <n v="3"/>
    <n v="2"/>
    <s v="Sales Executive"/>
    <n v="3"/>
    <s v="Married"/>
    <n v="6347"/>
    <n v="24920"/>
    <n v="0"/>
    <s v="No"/>
    <n v="12"/>
    <n v="3"/>
    <n v="1"/>
    <n v="1"/>
    <n v="19"/>
    <n v="3"/>
    <n v="3"/>
    <n v="18"/>
    <n v="7"/>
    <n v="0"/>
    <n v="13"/>
  </r>
  <r>
    <n v="36"/>
    <x v="0"/>
    <s v="Travel_Rarely"/>
    <n v="885"/>
    <x v="1"/>
    <n v="16"/>
    <n v="4"/>
    <s v="Life Sciences"/>
    <n v="1042"/>
    <n v="3"/>
    <s v="Female"/>
    <n v="43"/>
    <n v="4"/>
    <n v="1"/>
    <s v="Laboratory Technician"/>
    <n v="1"/>
    <s v="Single"/>
    <n v="2743"/>
    <n v="8269"/>
    <n v="1"/>
    <s v="No"/>
    <n v="16"/>
    <n v="3"/>
    <n v="3"/>
    <n v="0"/>
    <n v="18"/>
    <n v="1"/>
    <n v="3"/>
    <n v="17"/>
    <n v="13"/>
    <n v="15"/>
    <n v="14"/>
  </r>
  <r>
    <n v="39"/>
    <x v="1"/>
    <s v="Travel_Frequently"/>
    <n v="945"/>
    <x v="1"/>
    <n v="22"/>
    <n v="3"/>
    <s v="Medical"/>
    <n v="1043"/>
    <n v="4"/>
    <s v="Female"/>
    <n v="82"/>
    <n v="3"/>
    <n v="3"/>
    <s v="Manufacturing Director"/>
    <n v="1"/>
    <s v="Single"/>
    <n v="10880"/>
    <n v="5083"/>
    <n v="1"/>
    <s v="Yes"/>
    <n v="13"/>
    <n v="3"/>
    <n v="3"/>
    <n v="0"/>
    <n v="21"/>
    <n v="2"/>
    <n v="3"/>
    <n v="21"/>
    <n v="6"/>
    <n v="2"/>
    <n v="8"/>
  </r>
  <r>
    <n v="33"/>
    <x v="1"/>
    <s v="Non-Travel"/>
    <n v="1038"/>
    <x v="0"/>
    <n v="8"/>
    <n v="1"/>
    <s v="Life Sciences"/>
    <n v="1044"/>
    <n v="2"/>
    <s v="Female"/>
    <n v="88"/>
    <n v="2"/>
    <n v="1"/>
    <s v="Sales Representative"/>
    <n v="4"/>
    <s v="Single"/>
    <n v="2342"/>
    <n v="21437"/>
    <n v="0"/>
    <s v="No"/>
    <n v="19"/>
    <n v="3"/>
    <n v="4"/>
    <n v="0"/>
    <n v="3"/>
    <n v="2"/>
    <n v="2"/>
    <n v="2"/>
    <n v="2"/>
    <n v="2"/>
    <n v="2"/>
  </r>
  <r>
    <n v="45"/>
    <x v="1"/>
    <s v="Travel_Rarely"/>
    <n v="1234"/>
    <x v="0"/>
    <n v="11"/>
    <n v="2"/>
    <s v="Life Sciences"/>
    <n v="1045"/>
    <n v="4"/>
    <s v="Female"/>
    <n v="90"/>
    <n v="3"/>
    <n v="4"/>
    <s v="Manager"/>
    <n v="4"/>
    <s v="Married"/>
    <n v="17650"/>
    <n v="5404"/>
    <n v="3"/>
    <s v="No"/>
    <n v="13"/>
    <n v="3"/>
    <n v="2"/>
    <n v="1"/>
    <n v="26"/>
    <n v="4"/>
    <n v="4"/>
    <n v="9"/>
    <n v="3"/>
    <n v="1"/>
    <n v="1"/>
  </r>
  <r>
    <n v="32"/>
    <x v="1"/>
    <s v="Non-Travel"/>
    <n v="1109"/>
    <x v="1"/>
    <n v="29"/>
    <n v="4"/>
    <s v="Medical"/>
    <n v="1046"/>
    <n v="4"/>
    <s v="Female"/>
    <n v="69"/>
    <n v="3"/>
    <n v="1"/>
    <s v="Laboratory Technician"/>
    <n v="3"/>
    <s v="Single"/>
    <n v="4025"/>
    <n v="11135"/>
    <n v="9"/>
    <s v="No"/>
    <n v="12"/>
    <n v="3"/>
    <n v="2"/>
    <n v="0"/>
    <n v="10"/>
    <n v="2"/>
    <n v="3"/>
    <n v="8"/>
    <n v="7"/>
    <n v="7"/>
    <n v="7"/>
  </r>
  <r>
    <n v="34"/>
    <x v="1"/>
    <s v="Travel_Rarely"/>
    <n v="216"/>
    <x v="0"/>
    <n v="1"/>
    <n v="4"/>
    <s v="Marketing"/>
    <n v="1047"/>
    <n v="2"/>
    <s v="Male"/>
    <n v="75"/>
    <n v="4"/>
    <n v="2"/>
    <s v="Sales Executive"/>
    <n v="4"/>
    <s v="Divorced"/>
    <n v="9725"/>
    <n v="12278"/>
    <n v="0"/>
    <s v="No"/>
    <n v="11"/>
    <n v="3"/>
    <n v="4"/>
    <n v="1"/>
    <n v="16"/>
    <n v="2"/>
    <n v="2"/>
    <n v="15"/>
    <n v="1"/>
    <n v="0"/>
    <n v="9"/>
  </r>
  <r>
    <n v="59"/>
    <x v="1"/>
    <s v="Travel_Rarely"/>
    <n v="1089"/>
    <x v="0"/>
    <n v="1"/>
    <n v="2"/>
    <s v="Technical Degree"/>
    <n v="1048"/>
    <n v="2"/>
    <s v="Male"/>
    <n v="66"/>
    <n v="3"/>
    <n v="3"/>
    <s v="Manager"/>
    <n v="4"/>
    <s v="Married"/>
    <n v="11904"/>
    <n v="11038"/>
    <n v="3"/>
    <s v="Yes"/>
    <n v="14"/>
    <n v="3"/>
    <n v="3"/>
    <n v="1"/>
    <n v="14"/>
    <n v="1"/>
    <n v="1"/>
    <n v="6"/>
    <n v="4"/>
    <n v="0"/>
    <n v="4"/>
  </r>
  <r>
    <n v="45"/>
    <x v="1"/>
    <s v="Travel_Rarely"/>
    <n v="788"/>
    <x v="2"/>
    <n v="24"/>
    <n v="4"/>
    <s v="Medical"/>
    <n v="1049"/>
    <n v="2"/>
    <s v="Male"/>
    <n v="36"/>
    <n v="3"/>
    <n v="1"/>
    <s v="Human Resources"/>
    <n v="2"/>
    <s v="Single"/>
    <n v="2177"/>
    <n v="8318"/>
    <n v="1"/>
    <s v="No"/>
    <n v="16"/>
    <n v="3"/>
    <n v="1"/>
    <n v="0"/>
    <n v="6"/>
    <n v="3"/>
    <n v="3"/>
    <n v="6"/>
    <n v="3"/>
    <n v="0"/>
    <n v="4"/>
  </r>
  <r>
    <n v="53"/>
    <x v="1"/>
    <s v="Travel_Frequently"/>
    <n v="124"/>
    <x v="0"/>
    <n v="2"/>
    <n v="3"/>
    <s v="Marketing"/>
    <n v="1050"/>
    <n v="3"/>
    <s v="Female"/>
    <n v="38"/>
    <n v="2"/>
    <n v="3"/>
    <s v="Sales Executive"/>
    <n v="2"/>
    <s v="Married"/>
    <n v="7525"/>
    <n v="23537"/>
    <n v="2"/>
    <s v="No"/>
    <n v="12"/>
    <n v="3"/>
    <n v="1"/>
    <n v="1"/>
    <n v="30"/>
    <n v="2"/>
    <n v="3"/>
    <n v="15"/>
    <n v="7"/>
    <n v="6"/>
    <n v="12"/>
  </r>
  <r>
    <n v="36"/>
    <x v="0"/>
    <s v="Travel_Rarely"/>
    <n v="660"/>
    <x v="1"/>
    <n v="15"/>
    <n v="3"/>
    <s v="Other"/>
    <n v="1052"/>
    <n v="1"/>
    <s v="Male"/>
    <n v="81"/>
    <n v="3"/>
    <n v="2"/>
    <s v="Laboratory Technician"/>
    <n v="3"/>
    <s v="Divorced"/>
    <n v="4834"/>
    <n v="7858"/>
    <n v="7"/>
    <s v="No"/>
    <n v="14"/>
    <n v="3"/>
    <n v="2"/>
    <n v="1"/>
    <n v="9"/>
    <n v="3"/>
    <n v="2"/>
    <n v="1"/>
    <n v="0"/>
    <n v="0"/>
    <n v="0"/>
  </r>
  <r>
    <n v="26"/>
    <x v="0"/>
    <s v="Travel_Frequently"/>
    <n v="342"/>
    <x v="1"/>
    <n v="2"/>
    <n v="3"/>
    <s v="Life Sciences"/>
    <n v="1053"/>
    <n v="1"/>
    <s v="Male"/>
    <n v="57"/>
    <n v="3"/>
    <n v="1"/>
    <s v="Research Scientist"/>
    <n v="1"/>
    <s v="Married"/>
    <n v="2042"/>
    <n v="15346"/>
    <n v="6"/>
    <s v="Yes"/>
    <n v="14"/>
    <n v="3"/>
    <n v="2"/>
    <n v="1"/>
    <n v="6"/>
    <n v="2"/>
    <n v="3"/>
    <n v="3"/>
    <n v="2"/>
    <n v="1"/>
    <n v="2"/>
  </r>
  <r>
    <n v="34"/>
    <x v="1"/>
    <s v="Travel_Rarely"/>
    <n v="1333"/>
    <x v="0"/>
    <n v="10"/>
    <n v="4"/>
    <s v="Life Sciences"/>
    <n v="1055"/>
    <n v="3"/>
    <s v="Female"/>
    <n v="87"/>
    <n v="3"/>
    <n v="1"/>
    <s v="Sales Representative"/>
    <n v="3"/>
    <s v="Married"/>
    <n v="2220"/>
    <n v="18410"/>
    <n v="1"/>
    <s v="Yes"/>
    <n v="19"/>
    <n v="3"/>
    <n v="4"/>
    <n v="1"/>
    <n v="1"/>
    <n v="2"/>
    <n v="3"/>
    <n v="1"/>
    <n v="1"/>
    <n v="0"/>
    <n v="0"/>
  </r>
  <r>
    <n v="28"/>
    <x v="1"/>
    <s v="Travel_Rarely"/>
    <n v="1144"/>
    <x v="0"/>
    <n v="10"/>
    <n v="1"/>
    <s v="Medical"/>
    <n v="1056"/>
    <n v="4"/>
    <s v="Male"/>
    <n v="74"/>
    <n v="3"/>
    <n v="1"/>
    <s v="Sales Representative"/>
    <n v="2"/>
    <s v="Married"/>
    <n v="1052"/>
    <n v="23384"/>
    <n v="1"/>
    <s v="No"/>
    <n v="22"/>
    <n v="4"/>
    <n v="2"/>
    <n v="0"/>
    <n v="1"/>
    <n v="5"/>
    <n v="3"/>
    <n v="1"/>
    <n v="0"/>
    <n v="0"/>
    <n v="0"/>
  </r>
  <r>
    <n v="38"/>
    <x v="1"/>
    <s v="Travel_Frequently"/>
    <n v="1186"/>
    <x v="1"/>
    <n v="3"/>
    <n v="4"/>
    <s v="Other"/>
    <n v="1060"/>
    <n v="3"/>
    <s v="Male"/>
    <n v="44"/>
    <n v="3"/>
    <n v="1"/>
    <s v="Research Scientist"/>
    <n v="3"/>
    <s v="Married"/>
    <n v="2821"/>
    <n v="2997"/>
    <n v="3"/>
    <s v="No"/>
    <n v="16"/>
    <n v="3"/>
    <n v="1"/>
    <n v="1"/>
    <n v="8"/>
    <n v="2"/>
    <n v="3"/>
    <n v="2"/>
    <n v="2"/>
    <n v="2"/>
    <n v="2"/>
  </r>
  <r>
    <n v="50"/>
    <x v="1"/>
    <s v="Travel_Rarely"/>
    <n v="1464"/>
    <x v="1"/>
    <n v="2"/>
    <n v="4"/>
    <s v="Medical"/>
    <n v="1061"/>
    <n v="2"/>
    <s v="Male"/>
    <n v="62"/>
    <n v="3"/>
    <n v="5"/>
    <s v="Research Director"/>
    <n v="3"/>
    <s v="Married"/>
    <n v="19237"/>
    <n v="12853"/>
    <n v="2"/>
    <s v="Yes"/>
    <n v="11"/>
    <n v="3"/>
    <n v="4"/>
    <n v="1"/>
    <n v="29"/>
    <n v="2"/>
    <n v="2"/>
    <n v="8"/>
    <n v="1"/>
    <n v="7"/>
    <n v="7"/>
  </r>
  <r>
    <n v="37"/>
    <x v="1"/>
    <s v="Travel_Rarely"/>
    <n v="124"/>
    <x v="1"/>
    <n v="3"/>
    <n v="3"/>
    <s v="Other"/>
    <n v="1062"/>
    <n v="4"/>
    <s v="Female"/>
    <n v="35"/>
    <n v="3"/>
    <n v="2"/>
    <s v="Healthcare Representative"/>
    <n v="2"/>
    <s v="Single"/>
    <n v="4107"/>
    <n v="13848"/>
    <n v="3"/>
    <s v="No"/>
    <n v="15"/>
    <n v="3"/>
    <n v="1"/>
    <n v="0"/>
    <n v="8"/>
    <n v="3"/>
    <n v="2"/>
    <n v="4"/>
    <n v="3"/>
    <n v="0"/>
    <n v="1"/>
  </r>
  <r>
    <n v="40"/>
    <x v="1"/>
    <s v="Travel_Rarely"/>
    <n v="300"/>
    <x v="0"/>
    <n v="26"/>
    <n v="3"/>
    <s v="Marketing"/>
    <n v="1066"/>
    <n v="3"/>
    <s v="Male"/>
    <n v="74"/>
    <n v="3"/>
    <n v="2"/>
    <s v="Sales Executive"/>
    <n v="1"/>
    <s v="Married"/>
    <n v="8396"/>
    <n v="22217"/>
    <n v="1"/>
    <s v="No"/>
    <n v="14"/>
    <n v="3"/>
    <n v="2"/>
    <n v="1"/>
    <n v="8"/>
    <n v="3"/>
    <n v="2"/>
    <n v="7"/>
    <n v="7"/>
    <n v="7"/>
    <n v="5"/>
  </r>
  <r>
    <n v="26"/>
    <x v="1"/>
    <s v="Travel_Frequently"/>
    <n v="921"/>
    <x v="1"/>
    <n v="1"/>
    <n v="1"/>
    <s v="Medical"/>
    <n v="1068"/>
    <n v="1"/>
    <s v="Female"/>
    <n v="66"/>
    <n v="2"/>
    <n v="1"/>
    <s v="Research Scientist"/>
    <n v="3"/>
    <s v="Divorced"/>
    <n v="2007"/>
    <n v="25265"/>
    <n v="1"/>
    <s v="No"/>
    <n v="13"/>
    <n v="3"/>
    <n v="3"/>
    <n v="2"/>
    <n v="5"/>
    <n v="5"/>
    <n v="3"/>
    <n v="5"/>
    <n v="3"/>
    <n v="1"/>
    <n v="3"/>
  </r>
  <r>
    <n v="46"/>
    <x v="1"/>
    <s v="Travel_Rarely"/>
    <n v="430"/>
    <x v="1"/>
    <n v="1"/>
    <n v="4"/>
    <s v="Medical"/>
    <n v="1069"/>
    <n v="4"/>
    <s v="Male"/>
    <n v="40"/>
    <n v="3"/>
    <n v="5"/>
    <s v="Research Director"/>
    <n v="4"/>
    <s v="Divorced"/>
    <n v="19627"/>
    <n v="21445"/>
    <n v="9"/>
    <s v="No"/>
    <n v="17"/>
    <n v="3"/>
    <n v="4"/>
    <n v="2"/>
    <n v="23"/>
    <n v="0"/>
    <n v="3"/>
    <n v="2"/>
    <n v="2"/>
    <n v="2"/>
    <n v="2"/>
  </r>
  <r>
    <n v="54"/>
    <x v="1"/>
    <s v="Travel_Rarely"/>
    <n v="1082"/>
    <x v="0"/>
    <n v="2"/>
    <n v="4"/>
    <s v="Life Sciences"/>
    <n v="1070"/>
    <n v="3"/>
    <s v="Female"/>
    <n v="41"/>
    <n v="2"/>
    <n v="3"/>
    <s v="Sales Executive"/>
    <n v="3"/>
    <s v="Married"/>
    <n v="10686"/>
    <n v="8392"/>
    <n v="6"/>
    <s v="No"/>
    <n v="11"/>
    <n v="3"/>
    <n v="2"/>
    <n v="1"/>
    <n v="13"/>
    <n v="4"/>
    <n v="3"/>
    <n v="9"/>
    <n v="4"/>
    <n v="7"/>
    <n v="0"/>
  </r>
  <r>
    <n v="56"/>
    <x v="1"/>
    <s v="Travel_Frequently"/>
    <n v="1240"/>
    <x v="1"/>
    <n v="9"/>
    <n v="3"/>
    <s v="Medical"/>
    <n v="1071"/>
    <n v="1"/>
    <s v="Female"/>
    <n v="63"/>
    <n v="3"/>
    <n v="1"/>
    <s v="Research Scientist"/>
    <n v="3"/>
    <s v="Married"/>
    <n v="2942"/>
    <n v="12154"/>
    <n v="2"/>
    <s v="No"/>
    <n v="19"/>
    <n v="3"/>
    <n v="2"/>
    <n v="1"/>
    <n v="18"/>
    <n v="4"/>
    <n v="3"/>
    <n v="5"/>
    <n v="4"/>
    <n v="0"/>
    <n v="3"/>
  </r>
  <r>
    <n v="36"/>
    <x v="1"/>
    <s v="Travel_Rarely"/>
    <n v="796"/>
    <x v="1"/>
    <n v="12"/>
    <n v="5"/>
    <s v="Medical"/>
    <n v="1073"/>
    <n v="4"/>
    <s v="Female"/>
    <n v="51"/>
    <n v="2"/>
    <n v="3"/>
    <s v="Manufacturing Director"/>
    <n v="4"/>
    <s v="Single"/>
    <n v="8858"/>
    <n v="15669"/>
    <n v="0"/>
    <s v="No"/>
    <n v="11"/>
    <n v="3"/>
    <n v="2"/>
    <n v="0"/>
    <n v="15"/>
    <n v="2"/>
    <n v="2"/>
    <n v="14"/>
    <n v="8"/>
    <n v="7"/>
    <n v="8"/>
  </r>
  <r>
    <n v="55"/>
    <x v="1"/>
    <s v="Non-Travel"/>
    <n v="444"/>
    <x v="1"/>
    <n v="2"/>
    <n v="1"/>
    <s v="Medical"/>
    <n v="1074"/>
    <n v="3"/>
    <s v="Male"/>
    <n v="40"/>
    <n v="2"/>
    <n v="4"/>
    <s v="Manager"/>
    <n v="1"/>
    <s v="Single"/>
    <n v="16756"/>
    <n v="17323"/>
    <n v="7"/>
    <s v="No"/>
    <n v="15"/>
    <n v="3"/>
    <n v="2"/>
    <n v="0"/>
    <n v="31"/>
    <n v="3"/>
    <n v="4"/>
    <n v="9"/>
    <n v="7"/>
    <n v="6"/>
    <n v="2"/>
  </r>
  <r>
    <n v="43"/>
    <x v="1"/>
    <s v="Travel_Rarely"/>
    <n v="415"/>
    <x v="0"/>
    <n v="25"/>
    <n v="3"/>
    <s v="Medical"/>
    <n v="1076"/>
    <n v="3"/>
    <s v="Male"/>
    <n v="79"/>
    <n v="2"/>
    <n v="3"/>
    <s v="Sales Executive"/>
    <n v="4"/>
    <s v="Divorced"/>
    <n v="10798"/>
    <n v="5268"/>
    <n v="5"/>
    <s v="No"/>
    <n v="13"/>
    <n v="3"/>
    <n v="3"/>
    <n v="1"/>
    <n v="18"/>
    <n v="5"/>
    <n v="3"/>
    <n v="1"/>
    <n v="0"/>
    <n v="0"/>
    <n v="0"/>
  </r>
  <r>
    <n v="20"/>
    <x v="0"/>
    <s v="Travel_Frequently"/>
    <n v="769"/>
    <x v="0"/>
    <n v="9"/>
    <n v="3"/>
    <s v="Marketing"/>
    <n v="1077"/>
    <n v="4"/>
    <s v="Female"/>
    <n v="54"/>
    <n v="3"/>
    <n v="1"/>
    <s v="Sales Representative"/>
    <n v="4"/>
    <s v="Single"/>
    <n v="2323"/>
    <n v="17205"/>
    <n v="1"/>
    <s v="Yes"/>
    <n v="14"/>
    <n v="3"/>
    <n v="2"/>
    <n v="0"/>
    <n v="2"/>
    <n v="3"/>
    <n v="3"/>
    <n v="2"/>
    <n v="2"/>
    <n v="0"/>
    <n v="2"/>
  </r>
  <r>
    <n v="21"/>
    <x v="0"/>
    <s v="Travel_Rarely"/>
    <n v="1334"/>
    <x v="1"/>
    <n v="10"/>
    <n v="3"/>
    <s v="Life Sciences"/>
    <n v="1079"/>
    <n v="3"/>
    <s v="Female"/>
    <n v="36"/>
    <n v="2"/>
    <n v="1"/>
    <s v="Laboratory Technician"/>
    <n v="1"/>
    <s v="Single"/>
    <n v="1416"/>
    <n v="17258"/>
    <n v="1"/>
    <s v="No"/>
    <n v="13"/>
    <n v="3"/>
    <n v="1"/>
    <n v="0"/>
    <n v="1"/>
    <n v="6"/>
    <n v="2"/>
    <n v="1"/>
    <n v="0"/>
    <n v="1"/>
    <n v="0"/>
  </r>
  <r>
    <n v="46"/>
    <x v="1"/>
    <s v="Travel_Rarely"/>
    <n v="1003"/>
    <x v="1"/>
    <n v="8"/>
    <n v="4"/>
    <s v="Life Sciences"/>
    <n v="1080"/>
    <n v="4"/>
    <s v="Female"/>
    <n v="74"/>
    <n v="2"/>
    <n v="2"/>
    <s v="Research Scientist"/>
    <n v="1"/>
    <s v="Divorced"/>
    <n v="4615"/>
    <n v="21029"/>
    <n v="8"/>
    <s v="Yes"/>
    <n v="23"/>
    <n v="4"/>
    <n v="1"/>
    <n v="3"/>
    <n v="19"/>
    <n v="2"/>
    <n v="3"/>
    <n v="16"/>
    <n v="13"/>
    <n v="1"/>
    <n v="7"/>
  </r>
  <r>
    <n v="51"/>
    <x v="0"/>
    <s v="Travel_Rarely"/>
    <n v="1323"/>
    <x v="1"/>
    <n v="4"/>
    <n v="4"/>
    <s v="Life Sciences"/>
    <n v="1081"/>
    <n v="1"/>
    <s v="Male"/>
    <n v="34"/>
    <n v="3"/>
    <n v="1"/>
    <s v="Research Scientist"/>
    <n v="3"/>
    <s v="Married"/>
    <n v="2461"/>
    <n v="10332"/>
    <n v="9"/>
    <s v="Yes"/>
    <n v="12"/>
    <n v="3"/>
    <n v="3"/>
    <n v="3"/>
    <n v="18"/>
    <n v="2"/>
    <n v="4"/>
    <n v="10"/>
    <n v="0"/>
    <n v="2"/>
    <n v="7"/>
  </r>
  <r>
    <n v="28"/>
    <x v="0"/>
    <s v="Non-Travel"/>
    <n v="1366"/>
    <x v="1"/>
    <n v="24"/>
    <n v="2"/>
    <s v="Technical Degree"/>
    <n v="1082"/>
    <n v="2"/>
    <s v="Male"/>
    <n v="72"/>
    <n v="2"/>
    <n v="3"/>
    <s v="Healthcare Representative"/>
    <n v="1"/>
    <s v="Single"/>
    <n v="8722"/>
    <n v="12355"/>
    <n v="1"/>
    <s v="No"/>
    <n v="12"/>
    <n v="3"/>
    <n v="1"/>
    <n v="0"/>
    <n v="10"/>
    <n v="2"/>
    <n v="2"/>
    <n v="10"/>
    <n v="7"/>
    <n v="1"/>
    <n v="9"/>
  </r>
  <r>
    <n v="26"/>
    <x v="1"/>
    <s v="Travel_Rarely"/>
    <n v="192"/>
    <x v="1"/>
    <n v="1"/>
    <n v="2"/>
    <s v="Medical"/>
    <n v="1083"/>
    <n v="1"/>
    <s v="Male"/>
    <n v="59"/>
    <n v="2"/>
    <n v="1"/>
    <s v="Laboratory Technician"/>
    <n v="1"/>
    <s v="Married"/>
    <n v="3955"/>
    <n v="11141"/>
    <n v="1"/>
    <s v="No"/>
    <n v="16"/>
    <n v="3"/>
    <n v="1"/>
    <n v="2"/>
    <n v="6"/>
    <n v="2"/>
    <n v="3"/>
    <n v="5"/>
    <n v="3"/>
    <n v="1"/>
    <n v="3"/>
  </r>
  <r>
    <n v="30"/>
    <x v="1"/>
    <s v="Travel_Rarely"/>
    <n v="1176"/>
    <x v="1"/>
    <n v="20"/>
    <n v="3"/>
    <s v="Other"/>
    <n v="1084"/>
    <n v="3"/>
    <s v="Male"/>
    <n v="85"/>
    <n v="3"/>
    <n v="2"/>
    <s v="Manufacturing Director"/>
    <n v="1"/>
    <s v="Married"/>
    <n v="9957"/>
    <n v="9096"/>
    <n v="0"/>
    <s v="No"/>
    <n v="15"/>
    <n v="3"/>
    <n v="3"/>
    <n v="1"/>
    <n v="7"/>
    <n v="1"/>
    <n v="2"/>
    <n v="6"/>
    <n v="2"/>
    <n v="0"/>
    <n v="2"/>
  </r>
  <r>
    <n v="41"/>
    <x v="1"/>
    <s v="Travel_Rarely"/>
    <n v="509"/>
    <x v="1"/>
    <n v="7"/>
    <n v="2"/>
    <s v="Technical Degree"/>
    <n v="1085"/>
    <n v="2"/>
    <s v="Female"/>
    <n v="43"/>
    <n v="4"/>
    <n v="1"/>
    <s v="Research Scientist"/>
    <n v="3"/>
    <s v="Married"/>
    <n v="3376"/>
    <n v="18863"/>
    <n v="1"/>
    <s v="No"/>
    <n v="13"/>
    <n v="3"/>
    <n v="3"/>
    <n v="0"/>
    <n v="10"/>
    <n v="3"/>
    <n v="3"/>
    <n v="10"/>
    <n v="6"/>
    <n v="0"/>
    <n v="8"/>
  </r>
  <r>
    <n v="38"/>
    <x v="1"/>
    <s v="Travel_Rarely"/>
    <n v="330"/>
    <x v="1"/>
    <n v="17"/>
    <n v="1"/>
    <s v="Life Sciences"/>
    <n v="1088"/>
    <n v="3"/>
    <s v="Female"/>
    <n v="65"/>
    <n v="2"/>
    <n v="3"/>
    <s v="Healthcare Representative"/>
    <n v="3"/>
    <s v="Married"/>
    <n v="8823"/>
    <n v="24608"/>
    <n v="0"/>
    <s v="No"/>
    <n v="18"/>
    <n v="3"/>
    <n v="1"/>
    <n v="1"/>
    <n v="20"/>
    <n v="4"/>
    <n v="2"/>
    <n v="19"/>
    <n v="9"/>
    <n v="1"/>
    <n v="9"/>
  </r>
  <r>
    <n v="40"/>
    <x v="1"/>
    <s v="Travel_Rarely"/>
    <n v="1492"/>
    <x v="1"/>
    <n v="20"/>
    <n v="4"/>
    <s v="Technical Degree"/>
    <n v="1092"/>
    <n v="1"/>
    <s v="Male"/>
    <n v="61"/>
    <n v="3"/>
    <n v="3"/>
    <s v="Healthcare Representative"/>
    <n v="4"/>
    <s v="Married"/>
    <n v="10322"/>
    <n v="26542"/>
    <n v="4"/>
    <s v="No"/>
    <n v="20"/>
    <n v="4"/>
    <n v="4"/>
    <n v="1"/>
    <n v="14"/>
    <n v="6"/>
    <n v="3"/>
    <n v="11"/>
    <n v="10"/>
    <n v="11"/>
    <n v="1"/>
  </r>
  <r>
    <n v="27"/>
    <x v="1"/>
    <s v="Non-Travel"/>
    <n v="1277"/>
    <x v="1"/>
    <n v="8"/>
    <n v="5"/>
    <s v="Life Sciences"/>
    <n v="1094"/>
    <n v="1"/>
    <s v="Male"/>
    <n v="87"/>
    <n v="1"/>
    <n v="1"/>
    <s v="Laboratory Technician"/>
    <n v="3"/>
    <s v="Married"/>
    <n v="4621"/>
    <n v="5869"/>
    <n v="1"/>
    <s v="No"/>
    <n v="19"/>
    <n v="3"/>
    <n v="4"/>
    <n v="3"/>
    <n v="3"/>
    <n v="4"/>
    <n v="3"/>
    <n v="3"/>
    <n v="2"/>
    <n v="1"/>
    <n v="2"/>
  </r>
  <r>
    <n v="55"/>
    <x v="1"/>
    <s v="Travel_Frequently"/>
    <n v="1091"/>
    <x v="1"/>
    <n v="2"/>
    <n v="1"/>
    <s v="Life Sciences"/>
    <n v="1096"/>
    <n v="4"/>
    <s v="Male"/>
    <n v="65"/>
    <n v="3"/>
    <n v="3"/>
    <s v="Manufacturing Director"/>
    <n v="2"/>
    <s v="Married"/>
    <n v="10976"/>
    <n v="15813"/>
    <n v="3"/>
    <s v="No"/>
    <n v="18"/>
    <n v="3"/>
    <n v="2"/>
    <n v="1"/>
    <n v="23"/>
    <n v="4"/>
    <n v="3"/>
    <n v="3"/>
    <n v="2"/>
    <n v="1"/>
    <n v="2"/>
  </r>
  <r>
    <n v="28"/>
    <x v="1"/>
    <s v="Travel_Rarely"/>
    <n v="857"/>
    <x v="1"/>
    <n v="10"/>
    <n v="3"/>
    <s v="Other"/>
    <n v="1097"/>
    <n v="3"/>
    <s v="Female"/>
    <n v="59"/>
    <n v="3"/>
    <n v="2"/>
    <s v="Research Scientist"/>
    <n v="3"/>
    <s v="Single"/>
    <n v="3660"/>
    <n v="7909"/>
    <n v="3"/>
    <s v="No"/>
    <n v="13"/>
    <n v="3"/>
    <n v="4"/>
    <n v="0"/>
    <n v="10"/>
    <n v="4"/>
    <n v="4"/>
    <n v="8"/>
    <n v="7"/>
    <n v="1"/>
    <n v="7"/>
  </r>
  <r>
    <n v="44"/>
    <x v="0"/>
    <s v="Travel_Rarely"/>
    <n v="1376"/>
    <x v="2"/>
    <n v="1"/>
    <n v="2"/>
    <s v="Medical"/>
    <n v="1098"/>
    <n v="2"/>
    <s v="Male"/>
    <n v="91"/>
    <n v="2"/>
    <n v="3"/>
    <s v="Human Resources"/>
    <n v="1"/>
    <s v="Married"/>
    <n v="10482"/>
    <n v="2326"/>
    <n v="9"/>
    <s v="No"/>
    <n v="14"/>
    <n v="3"/>
    <n v="4"/>
    <n v="1"/>
    <n v="24"/>
    <n v="1"/>
    <n v="3"/>
    <n v="20"/>
    <n v="6"/>
    <n v="3"/>
    <n v="6"/>
  </r>
  <r>
    <n v="33"/>
    <x v="1"/>
    <s v="Travel_Rarely"/>
    <n v="654"/>
    <x v="1"/>
    <n v="5"/>
    <n v="3"/>
    <s v="Life Sciences"/>
    <n v="1099"/>
    <n v="4"/>
    <s v="Male"/>
    <n v="34"/>
    <n v="2"/>
    <n v="3"/>
    <s v="Healthcare Representative"/>
    <n v="4"/>
    <s v="Divorced"/>
    <n v="7119"/>
    <n v="21214"/>
    <n v="4"/>
    <s v="No"/>
    <n v="15"/>
    <n v="3"/>
    <n v="3"/>
    <n v="1"/>
    <n v="9"/>
    <n v="2"/>
    <n v="3"/>
    <n v="3"/>
    <n v="2"/>
    <n v="1"/>
    <n v="2"/>
  </r>
  <r>
    <n v="35"/>
    <x v="0"/>
    <s v="Travel_Rarely"/>
    <n v="1204"/>
    <x v="0"/>
    <n v="4"/>
    <n v="3"/>
    <s v="Technical Degree"/>
    <n v="1100"/>
    <n v="4"/>
    <s v="Male"/>
    <n v="86"/>
    <n v="3"/>
    <n v="3"/>
    <s v="Sales Executive"/>
    <n v="1"/>
    <s v="Single"/>
    <n v="9582"/>
    <n v="10333"/>
    <n v="0"/>
    <s v="Yes"/>
    <n v="22"/>
    <n v="4"/>
    <n v="1"/>
    <n v="0"/>
    <n v="9"/>
    <n v="2"/>
    <n v="3"/>
    <n v="8"/>
    <n v="7"/>
    <n v="4"/>
    <n v="7"/>
  </r>
  <r>
    <n v="33"/>
    <x v="0"/>
    <s v="Travel_Frequently"/>
    <n v="827"/>
    <x v="1"/>
    <n v="29"/>
    <n v="4"/>
    <s v="Medical"/>
    <n v="1101"/>
    <n v="1"/>
    <s v="Female"/>
    <n v="54"/>
    <n v="2"/>
    <n v="2"/>
    <s v="Research Scientist"/>
    <n v="3"/>
    <s v="Single"/>
    <n v="4508"/>
    <n v="3129"/>
    <n v="1"/>
    <s v="No"/>
    <n v="22"/>
    <n v="4"/>
    <n v="2"/>
    <n v="0"/>
    <n v="14"/>
    <n v="4"/>
    <n v="3"/>
    <n v="13"/>
    <n v="7"/>
    <n v="3"/>
    <n v="8"/>
  </r>
  <r>
    <n v="28"/>
    <x v="1"/>
    <s v="Travel_Rarely"/>
    <n v="895"/>
    <x v="1"/>
    <n v="15"/>
    <n v="2"/>
    <s v="Life Sciences"/>
    <n v="1102"/>
    <n v="1"/>
    <s v="Male"/>
    <n v="50"/>
    <n v="3"/>
    <n v="1"/>
    <s v="Laboratory Technician"/>
    <n v="3"/>
    <s v="Divorced"/>
    <n v="2207"/>
    <n v="22482"/>
    <n v="1"/>
    <s v="No"/>
    <n v="16"/>
    <n v="3"/>
    <n v="4"/>
    <n v="1"/>
    <n v="4"/>
    <n v="5"/>
    <n v="2"/>
    <n v="4"/>
    <n v="2"/>
    <n v="2"/>
    <n v="2"/>
  </r>
  <r>
    <n v="34"/>
    <x v="1"/>
    <s v="Travel_Frequently"/>
    <n v="618"/>
    <x v="1"/>
    <n v="3"/>
    <n v="1"/>
    <s v="Life Sciences"/>
    <n v="1103"/>
    <n v="1"/>
    <s v="Male"/>
    <n v="45"/>
    <n v="3"/>
    <n v="2"/>
    <s v="Healthcare Representative"/>
    <n v="4"/>
    <s v="Single"/>
    <n v="7756"/>
    <n v="22266"/>
    <n v="0"/>
    <s v="No"/>
    <n v="17"/>
    <n v="3"/>
    <n v="3"/>
    <n v="0"/>
    <n v="7"/>
    <n v="1"/>
    <n v="2"/>
    <n v="6"/>
    <n v="2"/>
    <n v="0"/>
    <n v="4"/>
  </r>
  <r>
    <n v="37"/>
    <x v="1"/>
    <s v="Travel_Rarely"/>
    <n v="309"/>
    <x v="0"/>
    <n v="10"/>
    <n v="4"/>
    <s v="Life Sciences"/>
    <n v="1105"/>
    <n v="4"/>
    <s v="Female"/>
    <n v="88"/>
    <n v="2"/>
    <n v="2"/>
    <s v="Sales Executive"/>
    <n v="4"/>
    <s v="Divorced"/>
    <n v="6694"/>
    <n v="24223"/>
    <n v="2"/>
    <s v="Yes"/>
    <n v="14"/>
    <n v="3"/>
    <n v="3"/>
    <n v="3"/>
    <n v="8"/>
    <n v="5"/>
    <n v="3"/>
    <n v="1"/>
    <n v="0"/>
    <n v="0"/>
    <n v="0"/>
  </r>
  <r>
    <n v="25"/>
    <x v="0"/>
    <s v="Travel_Rarely"/>
    <n v="1219"/>
    <x v="1"/>
    <n v="4"/>
    <n v="1"/>
    <s v="Technical Degree"/>
    <n v="1106"/>
    <n v="4"/>
    <s v="Male"/>
    <n v="32"/>
    <n v="3"/>
    <n v="1"/>
    <s v="Laboratory Technician"/>
    <n v="4"/>
    <s v="Married"/>
    <n v="3691"/>
    <n v="4605"/>
    <n v="1"/>
    <s v="Yes"/>
    <n v="15"/>
    <n v="3"/>
    <n v="2"/>
    <n v="1"/>
    <n v="7"/>
    <n v="3"/>
    <n v="4"/>
    <n v="7"/>
    <n v="7"/>
    <n v="5"/>
    <n v="6"/>
  </r>
  <r>
    <n v="26"/>
    <x v="0"/>
    <s v="Travel_Rarely"/>
    <n v="1330"/>
    <x v="1"/>
    <n v="21"/>
    <n v="3"/>
    <s v="Medical"/>
    <n v="1107"/>
    <n v="1"/>
    <s v="Male"/>
    <n v="37"/>
    <n v="3"/>
    <n v="1"/>
    <s v="Laboratory Technician"/>
    <n v="3"/>
    <s v="Divorced"/>
    <n v="2377"/>
    <n v="19373"/>
    <n v="1"/>
    <s v="No"/>
    <n v="20"/>
    <n v="4"/>
    <n v="3"/>
    <n v="1"/>
    <n v="1"/>
    <n v="0"/>
    <n v="2"/>
    <n v="1"/>
    <n v="1"/>
    <n v="0"/>
    <n v="0"/>
  </r>
  <r>
    <n v="33"/>
    <x v="0"/>
    <s v="Travel_Rarely"/>
    <n v="1017"/>
    <x v="1"/>
    <n v="25"/>
    <n v="3"/>
    <s v="Medical"/>
    <n v="1108"/>
    <n v="1"/>
    <s v="Male"/>
    <n v="55"/>
    <n v="2"/>
    <n v="1"/>
    <s v="Research Scientist"/>
    <n v="2"/>
    <s v="Single"/>
    <n v="2313"/>
    <n v="2993"/>
    <n v="4"/>
    <s v="Yes"/>
    <n v="20"/>
    <n v="4"/>
    <n v="2"/>
    <n v="0"/>
    <n v="5"/>
    <n v="0"/>
    <n v="3"/>
    <n v="2"/>
    <n v="2"/>
    <n v="2"/>
    <n v="2"/>
  </r>
  <r>
    <n v="42"/>
    <x v="1"/>
    <s v="Travel_Rarely"/>
    <n v="469"/>
    <x v="1"/>
    <n v="2"/>
    <n v="2"/>
    <s v="Medical"/>
    <n v="1109"/>
    <n v="4"/>
    <s v="Male"/>
    <n v="35"/>
    <n v="3"/>
    <n v="4"/>
    <s v="Manager"/>
    <n v="1"/>
    <s v="Married"/>
    <n v="17665"/>
    <n v="14399"/>
    <n v="0"/>
    <s v="No"/>
    <n v="17"/>
    <n v="3"/>
    <n v="4"/>
    <n v="1"/>
    <n v="23"/>
    <n v="3"/>
    <n v="3"/>
    <n v="22"/>
    <n v="6"/>
    <n v="13"/>
    <n v="7"/>
  </r>
  <r>
    <n v="28"/>
    <x v="0"/>
    <s v="Travel_Frequently"/>
    <n v="1009"/>
    <x v="1"/>
    <n v="1"/>
    <n v="3"/>
    <s v="Medical"/>
    <n v="1111"/>
    <n v="1"/>
    <s v="Male"/>
    <n v="45"/>
    <n v="2"/>
    <n v="1"/>
    <s v="Laboratory Technician"/>
    <n v="2"/>
    <s v="Divorced"/>
    <n v="2596"/>
    <n v="7160"/>
    <n v="1"/>
    <s v="No"/>
    <n v="15"/>
    <n v="3"/>
    <n v="1"/>
    <n v="2"/>
    <n v="1"/>
    <n v="2"/>
    <n v="3"/>
    <n v="1"/>
    <n v="0"/>
    <n v="0"/>
    <n v="0"/>
  </r>
  <r>
    <n v="50"/>
    <x v="0"/>
    <s v="Travel_Frequently"/>
    <n v="959"/>
    <x v="0"/>
    <n v="1"/>
    <n v="4"/>
    <s v="Other"/>
    <n v="1113"/>
    <n v="4"/>
    <s v="Male"/>
    <n v="81"/>
    <n v="3"/>
    <n v="2"/>
    <s v="Sales Executive"/>
    <n v="3"/>
    <s v="Single"/>
    <n v="4728"/>
    <n v="17251"/>
    <n v="3"/>
    <s v="Yes"/>
    <n v="14"/>
    <n v="3"/>
    <n v="4"/>
    <n v="0"/>
    <n v="5"/>
    <n v="4"/>
    <n v="3"/>
    <n v="0"/>
    <n v="0"/>
    <n v="0"/>
    <n v="0"/>
  </r>
  <r>
    <n v="33"/>
    <x v="1"/>
    <s v="Travel_Frequently"/>
    <n v="970"/>
    <x v="0"/>
    <n v="7"/>
    <n v="3"/>
    <s v="Life Sciences"/>
    <n v="1114"/>
    <n v="4"/>
    <s v="Female"/>
    <n v="30"/>
    <n v="3"/>
    <n v="2"/>
    <s v="Sales Executive"/>
    <n v="2"/>
    <s v="Married"/>
    <n v="4302"/>
    <n v="13401"/>
    <n v="0"/>
    <s v="No"/>
    <n v="17"/>
    <n v="3"/>
    <n v="3"/>
    <n v="1"/>
    <n v="4"/>
    <n v="3"/>
    <n v="3"/>
    <n v="3"/>
    <n v="2"/>
    <n v="0"/>
    <n v="2"/>
  </r>
  <r>
    <n v="34"/>
    <x v="1"/>
    <s v="Non-Travel"/>
    <n v="697"/>
    <x v="1"/>
    <n v="3"/>
    <n v="4"/>
    <s v="Life Sciences"/>
    <n v="1115"/>
    <n v="3"/>
    <s v="Male"/>
    <n v="40"/>
    <n v="2"/>
    <n v="1"/>
    <s v="Research Scientist"/>
    <n v="4"/>
    <s v="Married"/>
    <n v="2979"/>
    <n v="22478"/>
    <n v="3"/>
    <s v="No"/>
    <n v="17"/>
    <n v="3"/>
    <n v="4"/>
    <n v="3"/>
    <n v="6"/>
    <n v="2"/>
    <n v="3"/>
    <n v="0"/>
    <n v="0"/>
    <n v="0"/>
    <n v="0"/>
  </r>
  <r>
    <n v="48"/>
    <x v="1"/>
    <s v="Non-Travel"/>
    <n v="1262"/>
    <x v="1"/>
    <n v="1"/>
    <n v="4"/>
    <s v="Medical"/>
    <n v="1116"/>
    <n v="1"/>
    <s v="Male"/>
    <n v="35"/>
    <n v="4"/>
    <n v="4"/>
    <s v="Manager"/>
    <n v="4"/>
    <s v="Single"/>
    <n v="16885"/>
    <n v="16154"/>
    <n v="2"/>
    <s v="No"/>
    <n v="22"/>
    <n v="4"/>
    <n v="3"/>
    <n v="0"/>
    <n v="27"/>
    <n v="3"/>
    <n v="2"/>
    <n v="5"/>
    <n v="4"/>
    <n v="2"/>
    <n v="1"/>
  </r>
  <r>
    <n v="45"/>
    <x v="1"/>
    <s v="Non-Travel"/>
    <n v="1050"/>
    <x v="0"/>
    <n v="9"/>
    <n v="4"/>
    <s v="Life Sciences"/>
    <n v="1117"/>
    <n v="2"/>
    <s v="Female"/>
    <n v="65"/>
    <n v="2"/>
    <n v="2"/>
    <s v="Sales Executive"/>
    <n v="3"/>
    <s v="Married"/>
    <n v="5593"/>
    <n v="17970"/>
    <n v="1"/>
    <s v="No"/>
    <n v="13"/>
    <n v="3"/>
    <n v="4"/>
    <n v="1"/>
    <n v="15"/>
    <n v="2"/>
    <n v="3"/>
    <n v="15"/>
    <n v="10"/>
    <n v="4"/>
    <n v="12"/>
  </r>
  <r>
    <n v="52"/>
    <x v="1"/>
    <s v="Travel_Rarely"/>
    <n v="994"/>
    <x v="1"/>
    <n v="7"/>
    <n v="4"/>
    <s v="Life Sciences"/>
    <n v="1118"/>
    <n v="2"/>
    <s v="Male"/>
    <n v="87"/>
    <n v="3"/>
    <n v="3"/>
    <s v="Healthcare Representative"/>
    <n v="2"/>
    <s v="Single"/>
    <n v="10445"/>
    <n v="15322"/>
    <n v="7"/>
    <s v="No"/>
    <n v="19"/>
    <n v="3"/>
    <n v="4"/>
    <n v="0"/>
    <n v="18"/>
    <n v="4"/>
    <n v="3"/>
    <n v="8"/>
    <n v="6"/>
    <n v="4"/>
    <n v="0"/>
  </r>
  <r>
    <n v="38"/>
    <x v="1"/>
    <s v="Travel_Rarely"/>
    <n v="770"/>
    <x v="0"/>
    <n v="10"/>
    <n v="4"/>
    <s v="Marketing"/>
    <n v="1119"/>
    <n v="3"/>
    <s v="Male"/>
    <n v="73"/>
    <n v="2"/>
    <n v="3"/>
    <s v="Sales Executive"/>
    <n v="3"/>
    <s v="Divorced"/>
    <n v="8740"/>
    <n v="5569"/>
    <n v="0"/>
    <s v="Yes"/>
    <n v="14"/>
    <n v="3"/>
    <n v="2"/>
    <n v="2"/>
    <n v="9"/>
    <n v="2"/>
    <n v="3"/>
    <n v="8"/>
    <n v="7"/>
    <n v="2"/>
    <n v="7"/>
  </r>
  <r>
    <n v="29"/>
    <x v="1"/>
    <s v="Travel_Rarely"/>
    <n v="1107"/>
    <x v="1"/>
    <n v="28"/>
    <n v="4"/>
    <s v="Life Sciences"/>
    <n v="1120"/>
    <n v="3"/>
    <s v="Female"/>
    <n v="93"/>
    <n v="3"/>
    <n v="1"/>
    <s v="Research Scientist"/>
    <n v="4"/>
    <s v="Divorced"/>
    <n v="2514"/>
    <n v="26968"/>
    <n v="4"/>
    <s v="No"/>
    <n v="22"/>
    <n v="4"/>
    <n v="1"/>
    <n v="1"/>
    <n v="11"/>
    <n v="1"/>
    <n v="3"/>
    <n v="7"/>
    <n v="5"/>
    <n v="1"/>
    <n v="7"/>
  </r>
  <r>
    <n v="28"/>
    <x v="1"/>
    <s v="Travel_Rarely"/>
    <n v="950"/>
    <x v="1"/>
    <n v="3"/>
    <n v="3"/>
    <s v="Medical"/>
    <n v="1121"/>
    <n v="4"/>
    <s v="Female"/>
    <n v="93"/>
    <n v="3"/>
    <n v="3"/>
    <s v="Manufacturing Director"/>
    <n v="2"/>
    <s v="Divorced"/>
    <n v="7655"/>
    <n v="8039"/>
    <n v="0"/>
    <s v="No"/>
    <n v="17"/>
    <n v="3"/>
    <n v="2"/>
    <n v="3"/>
    <n v="10"/>
    <n v="3"/>
    <n v="2"/>
    <n v="9"/>
    <n v="7"/>
    <n v="1"/>
    <n v="7"/>
  </r>
  <r>
    <n v="46"/>
    <x v="1"/>
    <s v="Travel_Rarely"/>
    <n v="406"/>
    <x v="0"/>
    <n v="3"/>
    <n v="1"/>
    <s v="Marketing"/>
    <n v="1124"/>
    <n v="1"/>
    <s v="Male"/>
    <n v="52"/>
    <n v="3"/>
    <n v="4"/>
    <s v="Manager"/>
    <n v="3"/>
    <s v="Married"/>
    <n v="17465"/>
    <n v="15596"/>
    <n v="3"/>
    <s v="No"/>
    <n v="12"/>
    <n v="3"/>
    <n v="4"/>
    <n v="1"/>
    <n v="23"/>
    <n v="3"/>
    <n v="3"/>
    <n v="12"/>
    <n v="9"/>
    <n v="4"/>
    <n v="9"/>
  </r>
  <r>
    <n v="38"/>
    <x v="1"/>
    <s v="Travel_Rarely"/>
    <n v="130"/>
    <x v="0"/>
    <n v="2"/>
    <n v="2"/>
    <s v="Marketing"/>
    <n v="1125"/>
    <n v="4"/>
    <s v="Male"/>
    <n v="32"/>
    <n v="3"/>
    <n v="3"/>
    <s v="Sales Executive"/>
    <n v="2"/>
    <s v="Single"/>
    <n v="7351"/>
    <n v="20619"/>
    <n v="7"/>
    <s v="No"/>
    <n v="16"/>
    <n v="3"/>
    <n v="3"/>
    <n v="0"/>
    <n v="10"/>
    <n v="2"/>
    <n v="3"/>
    <n v="1"/>
    <n v="0"/>
    <n v="0"/>
    <n v="0"/>
  </r>
  <r>
    <n v="43"/>
    <x v="1"/>
    <s v="Travel_Frequently"/>
    <n v="1082"/>
    <x v="1"/>
    <n v="27"/>
    <n v="3"/>
    <s v="Life Sciences"/>
    <n v="1126"/>
    <n v="3"/>
    <s v="Female"/>
    <n v="83"/>
    <n v="3"/>
    <n v="3"/>
    <s v="Manufacturing Director"/>
    <n v="1"/>
    <s v="Married"/>
    <n v="10820"/>
    <n v="11535"/>
    <n v="8"/>
    <s v="No"/>
    <n v="11"/>
    <n v="3"/>
    <n v="3"/>
    <n v="1"/>
    <n v="18"/>
    <n v="1"/>
    <n v="3"/>
    <n v="8"/>
    <n v="7"/>
    <n v="0"/>
    <n v="1"/>
  </r>
  <r>
    <n v="39"/>
    <x v="0"/>
    <s v="Travel_Frequently"/>
    <n v="203"/>
    <x v="1"/>
    <n v="2"/>
    <n v="3"/>
    <s v="Life Sciences"/>
    <n v="1127"/>
    <n v="1"/>
    <s v="Male"/>
    <n v="84"/>
    <n v="3"/>
    <n v="4"/>
    <s v="Healthcare Representative"/>
    <n v="4"/>
    <s v="Divorced"/>
    <n v="12169"/>
    <n v="13547"/>
    <n v="7"/>
    <s v="No"/>
    <n v="11"/>
    <n v="3"/>
    <n v="4"/>
    <n v="3"/>
    <n v="21"/>
    <n v="4"/>
    <n v="3"/>
    <n v="18"/>
    <n v="7"/>
    <n v="11"/>
    <n v="5"/>
  </r>
  <r>
    <n v="40"/>
    <x v="1"/>
    <s v="Travel_Rarely"/>
    <n v="1308"/>
    <x v="1"/>
    <n v="14"/>
    <n v="3"/>
    <s v="Medical"/>
    <n v="1128"/>
    <n v="3"/>
    <s v="Male"/>
    <n v="44"/>
    <n v="2"/>
    <n v="5"/>
    <s v="Research Director"/>
    <n v="3"/>
    <s v="Single"/>
    <n v="19626"/>
    <n v="17544"/>
    <n v="1"/>
    <s v="No"/>
    <n v="14"/>
    <n v="3"/>
    <n v="1"/>
    <n v="0"/>
    <n v="21"/>
    <n v="2"/>
    <n v="4"/>
    <n v="20"/>
    <n v="7"/>
    <n v="4"/>
    <n v="9"/>
  </r>
  <r>
    <n v="21"/>
    <x v="1"/>
    <s v="Travel_Rarely"/>
    <n v="984"/>
    <x v="1"/>
    <n v="1"/>
    <n v="1"/>
    <s v="Technical Degree"/>
    <n v="1131"/>
    <n v="4"/>
    <s v="Female"/>
    <n v="70"/>
    <n v="2"/>
    <n v="1"/>
    <s v="Research Scientist"/>
    <n v="2"/>
    <s v="Single"/>
    <n v="2070"/>
    <n v="25326"/>
    <n v="1"/>
    <s v="Yes"/>
    <n v="11"/>
    <n v="3"/>
    <n v="3"/>
    <n v="0"/>
    <n v="2"/>
    <n v="6"/>
    <n v="4"/>
    <n v="2"/>
    <n v="2"/>
    <n v="2"/>
    <n v="2"/>
  </r>
  <r>
    <n v="39"/>
    <x v="1"/>
    <s v="Non-Travel"/>
    <n v="439"/>
    <x v="1"/>
    <n v="9"/>
    <n v="3"/>
    <s v="Life Sciences"/>
    <n v="1132"/>
    <n v="3"/>
    <s v="Male"/>
    <n v="70"/>
    <n v="3"/>
    <n v="2"/>
    <s v="Laboratory Technician"/>
    <n v="2"/>
    <s v="Single"/>
    <n v="6782"/>
    <n v="8770"/>
    <n v="9"/>
    <s v="No"/>
    <n v="15"/>
    <n v="3"/>
    <n v="3"/>
    <n v="0"/>
    <n v="9"/>
    <n v="2"/>
    <n v="2"/>
    <n v="5"/>
    <n v="4"/>
    <n v="0"/>
    <n v="3"/>
  </r>
  <r>
    <n v="36"/>
    <x v="1"/>
    <s v="Non-Travel"/>
    <n v="217"/>
    <x v="1"/>
    <n v="18"/>
    <n v="4"/>
    <s v="Life Sciences"/>
    <n v="1133"/>
    <n v="1"/>
    <s v="Male"/>
    <n v="78"/>
    <n v="3"/>
    <n v="2"/>
    <s v="Manufacturing Director"/>
    <n v="4"/>
    <s v="Single"/>
    <n v="7779"/>
    <n v="23238"/>
    <n v="2"/>
    <s v="No"/>
    <n v="20"/>
    <n v="4"/>
    <n v="1"/>
    <n v="0"/>
    <n v="18"/>
    <n v="0"/>
    <n v="3"/>
    <n v="11"/>
    <n v="9"/>
    <n v="0"/>
    <n v="9"/>
  </r>
  <r>
    <n v="31"/>
    <x v="1"/>
    <s v="Travel_Frequently"/>
    <n v="793"/>
    <x v="0"/>
    <n v="20"/>
    <n v="3"/>
    <s v="Life Sciences"/>
    <n v="1135"/>
    <n v="3"/>
    <s v="Male"/>
    <n v="67"/>
    <n v="4"/>
    <n v="1"/>
    <s v="Sales Representative"/>
    <n v="4"/>
    <s v="Married"/>
    <n v="2791"/>
    <n v="21981"/>
    <n v="0"/>
    <s v="No"/>
    <n v="12"/>
    <n v="3"/>
    <n v="1"/>
    <n v="1"/>
    <n v="3"/>
    <n v="4"/>
    <n v="3"/>
    <n v="2"/>
    <n v="2"/>
    <n v="2"/>
    <n v="2"/>
  </r>
  <r>
    <n v="28"/>
    <x v="1"/>
    <s v="Travel_Rarely"/>
    <n v="1451"/>
    <x v="1"/>
    <n v="2"/>
    <n v="1"/>
    <s v="Life Sciences"/>
    <n v="1136"/>
    <n v="1"/>
    <s v="Male"/>
    <n v="67"/>
    <n v="2"/>
    <n v="1"/>
    <s v="Research Scientist"/>
    <n v="2"/>
    <s v="Married"/>
    <n v="3201"/>
    <n v="19911"/>
    <n v="0"/>
    <s v="No"/>
    <n v="17"/>
    <n v="3"/>
    <n v="1"/>
    <n v="0"/>
    <n v="6"/>
    <n v="2"/>
    <n v="1"/>
    <n v="5"/>
    <n v="3"/>
    <n v="0"/>
    <n v="4"/>
  </r>
  <r>
    <n v="35"/>
    <x v="1"/>
    <s v="Travel_Frequently"/>
    <n v="1182"/>
    <x v="0"/>
    <n v="11"/>
    <n v="2"/>
    <s v="Marketing"/>
    <n v="1137"/>
    <n v="4"/>
    <s v="Male"/>
    <n v="54"/>
    <n v="3"/>
    <n v="2"/>
    <s v="Sales Executive"/>
    <n v="4"/>
    <s v="Divorced"/>
    <n v="4968"/>
    <n v="18500"/>
    <n v="1"/>
    <s v="No"/>
    <n v="11"/>
    <n v="3"/>
    <n v="4"/>
    <n v="1"/>
    <n v="5"/>
    <n v="3"/>
    <n v="3"/>
    <n v="5"/>
    <n v="2"/>
    <n v="0"/>
    <n v="2"/>
  </r>
  <r>
    <n v="49"/>
    <x v="1"/>
    <s v="Travel_Rarely"/>
    <n v="174"/>
    <x v="0"/>
    <n v="8"/>
    <n v="4"/>
    <s v="Technical Degree"/>
    <n v="1138"/>
    <n v="4"/>
    <s v="Male"/>
    <n v="56"/>
    <n v="2"/>
    <n v="4"/>
    <s v="Sales Executive"/>
    <n v="2"/>
    <s v="Married"/>
    <n v="13120"/>
    <n v="11879"/>
    <n v="6"/>
    <s v="No"/>
    <n v="17"/>
    <n v="3"/>
    <n v="2"/>
    <n v="1"/>
    <n v="22"/>
    <n v="3"/>
    <n v="3"/>
    <n v="9"/>
    <n v="8"/>
    <n v="2"/>
    <n v="3"/>
  </r>
  <r>
    <n v="34"/>
    <x v="1"/>
    <s v="Travel_Frequently"/>
    <n v="1003"/>
    <x v="1"/>
    <n v="2"/>
    <n v="2"/>
    <s v="Life Sciences"/>
    <n v="1140"/>
    <n v="4"/>
    <s v="Male"/>
    <n v="95"/>
    <n v="3"/>
    <n v="2"/>
    <s v="Manufacturing Director"/>
    <n v="3"/>
    <s v="Single"/>
    <n v="4033"/>
    <n v="15834"/>
    <n v="2"/>
    <s v="No"/>
    <n v="11"/>
    <n v="3"/>
    <n v="4"/>
    <n v="0"/>
    <n v="5"/>
    <n v="3"/>
    <n v="2"/>
    <n v="3"/>
    <n v="2"/>
    <n v="0"/>
    <n v="2"/>
  </r>
  <r>
    <n v="29"/>
    <x v="1"/>
    <s v="Travel_Frequently"/>
    <n v="490"/>
    <x v="1"/>
    <n v="10"/>
    <n v="3"/>
    <s v="Life Sciences"/>
    <n v="1143"/>
    <n v="4"/>
    <s v="Female"/>
    <n v="61"/>
    <n v="3"/>
    <n v="1"/>
    <s v="Research Scientist"/>
    <n v="2"/>
    <s v="Divorced"/>
    <n v="3291"/>
    <n v="17940"/>
    <n v="0"/>
    <s v="No"/>
    <n v="14"/>
    <n v="3"/>
    <n v="4"/>
    <n v="2"/>
    <n v="8"/>
    <n v="2"/>
    <n v="2"/>
    <n v="7"/>
    <n v="5"/>
    <n v="1"/>
    <n v="1"/>
  </r>
  <r>
    <n v="42"/>
    <x v="1"/>
    <s v="Travel_Rarely"/>
    <n v="188"/>
    <x v="1"/>
    <n v="29"/>
    <n v="3"/>
    <s v="Medical"/>
    <n v="1148"/>
    <n v="2"/>
    <s v="Male"/>
    <n v="56"/>
    <n v="1"/>
    <n v="2"/>
    <s v="Laboratory Technician"/>
    <n v="4"/>
    <s v="Single"/>
    <n v="4272"/>
    <n v="9558"/>
    <n v="4"/>
    <s v="No"/>
    <n v="19"/>
    <n v="3"/>
    <n v="1"/>
    <n v="0"/>
    <n v="16"/>
    <n v="3"/>
    <n v="3"/>
    <n v="1"/>
    <n v="0"/>
    <n v="0"/>
    <n v="0"/>
  </r>
  <r>
    <n v="29"/>
    <x v="1"/>
    <s v="Travel_Rarely"/>
    <n v="718"/>
    <x v="1"/>
    <n v="8"/>
    <n v="1"/>
    <s v="Medical"/>
    <n v="1150"/>
    <n v="2"/>
    <s v="Male"/>
    <n v="79"/>
    <n v="2"/>
    <n v="2"/>
    <s v="Manufacturing Director"/>
    <n v="4"/>
    <s v="Married"/>
    <n v="5056"/>
    <n v="17689"/>
    <n v="1"/>
    <s v="Yes"/>
    <n v="15"/>
    <n v="3"/>
    <n v="3"/>
    <n v="1"/>
    <n v="10"/>
    <n v="2"/>
    <n v="2"/>
    <n v="10"/>
    <n v="7"/>
    <n v="1"/>
    <n v="2"/>
  </r>
  <r>
    <n v="38"/>
    <x v="1"/>
    <s v="Travel_Rarely"/>
    <n v="433"/>
    <x v="2"/>
    <n v="1"/>
    <n v="3"/>
    <s v="Human Resources"/>
    <n v="1152"/>
    <n v="3"/>
    <s v="Male"/>
    <n v="37"/>
    <n v="4"/>
    <n v="1"/>
    <s v="Human Resources"/>
    <n v="3"/>
    <s v="Married"/>
    <n v="2844"/>
    <n v="6004"/>
    <n v="1"/>
    <s v="No"/>
    <n v="13"/>
    <n v="3"/>
    <n v="4"/>
    <n v="1"/>
    <n v="7"/>
    <n v="2"/>
    <n v="4"/>
    <n v="7"/>
    <n v="6"/>
    <n v="5"/>
    <n v="0"/>
  </r>
  <r>
    <n v="28"/>
    <x v="1"/>
    <s v="Travel_Frequently"/>
    <n v="773"/>
    <x v="1"/>
    <n v="6"/>
    <n v="3"/>
    <s v="Life Sciences"/>
    <n v="1154"/>
    <n v="3"/>
    <s v="Male"/>
    <n v="39"/>
    <n v="2"/>
    <n v="1"/>
    <s v="Research Scientist"/>
    <n v="3"/>
    <s v="Divorced"/>
    <n v="2703"/>
    <n v="22088"/>
    <n v="1"/>
    <s v="Yes"/>
    <n v="14"/>
    <n v="3"/>
    <n v="4"/>
    <n v="1"/>
    <n v="3"/>
    <n v="2"/>
    <n v="3"/>
    <n v="3"/>
    <n v="1"/>
    <n v="0"/>
    <n v="2"/>
  </r>
  <r>
    <n v="18"/>
    <x v="0"/>
    <s v="Non-Travel"/>
    <n v="247"/>
    <x v="1"/>
    <n v="8"/>
    <n v="1"/>
    <s v="Medical"/>
    <n v="1156"/>
    <n v="3"/>
    <s v="Male"/>
    <n v="80"/>
    <n v="3"/>
    <n v="1"/>
    <s v="Laboratory Technician"/>
    <n v="3"/>
    <s v="Single"/>
    <n v="1904"/>
    <n v="13556"/>
    <n v="1"/>
    <s v="No"/>
    <n v="12"/>
    <n v="3"/>
    <n v="4"/>
    <n v="0"/>
    <n v="0"/>
    <n v="0"/>
    <n v="3"/>
    <n v="0"/>
    <n v="0"/>
    <n v="0"/>
    <n v="0"/>
  </r>
  <r>
    <n v="33"/>
    <x v="0"/>
    <s v="Travel_Rarely"/>
    <n v="603"/>
    <x v="0"/>
    <n v="9"/>
    <n v="4"/>
    <s v="Marketing"/>
    <n v="1157"/>
    <n v="1"/>
    <s v="Female"/>
    <n v="77"/>
    <n v="3"/>
    <n v="2"/>
    <s v="Sales Executive"/>
    <n v="1"/>
    <s v="Single"/>
    <n v="8224"/>
    <n v="18385"/>
    <n v="0"/>
    <s v="Yes"/>
    <n v="17"/>
    <n v="3"/>
    <n v="1"/>
    <n v="0"/>
    <n v="6"/>
    <n v="3"/>
    <n v="3"/>
    <n v="5"/>
    <n v="2"/>
    <n v="0"/>
    <n v="3"/>
  </r>
  <r>
    <n v="41"/>
    <x v="1"/>
    <s v="Travel_Rarely"/>
    <n v="167"/>
    <x v="1"/>
    <n v="12"/>
    <n v="4"/>
    <s v="Life Sciences"/>
    <n v="1158"/>
    <n v="2"/>
    <s v="Male"/>
    <n v="46"/>
    <n v="3"/>
    <n v="1"/>
    <s v="Laboratory Technician"/>
    <n v="4"/>
    <s v="Married"/>
    <n v="4766"/>
    <n v="9051"/>
    <n v="3"/>
    <s v="Yes"/>
    <n v="11"/>
    <n v="3"/>
    <n v="1"/>
    <n v="1"/>
    <n v="6"/>
    <n v="4"/>
    <n v="3"/>
    <n v="1"/>
    <n v="0"/>
    <n v="0"/>
    <n v="0"/>
  </r>
  <r>
    <n v="31"/>
    <x v="0"/>
    <s v="Travel_Frequently"/>
    <n v="874"/>
    <x v="1"/>
    <n v="15"/>
    <n v="3"/>
    <s v="Medical"/>
    <n v="1160"/>
    <n v="3"/>
    <s v="Male"/>
    <n v="72"/>
    <n v="3"/>
    <n v="1"/>
    <s v="Laboratory Technician"/>
    <n v="3"/>
    <s v="Married"/>
    <n v="2610"/>
    <n v="6233"/>
    <n v="1"/>
    <s v="No"/>
    <n v="12"/>
    <n v="3"/>
    <n v="3"/>
    <n v="1"/>
    <n v="2"/>
    <n v="5"/>
    <n v="2"/>
    <n v="2"/>
    <n v="2"/>
    <n v="2"/>
    <n v="2"/>
  </r>
  <r>
    <n v="37"/>
    <x v="1"/>
    <s v="Travel_Rarely"/>
    <n v="367"/>
    <x v="1"/>
    <n v="25"/>
    <n v="2"/>
    <s v="Medical"/>
    <n v="1161"/>
    <n v="3"/>
    <s v="Female"/>
    <n v="52"/>
    <n v="2"/>
    <n v="2"/>
    <s v="Healthcare Representative"/>
    <n v="4"/>
    <s v="Divorced"/>
    <n v="5731"/>
    <n v="17171"/>
    <n v="7"/>
    <s v="No"/>
    <n v="13"/>
    <n v="3"/>
    <n v="3"/>
    <n v="2"/>
    <n v="9"/>
    <n v="2"/>
    <n v="3"/>
    <n v="6"/>
    <n v="2"/>
    <n v="1"/>
    <n v="3"/>
  </r>
  <r>
    <n v="27"/>
    <x v="1"/>
    <s v="Travel_Rarely"/>
    <n v="199"/>
    <x v="1"/>
    <n v="6"/>
    <n v="3"/>
    <s v="Life Sciences"/>
    <n v="1162"/>
    <n v="4"/>
    <s v="Male"/>
    <n v="55"/>
    <n v="2"/>
    <n v="1"/>
    <s v="Research Scientist"/>
    <n v="3"/>
    <s v="Married"/>
    <n v="2539"/>
    <n v="7950"/>
    <n v="1"/>
    <s v="No"/>
    <n v="13"/>
    <n v="3"/>
    <n v="3"/>
    <n v="1"/>
    <n v="4"/>
    <n v="0"/>
    <n v="3"/>
    <n v="4"/>
    <n v="2"/>
    <n v="2"/>
    <n v="2"/>
  </r>
  <r>
    <n v="34"/>
    <x v="1"/>
    <s v="Travel_Rarely"/>
    <n v="1400"/>
    <x v="0"/>
    <n v="9"/>
    <n v="1"/>
    <s v="Life Sciences"/>
    <n v="1163"/>
    <n v="2"/>
    <s v="Female"/>
    <n v="70"/>
    <n v="3"/>
    <n v="2"/>
    <s v="Sales Executive"/>
    <n v="3"/>
    <s v="Married"/>
    <n v="5714"/>
    <n v="5829"/>
    <n v="1"/>
    <s v="No"/>
    <n v="20"/>
    <n v="4"/>
    <n v="1"/>
    <n v="0"/>
    <n v="6"/>
    <n v="3"/>
    <n v="2"/>
    <n v="6"/>
    <n v="5"/>
    <n v="1"/>
    <n v="3"/>
  </r>
  <r>
    <n v="35"/>
    <x v="1"/>
    <s v="Travel_Rarely"/>
    <n v="528"/>
    <x v="2"/>
    <n v="8"/>
    <n v="4"/>
    <s v="Technical Degree"/>
    <n v="1164"/>
    <n v="3"/>
    <s v="Male"/>
    <n v="100"/>
    <n v="3"/>
    <n v="1"/>
    <s v="Human Resources"/>
    <n v="3"/>
    <s v="Single"/>
    <n v="4323"/>
    <n v="7108"/>
    <n v="1"/>
    <s v="No"/>
    <n v="17"/>
    <n v="3"/>
    <n v="2"/>
    <n v="0"/>
    <n v="6"/>
    <n v="2"/>
    <n v="1"/>
    <n v="5"/>
    <n v="4"/>
    <n v="1"/>
    <n v="4"/>
  </r>
  <r>
    <n v="29"/>
    <x v="0"/>
    <s v="Travel_Rarely"/>
    <n v="408"/>
    <x v="0"/>
    <n v="23"/>
    <n v="1"/>
    <s v="Life Sciences"/>
    <n v="1165"/>
    <n v="4"/>
    <s v="Female"/>
    <n v="45"/>
    <n v="2"/>
    <n v="3"/>
    <s v="Sales Executive"/>
    <n v="1"/>
    <s v="Married"/>
    <n v="7336"/>
    <n v="11162"/>
    <n v="1"/>
    <s v="No"/>
    <n v="13"/>
    <n v="3"/>
    <n v="1"/>
    <n v="1"/>
    <n v="11"/>
    <n v="3"/>
    <n v="1"/>
    <n v="11"/>
    <n v="8"/>
    <n v="3"/>
    <n v="10"/>
  </r>
  <r>
    <n v="40"/>
    <x v="1"/>
    <s v="Travel_Frequently"/>
    <n v="593"/>
    <x v="1"/>
    <n v="9"/>
    <n v="4"/>
    <s v="Medical"/>
    <n v="1166"/>
    <n v="2"/>
    <s v="Female"/>
    <n v="88"/>
    <n v="3"/>
    <n v="3"/>
    <s v="Research Director"/>
    <n v="3"/>
    <s v="Single"/>
    <n v="13499"/>
    <n v="13782"/>
    <n v="9"/>
    <s v="No"/>
    <n v="17"/>
    <n v="3"/>
    <n v="3"/>
    <n v="0"/>
    <n v="20"/>
    <n v="3"/>
    <n v="2"/>
    <n v="18"/>
    <n v="7"/>
    <n v="2"/>
    <n v="13"/>
  </r>
  <r>
    <n v="42"/>
    <x v="0"/>
    <s v="Travel_Frequently"/>
    <n v="481"/>
    <x v="0"/>
    <n v="12"/>
    <n v="3"/>
    <s v="Life Sciences"/>
    <n v="1167"/>
    <n v="3"/>
    <s v="Male"/>
    <n v="44"/>
    <n v="3"/>
    <n v="4"/>
    <s v="Sales Executive"/>
    <n v="1"/>
    <s v="Single"/>
    <n v="13758"/>
    <n v="2447"/>
    <n v="0"/>
    <s v="Yes"/>
    <n v="12"/>
    <n v="3"/>
    <n v="2"/>
    <n v="0"/>
    <n v="22"/>
    <n v="2"/>
    <n v="2"/>
    <n v="21"/>
    <n v="9"/>
    <n v="13"/>
    <n v="14"/>
  </r>
  <r>
    <n v="42"/>
    <x v="1"/>
    <s v="Travel_Rarely"/>
    <n v="647"/>
    <x v="0"/>
    <n v="4"/>
    <n v="4"/>
    <s v="Marketing"/>
    <n v="1171"/>
    <n v="2"/>
    <s v="Male"/>
    <n v="45"/>
    <n v="3"/>
    <n v="2"/>
    <s v="Sales Executive"/>
    <n v="1"/>
    <s v="Single"/>
    <n v="5155"/>
    <n v="2253"/>
    <n v="7"/>
    <s v="No"/>
    <n v="13"/>
    <n v="3"/>
    <n v="4"/>
    <n v="0"/>
    <n v="9"/>
    <n v="3"/>
    <n v="4"/>
    <n v="6"/>
    <n v="4"/>
    <n v="1"/>
    <n v="5"/>
  </r>
  <r>
    <n v="35"/>
    <x v="1"/>
    <s v="Travel_Rarely"/>
    <n v="982"/>
    <x v="1"/>
    <n v="1"/>
    <n v="4"/>
    <s v="Medical"/>
    <n v="1172"/>
    <n v="4"/>
    <s v="Male"/>
    <n v="58"/>
    <n v="2"/>
    <n v="1"/>
    <s v="Laboratory Technician"/>
    <n v="3"/>
    <s v="Married"/>
    <n v="2258"/>
    <n v="16340"/>
    <n v="6"/>
    <s v="No"/>
    <n v="12"/>
    <n v="3"/>
    <n v="2"/>
    <n v="1"/>
    <n v="10"/>
    <n v="2"/>
    <n v="3"/>
    <n v="8"/>
    <n v="0"/>
    <n v="1"/>
    <n v="7"/>
  </r>
  <r>
    <n v="24"/>
    <x v="1"/>
    <s v="Travel_Rarely"/>
    <n v="477"/>
    <x v="1"/>
    <n v="24"/>
    <n v="3"/>
    <s v="Medical"/>
    <n v="1173"/>
    <n v="4"/>
    <s v="Male"/>
    <n v="49"/>
    <n v="3"/>
    <n v="1"/>
    <s v="Laboratory Technician"/>
    <n v="2"/>
    <s v="Single"/>
    <n v="3597"/>
    <n v="6409"/>
    <n v="8"/>
    <s v="No"/>
    <n v="22"/>
    <n v="4"/>
    <n v="4"/>
    <n v="0"/>
    <n v="6"/>
    <n v="2"/>
    <n v="3"/>
    <n v="4"/>
    <n v="3"/>
    <n v="1"/>
    <n v="2"/>
  </r>
  <r>
    <n v="28"/>
    <x v="0"/>
    <s v="Travel_Rarely"/>
    <n v="1485"/>
    <x v="1"/>
    <n v="12"/>
    <n v="1"/>
    <s v="Life Sciences"/>
    <n v="1175"/>
    <n v="3"/>
    <s v="Female"/>
    <n v="79"/>
    <n v="3"/>
    <n v="1"/>
    <s v="Laboratory Technician"/>
    <n v="4"/>
    <s v="Married"/>
    <n v="2515"/>
    <n v="22955"/>
    <n v="1"/>
    <s v="Yes"/>
    <n v="11"/>
    <n v="3"/>
    <n v="4"/>
    <n v="0"/>
    <n v="1"/>
    <n v="4"/>
    <n v="2"/>
    <n v="1"/>
    <n v="1"/>
    <n v="0"/>
    <n v="0"/>
  </r>
  <r>
    <n v="26"/>
    <x v="1"/>
    <s v="Travel_Rarely"/>
    <n v="1384"/>
    <x v="1"/>
    <n v="3"/>
    <n v="4"/>
    <s v="Medical"/>
    <n v="1177"/>
    <n v="1"/>
    <s v="Male"/>
    <n v="82"/>
    <n v="4"/>
    <n v="1"/>
    <s v="Laboratory Technician"/>
    <n v="4"/>
    <s v="Married"/>
    <n v="4420"/>
    <n v="13421"/>
    <n v="1"/>
    <s v="No"/>
    <n v="22"/>
    <n v="4"/>
    <n v="2"/>
    <n v="1"/>
    <n v="8"/>
    <n v="2"/>
    <n v="3"/>
    <n v="8"/>
    <n v="7"/>
    <n v="0"/>
    <n v="7"/>
  </r>
  <r>
    <n v="30"/>
    <x v="1"/>
    <s v="Travel_Rarely"/>
    <n v="852"/>
    <x v="0"/>
    <n v="10"/>
    <n v="3"/>
    <s v="Marketing"/>
    <n v="1179"/>
    <n v="3"/>
    <s v="Male"/>
    <n v="72"/>
    <n v="2"/>
    <n v="2"/>
    <s v="Sales Executive"/>
    <n v="3"/>
    <s v="Married"/>
    <n v="6578"/>
    <n v="2706"/>
    <n v="1"/>
    <s v="No"/>
    <n v="18"/>
    <n v="3"/>
    <n v="1"/>
    <n v="1"/>
    <n v="10"/>
    <n v="3"/>
    <n v="3"/>
    <n v="10"/>
    <n v="3"/>
    <n v="1"/>
    <n v="4"/>
  </r>
  <r>
    <n v="40"/>
    <x v="1"/>
    <s v="Travel_Frequently"/>
    <n v="902"/>
    <x v="1"/>
    <n v="26"/>
    <n v="2"/>
    <s v="Medical"/>
    <n v="1180"/>
    <n v="3"/>
    <s v="Female"/>
    <n v="92"/>
    <n v="2"/>
    <n v="2"/>
    <s v="Research Scientist"/>
    <n v="4"/>
    <s v="Married"/>
    <n v="4422"/>
    <n v="21203"/>
    <n v="3"/>
    <s v="Yes"/>
    <n v="13"/>
    <n v="3"/>
    <n v="4"/>
    <n v="1"/>
    <n v="16"/>
    <n v="3"/>
    <n v="1"/>
    <n v="1"/>
    <n v="1"/>
    <n v="0"/>
    <n v="0"/>
  </r>
  <r>
    <n v="35"/>
    <x v="1"/>
    <s v="Travel_Rarely"/>
    <n v="819"/>
    <x v="1"/>
    <n v="2"/>
    <n v="3"/>
    <s v="Life Sciences"/>
    <n v="1182"/>
    <n v="3"/>
    <s v="Male"/>
    <n v="44"/>
    <n v="2"/>
    <n v="3"/>
    <s v="Manufacturing Director"/>
    <n v="2"/>
    <s v="Divorced"/>
    <n v="10274"/>
    <n v="19588"/>
    <n v="2"/>
    <s v="No"/>
    <n v="18"/>
    <n v="3"/>
    <n v="2"/>
    <n v="1"/>
    <n v="15"/>
    <n v="2"/>
    <n v="4"/>
    <n v="7"/>
    <n v="7"/>
    <n v="6"/>
    <n v="4"/>
  </r>
  <r>
    <n v="34"/>
    <x v="1"/>
    <s v="Travel_Frequently"/>
    <n v="669"/>
    <x v="1"/>
    <n v="1"/>
    <n v="3"/>
    <s v="Medical"/>
    <n v="1184"/>
    <n v="4"/>
    <s v="Male"/>
    <n v="97"/>
    <n v="2"/>
    <n v="2"/>
    <s v="Healthcare Representative"/>
    <n v="1"/>
    <s v="Single"/>
    <n v="5343"/>
    <n v="25755"/>
    <n v="0"/>
    <s v="No"/>
    <n v="20"/>
    <n v="4"/>
    <n v="3"/>
    <n v="0"/>
    <n v="14"/>
    <n v="3"/>
    <n v="3"/>
    <n v="13"/>
    <n v="9"/>
    <n v="4"/>
    <n v="9"/>
  </r>
  <r>
    <n v="35"/>
    <x v="1"/>
    <s v="Travel_Frequently"/>
    <n v="636"/>
    <x v="1"/>
    <n v="4"/>
    <n v="4"/>
    <s v="Other"/>
    <n v="1185"/>
    <n v="4"/>
    <s v="Male"/>
    <n v="47"/>
    <n v="2"/>
    <n v="1"/>
    <s v="Laboratory Technician"/>
    <n v="4"/>
    <s v="Married"/>
    <n v="2376"/>
    <n v="26537"/>
    <n v="1"/>
    <s v="No"/>
    <n v="13"/>
    <n v="3"/>
    <n v="2"/>
    <n v="1"/>
    <n v="2"/>
    <n v="2"/>
    <n v="4"/>
    <n v="2"/>
    <n v="2"/>
    <n v="2"/>
    <n v="2"/>
  </r>
  <r>
    <n v="43"/>
    <x v="0"/>
    <s v="Travel_Rarely"/>
    <n v="1372"/>
    <x v="0"/>
    <n v="9"/>
    <n v="3"/>
    <s v="Marketing"/>
    <n v="1188"/>
    <n v="1"/>
    <s v="Female"/>
    <n v="85"/>
    <n v="1"/>
    <n v="2"/>
    <s v="Sales Executive"/>
    <n v="3"/>
    <s v="Single"/>
    <n v="5346"/>
    <n v="9489"/>
    <n v="8"/>
    <s v="No"/>
    <n v="13"/>
    <n v="3"/>
    <n v="2"/>
    <n v="0"/>
    <n v="7"/>
    <n v="2"/>
    <n v="2"/>
    <n v="4"/>
    <n v="3"/>
    <n v="1"/>
    <n v="3"/>
  </r>
  <r>
    <n v="32"/>
    <x v="1"/>
    <s v="Non-Travel"/>
    <n v="862"/>
    <x v="0"/>
    <n v="2"/>
    <n v="1"/>
    <s v="Life Sciences"/>
    <n v="1190"/>
    <n v="3"/>
    <s v="Female"/>
    <n v="76"/>
    <n v="3"/>
    <n v="1"/>
    <s v="Sales Representative"/>
    <n v="1"/>
    <s v="Divorced"/>
    <n v="2827"/>
    <n v="14947"/>
    <n v="1"/>
    <s v="No"/>
    <n v="12"/>
    <n v="3"/>
    <n v="3"/>
    <n v="3"/>
    <n v="1"/>
    <n v="3"/>
    <n v="3"/>
    <n v="1"/>
    <n v="0"/>
    <n v="0"/>
    <n v="0"/>
  </r>
  <r>
    <n v="56"/>
    <x v="1"/>
    <s v="Travel_Rarely"/>
    <n v="718"/>
    <x v="1"/>
    <n v="4"/>
    <n v="4"/>
    <s v="Technical Degree"/>
    <n v="1191"/>
    <n v="4"/>
    <s v="Female"/>
    <n v="92"/>
    <n v="3"/>
    <n v="5"/>
    <s v="Manager"/>
    <n v="1"/>
    <s v="Divorced"/>
    <n v="19943"/>
    <n v="18575"/>
    <n v="4"/>
    <s v="No"/>
    <n v="13"/>
    <n v="3"/>
    <n v="4"/>
    <n v="1"/>
    <n v="28"/>
    <n v="2"/>
    <n v="3"/>
    <n v="5"/>
    <n v="2"/>
    <n v="4"/>
    <n v="2"/>
  </r>
  <r>
    <n v="29"/>
    <x v="1"/>
    <s v="Travel_Rarely"/>
    <n v="1401"/>
    <x v="1"/>
    <n v="6"/>
    <n v="1"/>
    <s v="Medical"/>
    <n v="1192"/>
    <n v="2"/>
    <s v="Female"/>
    <n v="54"/>
    <n v="3"/>
    <n v="1"/>
    <s v="Laboratory Technician"/>
    <n v="4"/>
    <s v="Married"/>
    <n v="3131"/>
    <n v="26342"/>
    <n v="1"/>
    <s v="No"/>
    <n v="13"/>
    <n v="3"/>
    <n v="1"/>
    <n v="1"/>
    <n v="10"/>
    <n v="5"/>
    <n v="3"/>
    <n v="10"/>
    <n v="8"/>
    <n v="0"/>
    <n v="8"/>
  </r>
  <r>
    <n v="19"/>
    <x v="1"/>
    <s v="Travel_Rarely"/>
    <n v="645"/>
    <x v="1"/>
    <n v="9"/>
    <n v="2"/>
    <s v="Life Sciences"/>
    <n v="1193"/>
    <n v="3"/>
    <s v="Male"/>
    <n v="54"/>
    <n v="3"/>
    <n v="1"/>
    <s v="Research Scientist"/>
    <n v="1"/>
    <s v="Single"/>
    <n v="2552"/>
    <n v="7172"/>
    <n v="1"/>
    <s v="No"/>
    <n v="25"/>
    <n v="4"/>
    <n v="3"/>
    <n v="0"/>
    <n v="1"/>
    <n v="4"/>
    <n v="3"/>
    <n v="1"/>
    <n v="1"/>
    <n v="0"/>
    <n v="0"/>
  </r>
  <r>
    <n v="45"/>
    <x v="1"/>
    <s v="Travel_Rarely"/>
    <n v="1457"/>
    <x v="1"/>
    <n v="7"/>
    <n v="3"/>
    <s v="Medical"/>
    <n v="1195"/>
    <n v="1"/>
    <s v="Female"/>
    <n v="83"/>
    <n v="3"/>
    <n v="1"/>
    <s v="Research Scientist"/>
    <n v="3"/>
    <s v="Married"/>
    <n v="4477"/>
    <n v="20100"/>
    <n v="4"/>
    <s v="Yes"/>
    <n v="19"/>
    <n v="3"/>
    <n v="3"/>
    <n v="1"/>
    <n v="7"/>
    <n v="2"/>
    <n v="2"/>
    <n v="3"/>
    <n v="2"/>
    <n v="0"/>
    <n v="2"/>
  </r>
  <r>
    <n v="37"/>
    <x v="1"/>
    <s v="Travel_Rarely"/>
    <n v="977"/>
    <x v="1"/>
    <n v="1"/>
    <n v="3"/>
    <s v="Life Sciences"/>
    <n v="1196"/>
    <n v="4"/>
    <s v="Female"/>
    <n v="56"/>
    <n v="2"/>
    <n v="2"/>
    <s v="Manufacturing Director"/>
    <n v="4"/>
    <s v="Married"/>
    <n v="6474"/>
    <n v="9961"/>
    <n v="1"/>
    <s v="No"/>
    <n v="13"/>
    <n v="3"/>
    <n v="2"/>
    <n v="1"/>
    <n v="14"/>
    <n v="2"/>
    <n v="2"/>
    <n v="14"/>
    <n v="8"/>
    <n v="3"/>
    <n v="11"/>
  </r>
  <r>
    <n v="20"/>
    <x v="1"/>
    <s v="Travel_Rarely"/>
    <n v="805"/>
    <x v="1"/>
    <n v="3"/>
    <n v="3"/>
    <s v="Life Sciences"/>
    <n v="1198"/>
    <n v="1"/>
    <s v="Male"/>
    <n v="87"/>
    <n v="2"/>
    <n v="1"/>
    <s v="Laboratory Technician"/>
    <n v="3"/>
    <s v="Single"/>
    <n v="3033"/>
    <n v="12828"/>
    <n v="1"/>
    <s v="No"/>
    <n v="12"/>
    <n v="3"/>
    <n v="1"/>
    <n v="0"/>
    <n v="2"/>
    <n v="2"/>
    <n v="2"/>
    <n v="2"/>
    <n v="2"/>
    <n v="1"/>
    <n v="2"/>
  </r>
  <r>
    <n v="44"/>
    <x v="0"/>
    <s v="Travel_Rarely"/>
    <n v="1097"/>
    <x v="1"/>
    <n v="10"/>
    <n v="4"/>
    <s v="Life Sciences"/>
    <n v="1200"/>
    <n v="3"/>
    <s v="Male"/>
    <n v="96"/>
    <n v="3"/>
    <n v="1"/>
    <s v="Research Scientist"/>
    <n v="3"/>
    <s v="Single"/>
    <n v="2936"/>
    <n v="10826"/>
    <n v="1"/>
    <s v="Yes"/>
    <n v="11"/>
    <n v="3"/>
    <n v="3"/>
    <n v="0"/>
    <n v="6"/>
    <n v="4"/>
    <n v="3"/>
    <n v="6"/>
    <n v="4"/>
    <n v="0"/>
    <n v="2"/>
  </r>
  <r>
    <n v="53"/>
    <x v="1"/>
    <s v="Travel_Rarely"/>
    <n v="1223"/>
    <x v="1"/>
    <n v="7"/>
    <n v="2"/>
    <s v="Medical"/>
    <n v="1201"/>
    <n v="4"/>
    <s v="Female"/>
    <n v="50"/>
    <n v="3"/>
    <n v="5"/>
    <s v="Manager"/>
    <n v="3"/>
    <s v="Divorced"/>
    <n v="18606"/>
    <n v="18640"/>
    <n v="3"/>
    <s v="No"/>
    <n v="18"/>
    <n v="3"/>
    <n v="2"/>
    <n v="1"/>
    <n v="26"/>
    <n v="6"/>
    <n v="3"/>
    <n v="7"/>
    <n v="7"/>
    <n v="4"/>
    <n v="7"/>
  </r>
  <r>
    <n v="29"/>
    <x v="1"/>
    <s v="Travel_Rarely"/>
    <n v="942"/>
    <x v="1"/>
    <n v="15"/>
    <n v="1"/>
    <s v="Life Sciences"/>
    <n v="1202"/>
    <n v="2"/>
    <s v="Female"/>
    <n v="69"/>
    <n v="1"/>
    <n v="1"/>
    <s v="Research Scientist"/>
    <n v="4"/>
    <s v="Married"/>
    <n v="2168"/>
    <n v="26933"/>
    <n v="0"/>
    <s v="Yes"/>
    <n v="18"/>
    <n v="3"/>
    <n v="1"/>
    <n v="1"/>
    <n v="6"/>
    <n v="2"/>
    <n v="2"/>
    <n v="5"/>
    <n v="4"/>
    <n v="1"/>
    <n v="3"/>
  </r>
  <r>
    <n v="22"/>
    <x v="0"/>
    <s v="Travel_Frequently"/>
    <n v="1256"/>
    <x v="1"/>
    <n v="3"/>
    <n v="4"/>
    <s v="Life Sciences"/>
    <n v="1203"/>
    <n v="3"/>
    <s v="Male"/>
    <n v="48"/>
    <n v="2"/>
    <n v="1"/>
    <s v="Research Scientist"/>
    <n v="4"/>
    <s v="Married"/>
    <n v="2853"/>
    <n v="4223"/>
    <n v="0"/>
    <s v="Yes"/>
    <n v="11"/>
    <n v="3"/>
    <n v="2"/>
    <n v="1"/>
    <n v="1"/>
    <n v="5"/>
    <n v="3"/>
    <n v="0"/>
    <n v="0"/>
    <n v="0"/>
    <n v="0"/>
  </r>
  <r>
    <n v="46"/>
    <x v="1"/>
    <s v="Travel_Rarely"/>
    <n v="1402"/>
    <x v="0"/>
    <n v="2"/>
    <n v="3"/>
    <s v="Marketing"/>
    <n v="1204"/>
    <n v="3"/>
    <s v="Female"/>
    <n v="69"/>
    <n v="3"/>
    <n v="4"/>
    <s v="Manager"/>
    <n v="1"/>
    <s v="Married"/>
    <n v="17048"/>
    <n v="24097"/>
    <n v="8"/>
    <s v="No"/>
    <n v="23"/>
    <n v="4"/>
    <n v="1"/>
    <n v="0"/>
    <n v="28"/>
    <n v="2"/>
    <n v="3"/>
    <n v="26"/>
    <n v="15"/>
    <n v="15"/>
    <n v="9"/>
  </r>
  <r>
    <n v="44"/>
    <x v="1"/>
    <s v="Non-Travel"/>
    <n v="111"/>
    <x v="1"/>
    <n v="17"/>
    <n v="3"/>
    <s v="Life Sciences"/>
    <n v="1206"/>
    <n v="4"/>
    <s v="Male"/>
    <n v="74"/>
    <n v="1"/>
    <n v="1"/>
    <s v="Research Scientist"/>
    <n v="3"/>
    <s v="Single"/>
    <n v="2290"/>
    <n v="4279"/>
    <n v="2"/>
    <s v="No"/>
    <n v="13"/>
    <n v="3"/>
    <n v="4"/>
    <n v="0"/>
    <n v="6"/>
    <n v="3"/>
    <n v="3"/>
    <n v="0"/>
    <n v="0"/>
    <n v="0"/>
    <n v="0"/>
  </r>
  <r>
    <n v="33"/>
    <x v="1"/>
    <s v="Travel_Rarely"/>
    <n v="147"/>
    <x v="2"/>
    <n v="2"/>
    <n v="3"/>
    <s v="Human Resources"/>
    <n v="1207"/>
    <n v="2"/>
    <s v="Male"/>
    <n v="99"/>
    <n v="3"/>
    <n v="1"/>
    <s v="Human Resources"/>
    <n v="3"/>
    <s v="Married"/>
    <n v="3600"/>
    <n v="8429"/>
    <n v="1"/>
    <s v="No"/>
    <n v="13"/>
    <n v="3"/>
    <n v="4"/>
    <n v="1"/>
    <n v="5"/>
    <n v="2"/>
    <n v="3"/>
    <n v="5"/>
    <n v="4"/>
    <n v="1"/>
    <n v="4"/>
  </r>
  <r>
    <n v="41"/>
    <x v="0"/>
    <s v="Non-Travel"/>
    <n v="906"/>
    <x v="1"/>
    <n v="5"/>
    <n v="2"/>
    <s v="Life Sciences"/>
    <n v="1210"/>
    <n v="1"/>
    <s v="Male"/>
    <n v="95"/>
    <n v="2"/>
    <n v="1"/>
    <s v="Research Scientist"/>
    <n v="1"/>
    <s v="Divorced"/>
    <n v="2107"/>
    <n v="20293"/>
    <n v="6"/>
    <s v="No"/>
    <n v="17"/>
    <n v="3"/>
    <n v="1"/>
    <n v="1"/>
    <n v="5"/>
    <n v="2"/>
    <n v="1"/>
    <n v="1"/>
    <n v="0"/>
    <n v="0"/>
    <n v="0"/>
  </r>
  <r>
    <n v="30"/>
    <x v="1"/>
    <s v="Travel_Rarely"/>
    <n v="1329"/>
    <x v="0"/>
    <n v="29"/>
    <n v="4"/>
    <s v="Life Sciences"/>
    <n v="1211"/>
    <n v="3"/>
    <s v="Male"/>
    <n v="61"/>
    <n v="3"/>
    <n v="2"/>
    <s v="Sales Executive"/>
    <n v="1"/>
    <s v="Divorced"/>
    <n v="4115"/>
    <n v="13192"/>
    <n v="8"/>
    <s v="No"/>
    <n v="19"/>
    <n v="3"/>
    <n v="3"/>
    <n v="3"/>
    <n v="8"/>
    <n v="3"/>
    <n v="3"/>
    <n v="4"/>
    <n v="3"/>
    <n v="0"/>
    <n v="3"/>
  </r>
  <r>
    <n v="40"/>
    <x v="1"/>
    <s v="Travel_Frequently"/>
    <n v="1184"/>
    <x v="0"/>
    <n v="2"/>
    <n v="4"/>
    <s v="Medical"/>
    <n v="1212"/>
    <n v="2"/>
    <s v="Male"/>
    <n v="62"/>
    <n v="3"/>
    <n v="2"/>
    <s v="Sales Executive"/>
    <n v="2"/>
    <s v="Married"/>
    <n v="4327"/>
    <n v="25440"/>
    <n v="5"/>
    <s v="No"/>
    <n v="12"/>
    <n v="3"/>
    <n v="4"/>
    <n v="3"/>
    <n v="5"/>
    <n v="2"/>
    <n v="3"/>
    <n v="0"/>
    <n v="0"/>
    <n v="0"/>
    <n v="0"/>
  </r>
  <r>
    <n v="50"/>
    <x v="1"/>
    <s v="Travel_Frequently"/>
    <n v="1421"/>
    <x v="1"/>
    <n v="2"/>
    <n v="3"/>
    <s v="Medical"/>
    <n v="1215"/>
    <n v="4"/>
    <s v="Female"/>
    <n v="30"/>
    <n v="3"/>
    <n v="4"/>
    <s v="Manager"/>
    <n v="1"/>
    <s v="Married"/>
    <n v="17856"/>
    <n v="9490"/>
    <n v="2"/>
    <s v="No"/>
    <n v="22"/>
    <n v="4"/>
    <n v="3"/>
    <n v="1"/>
    <n v="32"/>
    <n v="3"/>
    <n v="3"/>
    <n v="2"/>
    <n v="2"/>
    <n v="2"/>
    <n v="2"/>
  </r>
  <r>
    <n v="28"/>
    <x v="1"/>
    <s v="Travel_Rarely"/>
    <n v="1179"/>
    <x v="1"/>
    <n v="19"/>
    <n v="4"/>
    <s v="Medical"/>
    <n v="1216"/>
    <n v="4"/>
    <s v="Male"/>
    <n v="78"/>
    <n v="2"/>
    <n v="1"/>
    <s v="Laboratory Technician"/>
    <n v="1"/>
    <s v="Married"/>
    <n v="3196"/>
    <n v="12449"/>
    <n v="1"/>
    <s v="No"/>
    <n v="12"/>
    <n v="3"/>
    <n v="3"/>
    <n v="3"/>
    <n v="6"/>
    <n v="2"/>
    <n v="3"/>
    <n v="6"/>
    <n v="5"/>
    <n v="3"/>
    <n v="3"/>
  </r>
  <r>
    <n v="46"/>
    <x v="1"/>
    <s v="Travel_Rarely"/>
    <n v="1450"/>
    <x v="1"/>
    <n v="15"/>
    <n v="2"/>
    <s v="Life Sciences"/>
    <n v="1217"/>
    <n v="4"/>
    <s v="Male"/>
    <n v="52"/>
    <n v="3"/>
    <n v="5"/>
    <s v="Research Director"/>
    <n v="2"/>
    <s v="Married"/>
    <n v="19081"/>
    <n v="10849"/>
    <n v="5"/>
    <s v="No"/>
    <n v="11"/>
    <n v="3"/>
    <n v="1"/>
    <n v="1"/>
    <n v="25"/>
    <n v="2"/>
    <n v="3"/>
    <n v="4"/>
    <n v="2"/>
    <n v="0"/>
    <n v="3"/>
  </r>
  <r>
    <n v="35"/>
    <x v="1"/>
    <s v="Travel_Rarely"/>
    <n v="1361"/>
    <x v="0"/>
    <n v="17"/>
    <n v="4"/>
    <s v="Life Sciences"/>
    <n v="1218"/>
    <n v="3"/>
    <s v="Male"/>
    <n v="94"/>
    <n v="3"/>
    <n v="2"/>
    <s v="Sales Executive"/>
    <n v="1"/>
    <s v="Married"/>
    <n v="8966"/>
    <n v="21026"/>
    <n v="3"/>
    <s v="Yes"/>
    <n v="15"/>
    <n v="3"/>
    <n v="4"/>
    <n v="3"/>
    <n v="15"/>
    <n v="2"/>
    <n v="3"/>
    <n v="7"/>
    <n v="7"/>
    <n v="1"/>
    <n v="7"/>
  </r>
  <r>
    <n v="24"/>
    <x v="0"/>
    <s v="Travel_Rarely"/>
    <n v="984"/>
    <x v="1"/>
    <n v="17"/>
    <n v="2"/>
    <s v="Life Sciences"/>
    <n v="1219"/>
    <n v="4"/>
    <s v="Female"/>
    <n v="97"/>
    <n v="3"/>
    <n v="1"/>
    <s v="Laboratory Technician"/>
    <n v="2"/>
    <s v="Married"/>
    <n v="2210"/>
    <n v="3372"/>
    <n v="1"/>
    <s v="No"/>
    <n v="13"/>
    <n v="3"/>
    <n v="1"/>
    <n v="1"/>
    <n v="1"/>
    <n v="3"/>
    <n v="1"/>
    <n v="1"/>
    <n v="0"/>
    <n v="0"/>
    <n v="0"/>
  </r>
  <r>
    <n v="33"/>
    <x v="1"/>
    <s v="Travel_Frequently"/>
    <n v="1146"/>
    <x v="0"/>
    <n v="25"/>
    <n v="3"/>
    <s v="Medical"/>
    <n v="1220"/>
    <n v="2"/>
    <s v="Female"/>
    <n v="82"/>
    <n v="3"/>
    <n v="2"/>
    <s v="Sales Executive"/>
    <n v="3"/>
    <s v="Married"/>
    <n v="4539"/>
    <n v="4905"/>
    <n v="1"/>
    <s v="No"/>
    <n v="12"/>
    <n v="3"/>
    <n v="1"/>
    <n v="1"/>
    <n v="10"/>
    <n v="3"/>
    <n v="2"/>
    <n v="10"/>
    <n v="7"/>
    <n v="0"/>
    <n v="1"/>
  </r>
  <r>
    <n v="36"/>
    <x v="1"/>
    <s v="Travel_Rarely"/>
    <n v="917"/>
    <x v="1"/>
    <n v="6"/>
    <n v="4"/>
    <s v="Life Sciences"/>
    <n v="1221"/>
    <n v="3"/>
    <s v="Male"/>
    <n v="60"/>
    <n v="1"/>
    <n v="1"/>
    <s v="Laboratory Technician"/>
    <n v="3"/>
    <s v="Divorced"/>
    <n v="2741"/>
    <n v="6865"/>
    <n v="1"/>
    <s v="No"/>
    <n v="14"/>
    <n v="3"/>
    <n v="3"/>
    <n v="1"/>
    <n v="7"/>
    <n v="4"/>
    <n v="3"/>
    <n v="7"/>
    <n v="7"/>
    <n v="1"/>
    <n v="7"/>
  </r>
  <r>
    <n v="30"/>
    <x v="1"/>
    <s v="Travel_Rarely"/>
    <n v="853"/>
    <x v="1"/>
    <n v="7"/>
    <n v="4"/>
    <s v="Life Sciences"/>
    <n v="1224"/>
    <n v="3"/>
    <s v="Male"/>
    <n v="49"/>
    <n v="3"/>
    <n v="2"/>
    <s v="Laboratory Technician"/>
    <n v="3"/>
    <s v="Divorced"/>
    <n v="3491"/>
    <n v="11309"/>
    <n v="1"/>
    <s v="No"/>
    <n v="13"/>
    <n v="3"/>
    <n v="1"/>
    <n v="3"/>
    <n v="10"/>
    <n v="4"/>
    <n v="2"/>
    <n v="10"/>
    <n v="7"/>
    <n v="8"/>
    <n v="9"/>
  </r>
  <r>
    <n v="44"/>
    <x v="1"/>
    <s v="Travel_Rarely"/>
    <n v="200"/>
    <x v="1"/>
    <n v="29"/>
    <n v="4"/>
    <s v="Other"/>
    <n v="1225"/>
    <n v="4"/>
    <s v="Male"/>
    <n v="32"/>
    <n v="3"/>
    <n v="2"/>
    <s v="Research Scientist"/>
    <n v="4"/>
    <s v="Single"/>
    <n v="4541"/>
    <n v="7744"/>
    <n v="1"/>
    <s v="No"/>
    <n v="25"/>
    <n v="4"/>
    <n v="2"/>
    <n v="0"/>
    <n v="20"/>
    <n v="3"/>
    <n v="3"/>
    <n v="20"/>
    <n v="11"/>
    <n v="13"/>
    <n v="17"/>
  </r>
  <r>
    <n v="20"/>
    <x v="1"/>
    <s v="Travel_Rarely"/>
    <n v="654"/>
    <x v="0"/>
    <n v="21"/>
    <n v="3"/>
    <s v="Marketing"/>
    <n v="1226"/>
    <n v="3"/>
    <s v="Male"/>
    <n v="43"/>
    <n v="4"/>
    <n v="1"/>
    <s v="Sales Representative"/>
    <n v="4"/>
    <s v="Single"/>
    <n v="2678"/>
    <n v="5050"/>
    <n v="1"/>
    <s v="No"/>
    <n v="17"/>
    <n v="3"/>
    <n v="4"/>
    <n v="0"/>
    <n v="2"/>
    <n v="2"/>
    <n v="3"/>
    <n v="2"/>
    <n v="1"/>
    <n v="2"/>
    <n v="2"/>
  </r>
  <r>
    <n v="46"/>
    <x v="1"/>
    <s v="Travel_Rarely"/>
    <n v="150"/>
    <x v="1"/>
    <n v="2"/>
    <n v="4"/>
    <s v="Technical Degree"/>
    <n v="1228"/>
    <n v="4"/>
    <s v="Male"/>
    <n v="60"/>
    <n v="3"/>
    <n v="2"/>
    <s v="Manufacturing Director"/>
    <n v="4"/>
    <s v="Divorced"/>
    <n v="7379"/>
    <n v="17433"/>
    <n v="2"/>
    <s v="No"/>
    <n v="11"/>
    <n v="3"/>
    <n v="3"/>
    <n v="1"/>
    <n v="12"/>
    <n v="3"/>
    <n v="2"/>
    <n v="6"/>
    <n v="3"/>
    <n v="1"/>
    <n v="4"/>
  </r>
  <r>
    <n v="42"/>
    <x v="1"/>
    <s v="Non-Travel"/>
    <n v="179"/>
    <x v="2"/>
    <n v="2"/>
    <n v="5"/>
    <s v="Medical"/>
    <n v="1231"/>
    <n v="4"/>
    <s v="Male"/>
    <n v="79"/>
    <n v="4"/>
    <n v="2"/>
    <s v="Human Resources"/>
    <n v="1"/>
    <s v="Married"/>
    <n v="6272"/>
    <n v="12858"/>
    <n v="7"/>
    <s v="No"/>
    <n v="16"/>
    <n v="3"/>
    <n v="1"/>
    <n v="1"/>
    <n v="10"/>
    <n v="3"/>
    <n v="4"/>
    <n v="4"/>
    <n v="3"/>
    <n v="0"/>
    <n v="3"/>
  </r>
  <r>
    <n v="60"/>
    <x v="1"/>
    <s v="Travel_Rarely"/>
    <n v="696"/>
    <x v="0"/>
    <n v="7"/>
    <n v="4"/>
    <s v="Marketing"/>
    <n v="1233"/>
    <n v="2"/>
    <s v="Male"/>
    <n v="52"/>
    <n v="4"/>
    <n v="2"/>
    <s v="Sales Executive"/>
    <n v="4"/>
    <s v="Divorced"/>
    <n v="5220"/>
    <n v="10893"/>
    <n v="0"/>
    <s v="Yes"/>
    <n v="18"/>
    <n v="3"/>
    <n v="2"/>
    <n v="1"/>
    <n v="12"/>
    <n v="3"/>
    <n v="3"/>
    <n v="11"/>
    <n v="7"/>
    <n v="1"/>
    <n v="9"/>
  </r>
  <r>
    <n v="32"/>
    <x v="1"/>
    <s v="Travel_Frequently"/>
    <n v="116"/>
    <x v="1"/>
    <n v="13"/>
    <n v="3"/>
    <s v="Other"/>
    <n v="1234"/>
    <n v="3"/>
    <s v="Female"/>
    <n v="77"/>
    <n v="2"/>
    <n v="1"/>
    <s v="Laboratory Technician"/>
    <n v="2"/>
    <s v="Married"/>
    <n v="2743"/>
    <n v="7331"/>
    <n v="1"/>
    <s v="No"/>
    <n v="20"/>
    <n v="4"/>
    <n v="3"/>
    <n v="1"/>
    <n v="2"/>
    <n v="2"/>
    <n v="3"/>
    <n v="2"/>
    <n v="2"/>
    <n v="2"/>
    <n v="2"/>
  </r>
  <r>
    <n v="32"/>
    <x v="1"/>
    <s v="Travel_Frequently"/>
    <n v="1316"/>
    <x v="1"/>
    <n v="2"/>
    <n v="2"/>
    <s v="Life Sciences"/>
    <n v="1235"/>
    <n v="4"/>
    <s v="Female"/>
    <n v="38"/>
    <n v="3"/>
    <n v="2"/>
    <s v="Research Scientist"/>
    <n v="3"/>
    <s v="Single"/>
    <n v="4998"/>
    <n v="2338"/>
    <n v="4"/>
    <s v="Yes"/>
    <n v="14"/>
    <n v="3"/>
    <n v="4"/>
    <n v="0"/>
    <n v="10"/>
    <n v="2"/>
    <n v="3"/>
    <n v="8"/>
    <n v="7"/>
    <n v="0"/>
    <n v="7"/>
  </r>
  <r>
    <n v="36"/>
    <x v="1"/>
    <s v="Travel_Rarely"/>
    <n v="363"/>
    <x v="1"/>
    <n v="1"/>
    <n v="3"/>
    <s v="Technical Degree"/>
    <n v="1237"/>
    <n v="3"/>
    <s v="Female"/>
    <n v="77"/>
    <n v="1"/>
    <n v="3"/>
    <s v="Manufacturing Director"/>
    <n v="1"/>
    <s v="Divorced"/>
    <n v="10252"/>
    <n v="4235"/>
    <n v="2"/>
    <s v="Yes"/>
    <n v="21"/>
    <n v="4"/>
    <n v="3"/>
    <n v="1"/>
    <n v="17"/>
    <n v="2"/>
    <n v="3"/>
    <n v="7"/>
    <n v="7"/>
    <n v="7"/>
    <n v="7"/>
  </r>
  <r>
    <n v="33"/>
    <x v="1"/>
    <s v="Travel_Rarely"/>
    <n v="117"/>
    <x v="1"/>
    <n v="9"/>
    <n v="3"/>
    <s v="Medical"/>
    <n v="1238"/>
    <n v="1"/>
    <s v="Male"/>
    <n v="60"/>
    <n v="3"/>
    <n v="1"/>
    <s v="Research Scientist"/>
    <n v="4"/>
    <s v="Married"/>
    <n v="2781"/>
    <n v="6311"/>
    <n v="0"/>
    <s v="No"/>
    <n v="13"/>
    <n v="3"/>
    <n v="2"/>
    <n v="1"/>
    <n v="15"/>
    <n v="5"/>
    <n v="3"/>
    <n v="14"/>
    <n v="10"/>
    <n v="4"/>
    <n v="10"/>
  </r>
  <r>
    <n v="40"/>
    <x v="1"/>
    <s v="Travel_Rarely"/>
    <n v="107"/>
    <x v="0"/>
    <n v="10"/>
    <n v="3"/>
    <s v="Technical Degree"/>
    <n v="1239"/>
    <n v="2"/>
    <s v="Female"/>
    <n v="84"/>
    <n v="2"/>
    <n v="2"/>
    <s v="Sales Executive"/>
    <n v="2"/>
    <s v="Divorced"/>
    <n v="6852"/>
    <n v="11591"/>
    <n v="7"/>
    <s v="No"/>
    <n v="12"/>
    <n v="3"/>
    <n v="2"/>
    <n v="1"/>
    <n v="7"/>
    <n v="2"/>
    <n v="4"/>
    <n v="5"/>
    <n v="1"/>
    <n v="1"/>
    <n v="3"/>
  </r>
  <r>
    <n v="25"/>
    <x v="1"/>
    <s v="Travel_Rarely"/>
    <n v="1356"/>
    <x v="0"/>
    <n v="10"/>
    <n v="4"/>
    <s v="Life Sciences"/>
    <n v="1240"/>
    <n v="3"/>
    <s v="Male"/>
    <n v="57"/>
    <n v="3"/>
    <n v="2"/>
    <s v="Sales Executive"/>
    <n v="4"/>
    <s v="Single"/>
    <n v="4950"/>
    <n v="20623"/>
    <n v="0"/>
    <s v="No"/>
    <n v="14"/>
    <n v="3"/>
    <n v="2"/>
    <n v="0"/>
    <n v="5"/>
    <n v="4"/>
    <n v="3"/>
    <n v="4"/>
    <n v="3"/>
    <n v="1"/>
    <n v="1"/>
  </r>
  <r>
    <n v="30"/>
    <x v="1"/>
    <s v="Travel_Rarely"/>
    <n v="1465"/>
    <x v="1"/>
    <n v="1"/>
    <n v="3"/>
    <s v="Medical"/>
    <n v="1241"/>
    <n v="4"/>
    <s v="Male"/>
    <n v="63"/>
    <n v="3"/>
    <n v="1"/>
    <s v="Research Scientist"/>
    <n v="2"/>
    <s v="Married"/>
    <n v="3579"/>
    <n v="9369"/>
    <n v="0"/>
    <s v="Yes"/>
    <n v="21"/>
    <n v="4"/>
    <n v="1"/>
    <n v="1"/>
    <n v="12"/>
    <n v="2"/>
    <n v="3"/>
    <n v="11"/>
    <n v="9"/>
    <n v="5"/>
    <n v="7"/>
  </r>
  <r>
    <n v="42"/>
    <x v="1"/>
    <s v="Travel_Frequently"/>
    <n v="458"/>
    <x v="1"/>
    <n v="26"/>
    <n v="5"/>
    <s v="Medical"/>
    <n v="1242"/>
    <n v="1"/>
    <s v="Female"/>
    <n v="60"/>
    <n v="3"/>
    <n v="3"/>
    <s v="Research Director"/>
    <n v="1"/>
    <s v="Married"/>
    <n v="13191"/>
    <n v="23281"/>
    <n v="3"/>
    <s v="Yes"/>
    <n v="17"/>
    <n v="3"/>
    <n v="3"/>
    <n v="0"/>
    <n v="20"/>
    <n v="6"/>
    <n v="3"/>
    <n v="1"/>
    <n v="0"/>
    <n v="0"/>
    <n v="0"/>
  </r>
  <r>
    <n v="35"/>
    <x v="1"/>
    <s v="Non-Travel"/>
    <n v="1212"/>
    <x v="0"/>
    <n v="8"/>
    <n v="2"/>
    <s v="Marketing"/>
    <n v="1243"/>
    <n v="3"/>
    <s v="Female"/>
    <n v="78"/>
    <n v="2"/>
    <n v="3"/>
    <s v="Sales Executive"/>
    <n v="4"/>
    <s v="Married"/>
    <n v="10377"/>
    <n v="13755"/>
    <n v="4"/>
    <s v="Yes"/>
    <n v="11"/>
    <n v="3"/>
    <n v="2"/>
    <n v="1"/>
    <n v="16"/>
    <n v="6"/>
    <n v="2"/>
    <n v="13"/>
    <n v="2"/>
    <n v="4"/>
    <n v="12"/>
  </r>
  <r>
    <n v="27"/>
    <x v="1"/>
    <s v="Travel_Rarely"/>
    <n v="1103"/>
    <x v="1"/>
    <n v="14"/>
    <n v="3"/>
    <s v="Life Sciences"/>
    <n v="1244"/>
    <n v="1"/>
    <s v="Male"/>
    <n v="42"/>
    <n v="3"/>
    <n v="1"/>
    <s v="Research Scientist"/>
    <n v="1"/>
    <s v="Married"/>
    <n v="2235"/>
    <n v="14377"/>
    <n v="1"/>
    <s v="Yes"/>
    <n v="14"/>
    <n v="3"/>
    <n v="4"/>
    <n v="2"/>
    <n v="9"/>
    <n v="3"/>
    <n v="2"/>
    <n v="9"/>
    <n v="7"/>
    <n v="6"/>
    <n v="8"/>
  </r>
  <r>
    <n v="54"/>
    <x v="1"/>
    <s v="Travel_Frequently"/>
    <n v="966"/>
    <x v="1"/>
    <n v="1"/>
    <n v="4"/>
    <s v="Life Sciences"/>
    <n v="1245"/>
    <n v="4"/>
    <s v="Female"/>
    <n v="53"/>
    <n v="3"/>
    <n v="3"/>
    <s v="Manufacturing Director"/>
    <n v="3"/>
    <s v="Divorced"/>
    <n v="10502"/>
    <n v="9659"/>
    <n v="7"/>
    <s v="No"/>
    <n v="17"/>
    <n v="3"/>
    <n v="1"/>
    <n v="1"/>
    <n v="33"/>
    <n v="2"/>
    <n v="1"/>
    <n v="5"/>
    <n v="4"/>
    <n v="1"/>
    <n v="4"/>
  </r>
  <r>
    <n v="44"/>
    <x v="1"/>
    <s v="Travel_Rarely"/>
    <n v="1117"/>
    <x v="1"/>
    <n v="2"/>
    <n v="1"/>
    <s v="Life Sciences"/>
    <n v="1246"/>
    <n v="1"/>
    <s v="Female"/>
    <n v="72"/>
    <n v="4"/>
    <n v="1"/>
    <s v="Research Scientist"/>
    <n v="4"/>
    <s v="Married"/>
    <n v="2011"/>
    <n v="19982"/>
    <n v="1"/>
    <s v="No"/>
    <n v="13"/>
    <n v="3"/>
    <n v="4"/>
    <n v="1"/>
    <n v="10"/>
    <n v="5"/>
    <n v="3"/>
    <n v="10"/>
    <n v="5"/>
    <n v="7"/>
    <n v="7"/>
  </r>
  <r>
    <n v="19"/>
    <x v="0"/>
    <s v="Non-Travel"/>
    <n v="504"/>
    <x v="1"/>
    <n v="10"/>
    <n v="3"/>
    <s v="Medical"/>
    <n v="1248"/>
    <n v="1"/>
    <s v="Female"/>
    <n v="96"/>
    <n v="2"/>
    <n v="1"/>
    <s v="Research Scientist"/>
    <n v="2"/>
    <s v="Single"/>
    <n v="1859"/>
    <n v="6148"/>
    <n v="1"/>
    <s v="Yes"/>
    <n v="25"/>
    <n v="4"/>
    <n v="2"/>
    <n v="0"/>
    <n v="1"/>
    <n v="2"/>
    <n v="4"/>
    <n v="1"/>
    <n v="1"/>
    <n v="0"/>
    <n v="0"/>
  </r>
  <r>
    <n v="29"/>
    <x v="1"/>
    <s v="Travel_Rarely"/>
    <n v="1010"/>
    <x v="1"/>
    <n v="1"/>
    <n v="3"/>
    <s v="Life Sciences"/>
    <n v="1249"/>
    <n v="1"/>
    <s v="Female"/>
    <n v="97"/>
    <n v="3"/>
    <n v="1"/>
    <s v="Research Scientist"/>
    <n v="4"/>
    <s v="Divorced"/>
    <n v="3760"/>
    <n v="5598"/>
    <n v="1"/>
    <s v="No"/>
    <n v="15"/>
    <n v="3"/>
    <n v="1"/>
    <n v="3"/>
    <n v="3"/>
    <n v="5"/>
    <n v="3"/>
    <n v="3"/>
    <n v="2"/>
    <n v="1"/>
    <n v="2"/>
  </r>
  <r>
    <n v="54"/>
    <x v="1"/>
    <s v="Travel_Rarely"/>
    <n v="685"/>
    <x v="1"/>
    <n v="3"/>
    <n v="3"/>
    <s v="Life Sciences"/>
    <n v="1250"/>
    <n v="4"/>
    <s v="Male"/>
    <n v="85"/>
    <n v="3"/>
    <n v="4"/>
    <s v="Research Director"/>
    <n v="4"/>
    <s v="Married"/>
    <n v="17779"/>
    <n v="23474"/>
    <n v="3"/>
    <s v="No"/>
    <n v="14"/>
    <n v="3"/>
    <n v="1"/>
    <n v="0"/>
    <n v="36"/>
    <n v="2"/>
    <n v="3"/>
    <n v="10"/>
    <n v="9"/>
    <n v="0"/>
    <n v="9"/>
  </r>
  <r>
    <n v="31"/>
    <x v="1"/>
    <s v="Travel_Rarely"/>
    <n v="1332"/>
    <x v="1"/>
    <n v="11"/>
    <n v="2"/>
    <s v="Medical"/>
    <n v="1251"/>
    <n v="3"/>
    <s v="Male"/>
    <n v="80"/>
    <n v="3"/>
    <n v="2"/>
    <s v="Healthcare Representative"/>
    <n v="1"/>
    <s v="Married"/>
    <n v="6833"/>
    <n v="17089"/>
    <n v="1"/>
    <s v="Yes"/>
    <n v="12"/>
    <n v="3"/>
    <n v="4"/>
    <n v="0"/>
    <n v="6"/>
    <n v="2"/>
    <n v="2"/>
    <n v="6"/>
    <n v="5"/>
    <n v="0"/>
    <n v="1"/>
  </r>
  <r>
    <n v="31"/>
    <x v="1"/>
    <s v="Travel_Rarely"/>
    <n v="1062"/>
    <x v="1"/>
    <n v="24"/>
    <n v="3"/>
    <s v="Medical"/>
    <n v="1252"/>
    <n v="3"/>
    <s v="Female"/>
    <n v="96"/>
    <n v="2"/>
    <n v="2"/>
    <s v="Healthcare Representative"/>
    <n v="1"/>
    <s v="Single"/>
    <n v="6812"/>
    <n v="17198"/>
    <n v="1"/>
    <s v="No"/>
    <n v="19"/>
    <n v="3"/>
    <n v="2"/>
    <n v="0"/>
    <n v="10"/>
    <n v="2"/>
    <n v="3"/>
    <n v="10"/>
    <n v="9"/>
    <n v="1"/>
    <n v="8"/>
  </r>
  <r>
    <n v="59"/>
    <x v="1"/>
    <s v="Travel_Rarely"/>
    <n v="326"/>
    <x v="0"/>
    <n v="3"/>
    <n v="3"/>
    <s v="Life Sciences"/>
    <n v="1254"/>
    <n v="3"/>
    <s v="Female"/>
    <n v="48"/>
    <n v="2"/>
    <n v="2"/>
    <s v="Sales Executive"/>
    <n v="4"/>
    <s v="Single"/>
    <n v="5171"/>
    <n v="16490"/>
    <n v="5"/>
    <s v="No"/>
    <n v="17"/>
    <n v="3"/>
    <n v="4"/>
    <n v="0"/>
    <n v="13"/>
    <n v="2"/>
    <n v="3"/>
    <n v="6"/>
    <n v="1"/>
    <n v="0"/>
    <n v="5"/>
  </r>
  <r>
    <n v="43"/>
    <x v="1"/>
    <s v="Travel_Rarely"/>
    <n v="920"/>
    <x v="1"/>
    <n v="3"/>
    <n v="3"/>
    <s v="Life Sciences"/>
    <n v="1255"/>
    <n v="3"/>
    <s v="Male"/>
    <n v="96"/>
    <n v="1"/>
    <n v="5"/>
    <s v="Research Director"/>
    <n v="4"/>
    <s v="Married"/>
    <n v="19740"/>
    <n v="18625"/>
    <n v="3"/>
    <s v="No"/>
    <n v="14"/>
    <n v="3"/>
    <n v="2"/>
    <n v="1"/>
    <n v="25"/>
    <n v="2"/>
    <n v="3"/>
    <n v="8"/>
    <n v="7"/>
    <n v="0"/>
    <n v="7"/>
  </r>
  <r>
    <n v="49"/>
    <x v="1"/>
    <s v="Travel_Rarely"/>
    <n v="1098"/>
    <x v="1"/>
    <n v="4"/>
    <n v="2"/>
    <s v="Medical"/>
    <n v="1256"/>
    <n v="1"/>
    <s v="Male"/>
    <n v="85"/>
    <n v="2"/>
    <n v="5"/>
    <s v="Manager"/>
    <n v="3"/>
    <s v="Married"/>
    <n v="18711"/>
    <n v="12124"/>
    <n v="2"/>
    <s v="No"/>
    <n v="13"/>
    <n v="3"/>
    <n v="3"/>
    <n v="1"/>
    <n v="23"/>
    <n v="2"/>
    <n v="4"/>
    <n v="1"/>
    <n v="0"/>
    <n v="0"/>
    <n v="0"/>
  </r>
  <r>
    <n v="36"/>
    <x v="1"/>
    <s v="Travel_Frequently"/>
    <n v="469"/>
    <x v="1"/>
    <n v="3"/>
    <n v="3"/>
    <s v="Technical Degree"/>
    <n v="1257"/>
    <n v="3"/>
    <s v="Male"/>
    <n v="46"/>
    <n v="3"/>
    <n v="1"/>
    <s v="Research Scientist"/>
    <n v="2"/>
    <s v="Married"/>
    <n v="3692"/>
    <n v="9256"/>
    <n v="1"/>
    <s v="No"/>
    <n v="12"/>
    <n v="3"/>
    <n v="3"/>
    <n v="0"/>
    <n v="12"/>
    <n v="2"/>
    <n v="2"/>
    <n v="11"/>
    <n v="10"/>
    <n v="0"/>
    <n v="7"/>
  </r>
  <r>
    <n v="48"/>
    <x v="1"/>
    <s v="Travel_Rarely"/>
    <n v="969"/>
    <x v="1"/>
    <n v="2"/>
    <n v="2"/>
    <s v="Technical Degree"/>
    <n v="1258"/>
    <n v="4"/>
    <s v="Male"/>
    <n v="76"/>
    <n v="4"/>
    <n v="1"/>
    <s v="Laboratory Technician"/>
    <n v="2"/>
    <s v="Single"/>
    <n v="2559"/>
    <n v="16620"/>
    <n v="5"/>
    <s v="No"/>
    <n v="11"/>
    <n v="3"/>
    <n v="3"/>
    <n v="0"/>
    <n v="7"/>
    <n v="4"/>
    <n v="2"/>
    <n v="1"/>
    <n v="0"/>
    <n v="0"/>
    <n v="0"/>
  </r>
  <r>
    <n v="27"/>
    <x v="1"/>
    <s v="Travel_Rarely"/>
    <n v="1167"/>
    <x v="1"/>
    <n v="4"/>
    <n v="2"/>
    <s v="Life Sciences"/>
    <n v="1259"/>
    <n v="1"/>
    <s v="Male"/>
    <n v="76"/>
    <n v="3"/>
    <n v="1"/>
    <s v="Research Scientist"/>
    <n v="3"/>
    <s v="Divorced"/>
    <n v="2517"/>
    <n v="3208"/>
    <n v="1"/>
    <s v="No"/>
    <n v="11"/>
    <n v="3"/>
    <n v="2"/>
    <n v="3"/>
    <n v="5"/>
    <n v="2"/>
    <n v="3"/>
    <n v="5"/>
    <n v="3"/>
    <n v="0"/>
    <n v="3"/>
  </r>
  <r>
    <n v="29"/>
    <x v="1"/>
    <s v="Travel_Rarely"/>
    <n v="1329"/>
    <x v="1"/>
    <n v="7"/>
    <n v="3"/>
    <s v="Life Sciences"/>
    <n v="1260"/>
    <n v="3"/>
    <s v="Male"/>
    <n v="82"/>
    <n v="3"/>
    <n v="2"/>
    <s v="Healthcare Representative"/>
    <n v="4"/>
    <s v="Divorced"/>
    <n v="6623"/>
    <n v="4204"/>
    <n v="1"/>
    <s v="Yes"/>
    <n v="11"/>
    <n v="3"/>
    <n v="2"/>
    <n v="2"/>
    <n v="6"/>
    <n v="2"/>
    <n v="3"/>
    <n v="6"/>
    <n v="0"/>
    <n v="1"/>
    <n v="0"/>
  </r>
  <r>
    <n v="48"/>
    <x v="1"/>
    <s v="Travel_Rarely"/>
    <n v="715"/>
    <x v="1"/>
    <n v="1"/>
    <n v="3"/>
    <s v="Life Sciences"/>
    <n v="1263"/>
    <n v="4"/>
    <s v="Male"/>
    <n v="76"/>
    <n v="2"/>
    <n v="5"/>
    <s v="Research Director"/>
    <n v="4"/>
    <s v="Single"/>
    <n v="18265"/>
    <n v="8733"/>
    <n v="6"/>
    <s v="No"/>
    <n v="12"/>
    <n v="3"/>
    <n v="3"/>
    <n v="0"/>
    <n v="25"/>
    <n v="3"/>
    <n v="4"/>
    <n v="1"/>
    <n v="0"/>
    <n v="0"/>
    <n v="0"/>
  </r>
  <r>
    <n v="29"/>
    <x v="1"/>
    <s v="Travel_Rarely"/>
    <n v="694"/>
    <x v="1"/>
    <n v="1"/>
    <n v="3"/>
    <s v="Life Sciences"/>
    <n v="1264"/>
    <n v="4"/>
    <s v="Female"/>
    <n v="87"/>
    <n v="2"/>
    <n v="4"/>
    <s v="Research Director"/>
    <n v="4"/>
    <s v="Divorced"/>
    <n v="16124"/>
    <n v="3423"/>
    <n v="3"/>
    <s v="No"/>
    <n v="14"/>
    <n v="3"/>
    <n v="2"/>
    <n v="2"/>
    <n v="9"/>
    <n v="2"/>
    <n v="2"/>
    <n v="7"/>
    <n v="7"/>
    <n v="1"/>
    <n v="7"/>
  </r>
  <r>
    <n v="34"/>
    <x v="1"/>
    <s v="Travel_Rarely"/>
    <n v="1320"/>
    <x v="1"/>
    <n v="20"/>
    <n v="3"/>
    <s v="Technical Degree"/>
    <n v="1265"/>
    <n v="3"/>
    <s v="Female"/>
    <n v="89"/>
    <n v="4"/>
    <n v="1"/>
    <s v="Research Scientist"/>
    <n v="3"/>
    <s v="Married"/>
    <n v="2585"/>
    <n v="21643"/>
    <n v="0"/>
    <s v="No"/>
    <n v="17"/>
    <n v="3"/>
    <n v="4"/>
    <n v="0"/>
    <n v="2"/>
    <n v="5"/>
    <n v="2"/>
    <n v="1"/>
    <n v="0"/>
    <n v="0"/>
    <n v="0"/>
  </r>
  <r>
    <n v="44"/>
    <x v="1"/>
    <s v="Travel_Rarely"/>
    <n v="1099"/>
    <x v="0"/>
    <n v="5"/>
    <n v="3"/>
    <s v="Marketing"/>
    <n v="1267"/>
    <n v="2"/>
    <s v="Male"/>
    <n v="88"/>
    <n v="3"/>
    <n v="5"/>
    <s v="Manager"/>
    <n v="2"/>
    <s v="Married"/>
    <n v="18213"/>
    <n v="8751"/>
    <n v="7"/>
    <s v="No"/>
    <n v="11"/>
    <n v="3"/>
    <n v="3"/>
    <n v="1"/>
    <n v="26"/>
    <n v="5"/>
    <n v="3"/>
    <n v="22"/>
    <n v="9"/>
    <n v="3"/>
    <n v="10"/>
  </r>
  <r>
    <n v="33"/>
    <x v="1"/>
    <s v="Travel_Rarely"/>
    <n v="536"/>
    <x v="0"/>
    <n v="10"/>
    <n v="5"/>
    <s v="Marketing"/>
    <n v="1268"/>
    <n v="4"/>
    <s v="Male"/>
    <n v="82"/>
    <n v="4"/>
    <n v="3"/>
    <s v="Sales Executive"/>
    <n v="3"/>
    <s v="Divorced"/>
    <n v="8380"/>
    <n v="21708"/>
    <n v="0"/>
    <s v="Yes"/>
    <n v="14"/>
    <n v="3"/>
    <n v="4"/>
    <n v="2"/>
    <n v="10"/>
    <n v="3"/>
    <n v="3"/>
    <n v="9"/>
    <n v="8"/>
    <n v="0"/>
    <n v="8"/>
  </r>
  <r>
    <n v="19"/>
    <x v="1"/>
    <s v="Travel_Rarely"/>
    <n v="265"/>
    <x v="1"/>
    <n v="25"/>
    <n v="3"/>
    <s v="Life Sciences"/>
    <n v="1269"/>
    <n v="2"/>
    <s v="Female"/>
    <n v="57"/>
    <n v="4"/>
    <n v="1"/>
    <s v="Research Scientist"/>
    <n v="4"/>
    <s v="Single"/>
    <n v="2994"/>
    <n v="21221"/>
    <n v="1"/>
    <s v="Yes"/>
    <n v="12"/>
    <n v="3"/>
    <n v="4"/>
    <n v="0"/>
    <n v="1"/>
    <n v="2"/>
    <n v="3"/>
    <n v="1"/>
    <n v="0"/>
    <n v="0"/>
    <n v="1"/>
  </r>
  <r>
    <n v="23"/>
    <x v="1"/>
    <s v="Travel_Rarely"/>
    <n v="373"/>
    <x v="1"/>
    <n v="1"/>
    <n v="2"/>
    <s v="Life Sciences"/>
    <n v="1270"/>
    <n v="4"/>
    <s v="Male"/>
    <n v="47"/>
    <n v="3"/>
    <n v="1"/>
    <s v="Research Scientist"/>
    <n v="3"/>
    <s v="Married"/>
    <n v="1223"/>
    <n v="16901"/>
    <n v="1"/>
    <s v="No"/>
    <n v="22"/>
    <n v="4"/>
    <n v="4"/>
    <n v="1"/>
    <n v="1"/>
    <n v="2"/>
    <n v="3"/>
    <n v="1"/>
    <n v="0"/>
    <n v="0"/>
    <n v="1"/>
  </r>
  <r>
    <n v="25"/>
    <x v="0"/>
    <s v="Travel_Frequently"/>
    <n v="599"/>
    <x v="0"/>
    <n v="24"/>
    <n v="1"/>
    <s v="Life Sciences"/>
    <n v="1273"/>
    <n v="3"/>
    <s v="Male"/>
    <n v="73"/>
    <n v="1"/>
    <n v="1"/>
    <s v="Sales Representative"/>
    <n v="4"/>
    <s v="Single"/>
    <n v="1118"/>
    <n v="8040"/>
    <n v="1"/>
    <s v="Yes"/>
    <n v="14"/>
    <n v="3"/>
    <n v="4"/>
    <n v="0"/>
    <n v="1"/>
    <n v="4"/>
    <n v="3"/>
    <n v="1"/>
    <n v="0"/>
    <n v="1"/>
    <n v="0"/>
  </r>
  <r>
    <n v="26"/>
    <x v="1"/>
    <s v="Travel_Rarely"/>
    <n v="583"/>
    <x v="1"/>
    <n v="4"/>
    <n v="2"/>
    <s v="Life Sciences"/>
    <n v="1275"/>
    <n v="3"/>
    <s v="Male"/>
    <n v="53"/>
    <n v="3"/>
    <n v="1"/>
    <s v="Research Scientist"/>
    <n v="4"/>
    <s v="Single"/>
    <n v="2875"/>
    <n v="9973"/>
    <n v="1"/>
    <s v="Yes"/>
    <n v="20"/>
    <n v="4"/>
    <n v="2"/>
    <n v="0"/>
    <n v="8"/>
    <n v="2"/>
    <n v="2"/>
    <n v="8"/>
    <n v="5"/>
    <n v="2"/>
    <n v="2"/>
  </r>
  <r>
    <n v="45"/>
    <x v="0"/>
    <s v="Travel_Rarely"/>
    <n v="1449"/>
    <x v="0"/>
    <n v="2"/>
    <n v="3"/>
    <s v="Marketing"/>
    <n v="1277"/>
    <n v="1"/>
    <s v="Female"/>
    <n v="94"/>
    <n v="1"/>
    <n v="5"/>
    <s v="Manager"/>
    <n v="2"/>
    <s v="Single"/>
    <n v="18824"/>
    <n v="2493"/>
    <n v="2"/>
    <s v="Yes"/>
    <n v="16"/>
    <n v="3"/>
    <n v="1"/>
    <n v="0"/>
    <n v="26"/>
    <n v="2"/>
    <n v="3"/>
    <n v="24"/>
    <n v="10"/>
    <n v="1"/>
    <n v="11"/>
  </r>
  <r>
    <n v="55"/>
    <x v="1"/>
    <s v="Non-Travel"/>
    <n v="177"/>
    <x v="1"/>
    <n v="8"/>
    <n v="1"/>
    <s v="Medical"/>
    <n v="1278"/>
    <n v="4"/>
    <s v="Male"/>
    <n v="37"/>
    <n v="2"/>
    <n v="4"/>
    <s v="Healthcare Representative"/>
    <n v="2"/>
    <s v="Divorced"/>
    <n v="13577"/>
    <n v="25592"/>
    <n v="1"/>
    <s v="Yes"/>
    <n v="15"/>
    <n v="3"/>
    <n v="4"/>
    <n v="1"/>
    <n v="34"/>
    <n v="3"/>
    <n v="3"/>
    <n v="33"/>
    <n v="9"/>
    <n v="15"/>
    <n v="0"/>
  </r>
  <r>
    <n v="21"/>
    <x v="0"/>
    <s v="Travel_Frequently"/>
    <n v="251"/>
    <x v="1"/>
    <n v="10"/>
    <n v="2"/>
    <s v="Life Sciences"/>
    <n v="1279"/>
    <n v="1"/>
    <s v="Female"/>
    <n v="45"/>
    <n v="2"/>
    <n v="1"/>
    <s v="Laboratory Technician"/>
    <n v="3"/>
    <s v="Single"/>
    <n v="2625"/>
    <n v="25308"/>
    <n v="1"/>
    <s v="No"/>
    <n v="20"/>
    <n v="4"/>
    <n v="3"/>
    <n v="0"/>
    <n v="2"/>
    <n v="2"/>
    <n v="1"/>
    <n v="2"/>
    <n v="2"/>
    <n v="2"/>
    <n v="2"/>
  </r>
  <r>
    <n v="46"/>
    <x v="1"/>
    <s v="Travel_Rarely"/>
    <n v="168"/>
    <x v="0"/>
    <n v="4"/>
    <n v="2"/>
    <s v="Marketing"/>
    <n v="1280"/>
    <n v="4"/>
    <s v="Female"/>
    <n v="33"/>
    <n v="2"/>
    <n v="5"/>
    <s v="Manager"/>
    <n v="2"/>
    <s v="Married"/>
    <n v="18789"/>
    <n v="9946"/>
    <n v="2"/>
    <s v="No"/>
    <n v="14"/>
    <n v="3"/>
    <n v="3"/>
    <n v="1"/>
    <n v="26"/>
    <n v="2"/>
    <n v="3"/>
    <n v="11"/>
    <n v="4"/>
    <n v="0"/>
    <n v="8"/>
  </r>
  <r>
    <n v="34"/>
    <x v="1"/>
    <s v="Travel_Rarely"/>
    <n v="131"/>
    <x v="0"/>
    <n v="2"/>
    <n v="3"/>
    <s v="Marketing"/>
    <n v="1281"/>
    <n v="3"/>
    <s v="Female"/>
    <n v="86"/>
    <n v="3"/>
    <n v="2"/>
    <s v="Sales Executive"/>
    <n v="1"/>
    <s v="Single"/>
    <n v="4538"/>
    <n v="6039"/>
    <n v="0"/>
    <s v="Yes"/>
    <n v="12"/>
    <n v="3"/>
    <n v="4"/>
    <n v="0"/>
    <n v="4"/>
    <n v="3"/>
    <n v="3"/>
    <n v="3"/>
    <n v="2"/>
    <n v="0"/>
    <n v="2"/>
  </r>
  <r>
    <n v="51"/>
    <x v="1"/>
    <s v="Travel_Frequently"/>
    <n v="237"/>
    <x v="0"/>
    <n v="9"/>
    <n v="3"/>
    <s v="Life Sciences"/>
    <n v="1282"/>
    <n v="4"/>
    <s v="Male"/>
    <n v="83"/>
    <n v="3"/>
    <n v="5"/>
    <s v="Manager"/>
    <n v="2"/>
    <s v="Divorced"/>
    <n v="19847"/>
    <n v="19196"/>
    <n v="4"/>
    <s v="Yes"/>
    <n v="24"/>
    <n v="4"/>
    <n v="1"/>
    <n v="1"/>
    <n v="31"/>
    <n v="5"/>
    <n v="2"/>
    <n v="29"/>
    <n v="10"/>
    <n v="11"/>
    <n v="10"/>
  </r>
  <r>
    <n v="59"/>
    <x v="1"/>
    <s v="Travel_Rarely"/>
    <n v="1429"/>
    <x v="1"/>
    <n v="18"/>
    <n v="4"/>
    <s v="Medical"/>
    <n v="1283"/>
    <n v="4"/>
    <s v="Male"/>
    <n v="67"/>
    <n v="3"/>
    <n v="3"/>
    <s v="Manufacturing Director"/>
    <n v="4"/>
    <s v="Single"/>
    <n v="10512"/>
    <n v="20002"/>
    <n v="6"/>
    <s v="No"/>
    <n v="12"/>
    <n v="3"/>
    <n v="4"/>
    <n v="0"/>
    <n v="25"/>
    <n v="6"/>
    <n v="2"/>
    <n v="9"/>
    <n v="7"/>
    <n v="5"/>
    <n v="4"/>
  </r>
  <r>
    <n v="34"/>
    <x v="1"/>
    <s v="Travel_Frequently"/>
    <n v="135"/>
    <x v="1"/>
    <n v="19"/>
    <n v="3"/>
    <s v="Medical"/>
    <n v="1285"/>
    <n v="3"/>
    <s v="Female"/>
    <n v="46"/>
    <n v="3"/>
    <n v="2"/>
    <s v="Laboratory Technician"/>
    <n v="2"/>
    <s v="Divorced"/>
    <n v="4444"/>
    <n v="22534"/>
    <n v="4"/>
    <s v="No"/>
    <n v="13"/>
    <n v="3"/>
    <n v="3"/>
    <n v="2"/>
    <n v="15"/>
    <n v="2"/>
    <n v="4"/>
    <n v="11"/>
    <n v="8"/>
    <n v="5"/>
    <n v="10"/>
  </r>
  <r>
    <n v="28"/>
    <x v="1"/>
    <s v="Travel_Frequently"/>
    <n v="791"/>
    <x v="1"/>
    <n v="1"/>
    <n v="4"/>
    <s v="Medical"/>
    <n v="1286"/>
    <n v="4"/>
    <s v="Male"/>
    <n v="44"/>
    <n v="3"/>
    <n v="1"/>
    <s v="Laboratory Technician"/>
    <n v="3"/>
    <s v="Single"/>
    <n v="2154"/>
    <n v="6842"/>
    <n v="0"/>
    <s v="Yes"/>
    <n v="11"/>
    <n v="3"/>
    <n v="3"/>
    <n v="0"/>
    <n v="5"/>
    <n v="2"/>
    <n v="2"/>
    <n v="4"/>
    <n v="2"/>
    <n v="0"/>
    <n v="2"/>
  </r>
  <r>
    <n v="44"/>
    <x v="1"/>
    <s v="Travel_Rarely"/>
    <n v="1199"/>
    <x v="1"/>
    <n v="4"/>
    <n v="2"/>
    <s v="Life Sciences"/>
    <n v="1288"/>
    <n v="3"/>
    <s v="Male"/>
    <n v="92"/>
    <n v="4"/>
    <n v="5"/>
    <s v="Manager"/>
    <n v="1"/>
    <s v="Divorced"/>
    <n v="19190"/>
    <n v="17477"/>
    <n v="1"/>
    <s v="No"/>
    <n v="14"/>
    <n v="3"/>
    <n v="4"/>
    <n v="2"/>
    <n v="26"/>
    <n v="4"/>
    <n v="2"/>
    <n v="25"/>
    <n v="9"/>
    <n v="14"/>
    <n v="13"/>
  </r>
  <r>
    <n v="34"/>
    <x v="1"/>
    <s v="Travel_Frequently"/>
    <n v="648"/>
    <x v="2"/>
    <n v="11"/>
    <n v="3"/>
    <s v="Life Sciences"/>
    <n v="1289"/>
    <n v="3"/>
    <s v="Male"/>
    <n v="56"/>
    <n v="2"/>
    <n v="2"/>
    <s v="Human Resources"/>
    <n v="2"/>
    <s v="Married"/>
    <n v="4490"/>
    <n v="21833"/>
    <n v="4"/>
    <s v="No"/>
    <n v="11"/>
    <n v="3"/>
    <n v="4"/>
    <n v="2"/>
    <n v="14"/>
    <n v="5"/>
    <n v="4"/>
    <n v="10"/>
    <n v="9"/>
    <n v="1"/>
    <n v="8"/>
  </r>
  <r>
    <n v="35"/>
    <x v="1"/>
    <s v="Travel_Rarely"/>
    <n v="735"/>
    <x v="1"/>
    <n v="6"/>
    <n v="1"/>
    <s v="Life Sciences"/>
    <n v="1291"/>
    <n v="3"/>
    <s v="Male"/>
    <n v="66"/>
    <n v="3"/>
    <n v="1"/>
    <s v="Research Scientist"/>
    <n v="3"/>
    <s v="Married"/>
    <n v="3506"/>
    <n v="6020"/>
    <n v="0"/>
    <s v="Yes"/>
    <n v="14"/>
    <n v="3"/>
    <n v="4"/>
    <n v="0"/>
    <n v="4"/>
    <n v="3"/>
    <n v="3"/>
    <n v="3"/>
    <n v="2"/>
    <n v="2"/>
    <n v="2"/>
  </r>
  <r>
    <n v="42"/>
    <x v="1"/>
    <s v="Travel_Rarely"/>
    <n v="603"/>
    <x v="1"/>
    <n v="7"/>
    <n v="4"/>
    <s v="Medical"/>
    <n v="1292"/>
    <n v="2"/>
    <s v="Female"/>
    <n v="78"/>
    <n v="4"/>
    <n v="2"/>
    <s v="Research Scientist"/>
    <n v="2"/>
    <s v="Married"/>
    <n v="2372"/>
    <n v="5628"/>
    <n v="6"/>
    <s v="Yes"/>
    <n v="16"/>
    <n v="3"/>
    <n v="4"/>
    <n v="0"/>
    <n v="18"/>
    <n v="2"/>
    <n v="3"/>
    <n v="1"/>
    <n v="0"/>
    <n v="0"/>
    <n v="0"/>
  </r>
  <r>
    <n v="43"/>
    <x v="1"/>
    <s v="Travel_Rarely"/>
    <n v="531"/>
    <x v="0"/>
    <n v="4"/>
    <n v="4"/>
    <s v="Marketing"/>
    <n v="1293"/>
    <n v="4"/>
    <s v="Female"/>
    <n v="56"/>
    <n v="2"/>
    <n v="3"/>
    <s v="Sales Executive"/>
    <n v="4"/>
    <s v="Single"/>
    <n v="10231"/>
    <n v="20364"/>
    <n v="3"/>
    <s v="No"/>
    <n v="14"/>
    <n v="3"/>
    <n v="4"/>
    <n v="0"/>
    <n v="23"/>
    <n v="3"/>
    <n v="4"/>
    <n v="21"/>
    <n v="7"/>
    <n v="15"/>
    <n v="17"/>
  </r>
  <r>
    <n v="36"/>
    <x v="1"/>
    <s v="Travel_Rarely"/>
    <n v="429"/>
    <x v="1"/>
    <n v="2"/>
    <n v="4"/>
    <s v="Life Sciences"/>
    <n v="1294"/>
    <n v="3"/>
    <s v="Female"/>
    <n v="53"/>
    <n v="3"/>
    <n v="2"/>
    <s v="Manufacturing Director"/>
    <n v="2"/>
    <s v="Single"/>
    <n v="5410"/>
    <n v="2323"/>
    <n v="9"/>
    <s v="Yes"/>
    <n v="11"/>
    <n v="3"/>
    <n v="4"/>
    <n v="0"/>
    <n v="18"/>
    <n v="2"/>
    <n v="3"/>
    <n v="16"/>
    <n v="14"/>
    <n v="5"/>
    <n v="12"/>
  </r>
  <r>
    <n v="44"/>
    <x v="0"/>
    <s v="Travel_Rarely"/>
    <n v="621"/>
    <x v="1"/>
    <n v="15"/>
    <n v="3"/>
    <s v="Medical"/>
    <n v="1295"/>
    <n v="1"/>
    <s v="Female"/>
    <n v="73"/>
    <n v="3"/>
    <n v="3"/>
    <s v="Healthcare Representative"/>
    <n v="4"/>
    <s v="Married"/>
    <n v="7978"/>
    <n v="14075"/>
    <n v="1"/>
    <s v="No"/>
    <n v="11"/>
    <n v="3"/>
    <n v="4"/>
    <n v="1"/>
    <n v="10"/>
    <n v="2"/>
    <n v="3"/>
    <n v="10"/>
    <n v="7"/>
    <n v="0"/>
    <n v="5"/>
  </r>
  <r>
    <n v="28"/>
    <x v="1"/>
    <s v="Travel_Frequently"/>
    <n v="193"/>
    <x v="1"/>
    <n v="2"/>
    <n v="3"/>
    <s v="Life Sciences"/>
    <n v="1296"/>
    <n v="4"/>
    <s v="Male"/>
    <n v="52"/>
    <n v="2"/>
    <n v="1"/>
    <s v="Laboratory Technician"/>
    <n v="4"/>
    <s v="Married"/>
    <n v="3867"/>
    <n v="14222"/>
    <n v="1"/>
    <s v="Yes"/>
    <n v="12"/>
    <n v="3"/>
    <n v="2"/>
    <n v="1"/>
    <n v="2"/>
    <n v="2"/>
    <n v="3"/>
    <n v="2"/>
    <n v="2"/>
    <n v="2"/>
    <n v="2"/>
  </r>
  <r>
    <n v="51"/>
    <x v="1"/>
    <s v="Travel_Frequently"/>
    <n v="968"/>
    <x v="1"/>
    <n v="6"/>
    <n v="2"/>
    <s v="Medical"/>
    <n v="1297"/>
    <n v="2"/>
    <s v="Female"/>
    <n v="40"/>
    <n v="2"/>
    <n v="1"/>
    <s v="Laboratory Technician"/>
    <n v="3"/>
    <s v="Single"/>
    <n v="2838"/>
    <n v="4257"/>
    <n v="0"/>
    <s v="No"/>
    <n v="14"/>
    <n v="3"/>
    <n v="2"/>
    <n v="0"/>
    <n v="8"/>
    <n v="6"/>
    <n v="2"/>
    <n v="7"/>
    <n v="0"/>
    <n v="7"/>
    <n v="7"/>
  </r>
  <r>
    <n v="30"/>
    <x v="1"/>
    <s v="Non-Travel"/>
    <n v="879"/>
    <x v="1"/>
    <n v="9"/>
    <n v="2"/>
    <s v="Medical"/>
    <n v="1298"/>
    <n v="3"/>
    <s v="Female"/>
    <n v="72"/>
    <n v="3"/>
    <n v="2"/>
    <s v="Manufacturing Director"/>
    <n v="3"/>
    <s v="Single"/>
    <n v="4695"/>
    <n v="12858"/>
    <n v="7"/>
    <s v="Yes"/>
    <n v="18"/>
    <n v="3"/>
    <n v="3"/>
    <n v="0"/>
    <n v="10"/>
    <n v="3"/>
    <n v="3"/>
    <n v="8"/>
    <n v="4"/>
    <n v="1"/>
    <n v="7"/>
  </r>
  <r>
    <n v="29"/>
    <x v="0"/>
    <s v="Travel_Rarely"/>
    <n v="806"/>
    <x v="1"/>
    <n v="7"/>
    <n v="3"/>
    <s v="Technical Degree"/>
    <n v="1299"/>
    <n v="2"/>
    <s v="Female"/>
    <n v="39"/>
    <n v="3"/>
    <n v="1"/>
    <s v="Laboratory Technician"/>
    <n v="3"/>
    <s v="Divorced"/>
    <n v="3339"/>
    <n v="17285"/>
    <n v="3"/>
    <s v="Yes"/>
    <n v="13"/>
    <n v="3"/>
    <n v="1"/>
    <n v="2"/>
    <n v="10"/>
    <n v="2"/>
    <n v="3"/>
    <n v="7"/>
    <n v="7"/>
    <n v="7"/>
    <n v="7"/>
  </r>
  <r>
    <n v="28"/>
    <x v="1"/>
    <s v="Travel_Rarely"/>
    <n v="640"/>
    <x v="1"/>
    <n v="1"/>
    <n v="3"/>
    <s v="Technical Degree"/>
    <n v="1301"/>
    <n v="4"/>
    <s v="Male"/>
    <n v="84"/>
    <n v="3"/>
    <n v="1"/>
    <s v="Research Scientist"/>
    <n v="1"/>
    <s v="Single"/>
    <n v="2080"/>
    <n v="4732"/>
    <n v="2"/>
    <s v="No"/>
    <n v="11"/>
    <n v="3"/>
    <n v="2"/>
    <n v="0"/>
    <n v="5"/>
    <n v="2"/>
    <n v="2"/>
    <n v="3"/>
    <n v="2"/>
    <n v="1"/>
    <n v="2"/>
  </r>
  <r>
    <n v="25"/>
    <x v="1"/>
    <s v="Travel_Rarely"/>
    <n v="266"/>
    <x v="1"/>
    <n v="1"/>
    <n v="3"/>
    <s v="Medical"/>
    <n v="1303"/>
    <n v="4"/>
    <s v="Female"/>
    <n v="40"/>
    <n v="3"/>
    <n v="1"/>
    <s v="Research Scientist"/>
    <n v="2"/>
    <s v="Single"/>
    <n v="2096"/>
    <n v="18830"/>
    <n v="1"/>
    <s v="No"/>
    <n v="18"/>
    <n v="3"/>
    <n v="4"/>
    <n v="0"/>
    <n v="2"/>
    <n v="3"/>
    <n v="2"/>
    <n v="2"/>
    <n v="2"/>
    <n v="2"/>
    <n v="1"/>
  </r>
  <r>
    <n v="32"/>
    <x v="1"/>
    <s v="Travel_Rarely"/>
    <n v="604"/>
    <x v="0"/>
    <n v="8"/>
    <n v="3"/>
    <s v="Medical"/>
    <n v="1304"/>
    <n v="3"/>
    <s v="Male"/>
    <n v="56"/>
    <n v="4"/>
    <n v="2"/>
    <s v="Sales Executive"/>
    <n v="4"/>
    <s v="Married"/>
    <n v="6209"/>
    <n v="11693"/>
    <n v="1"/>
    <s v="No"/>
    <n v="15"/>
    <n v="3"/>
    <n v="3"/>
    <n v="2"/>
    <n v="10"/>
    <n v="4"/>
    <n v="4"/>
    <n v="10"/>
    <n v="7"/>
    <n v="0"/>
    <n v="8"/>
  </r>
  <r>
    <n v="45"/>
    <x v="1"/>
    <s v="Travel_Frequently"/>
    <n v="364"/>
    <x v="1"/>
    <n v="25"/>
    <n v="3"/>
    <s v="Medical"/>
    <n v="1306"/>
    <n v="2"/>
    <s v="Female"/>
    <n v="83"/>
    <n v="3"/>
    <n v="5"/>
    <s v="Manager"/>
    <n v="2"/>
    <s v="Single"/>
    <n v="18061"/>
    <n v="13035"/>
    <n v="3"/>
    <s v="No"/>
    <n v="22"/>
    <n v="4"/>
    <n v="3"/>
    <n v="0"/>
    <n v="22"/>
    <n v="4"/>
    <n v="3"/>
    <n v="0"/>
    <n v="0"/>
    <n v="0"/>
    <n v="0"/>
  </r>
  <r>
    <n v="39"/>
    <x v="1"/>
    <s v="Travel_Rarely"/>
    <n v="412"/>
    <x v="1"/>
    <n v="13"/>
    <n v="4"/>
    <s v="Medical"/>
    <n v="1307"/>
    <n v="3"/>
    <s v="Female"/>
    <n v="94"/>
    <n v="2"/>
    <n v="4"/>
    <s v="Manager"/>
    <n v="2"/>
    <s v="Divorced"/>
    <n v="17123"/>
    <n v="17334"/>
    <n v="6"/>
    <s v="Yes"/>
    <n v="13"/>
    <n v="3"/>
    <n v="4"/>
    <n v="2"/>
    <n v="21"/>
    <n v="4"/>
    <n v="3"/>
    <n v="19"/>
    <n v="9"/>
    <n v="15"/>
    <n v="2"/>
  </r>
  <r>
    <n v="58"/>
    <x v="1"/>
    <s v="Travel_Rarely"/>
    <n v="848"/>
    <x v="1"/>
    <n v="23"/>
    <n v="4"/>
    <s v="Life Sciences"/>
    <n v="1308"/>
    <n v="1"/>
    <s v="Male"/>
    <n v="88"/>
    <n v="3"/>
    <n v="1"/>
    <s v="Research Scientist"/>
    <n v="3"/>
    <s v="Divorced"/>
    <n v="2372"/>
    <n v="26076"/>
    <n v="1"/>
    <s v="No"/>
    <n v="12"/>
    <n v="3"/>
    <n v="4"/>
    <n v="2"/>
    <n v="2"/>
    <n v="3"/>
    <n v="3"/>
    <n v="2"/>
    <n v="2"/>
    <n v="2"/>
    <n v="2"/>
  </r>
  <r>
    <n v="32"/>
    <x v="0"/>
    <s v="Travel_Rarely"/>
    <n v="1089"/>
    <x v="1"/>
    <n v="7"/>
    <n v="2"/>
    <s v="Life Sciences"/>
    <n v="1309"/>
    <n v="4"/>
    <s v="Male"/>
    <n v="79"/>
    <n v="3"/>
    <n v="2"/>
    <s v="Laboratory Technician"/>
    <n v="3"/>
    <s v="Married"/>
    <n v="4883"/>
    <n v="22845"/>
    <n v="1"/>
    <s v="No"/>
    <n v="18"/>
    <n v="3"/>
    <n v="1"/>
    <n v="1"/>
    <n v="10"/>
    <n v="3"/>
    <n v="3"/>
    <n v="10"/>
    <n v="4"/>
    <n v="1"/>
    <n v="1"/>
  </r>
  <r>
    <n v="39"/>
    <x v="0"/>
    <s v="Travel_Rarely"/>
    <n v="360"/>
    <x v="1"/>
    <n v="23"/>
    <n v="3"/>
    <s v="Medical"/>
    <n v="1310"/>
    <n v="3"/>
    <s v="Male"/>
    <n v="93"/>
    <n v="3"/>
    <n v="1"/>
    <s v="Research Scientist"/>
    <n v="1"/>
    <s v="Single"/>
    <n v="3904"/>
    <n v="22154"/>
    <n v="0"/>
    <s v="No"/>
    <n v="13"/>
    <n v="3"/>
    <n v="1"/>
    <n v="0"/>
    <n v="6"/>
    <n v="2"/>
    <n v="3"/>
    <n v="5"/>
    <n v="2"/>
    <n v="0"/>
    <n v="3"/>
  </r>
  <r>
    <n v="30"/>
    <x v="1"/>
    <s v="Travel_Rarely"/>
    <n v="1138"/>
    <x v="1"/>
    <n v="6"/>
    <n v="3"/>
    <s v="Technical Degree"/>
    <n v="1311"/>
    <n v="1"/>
    <s v="Female"/>
    <n v="48"/>
    <n v="2"/>
    <n v="2"/>
    <s v="Laboratory Technician"/>
    <n v="4"/>
    <s v="Married"/>
    <n v="4627"/>
    <n v="23631"/>
    <n v="0"/>
    <s v="No"/>
    <n v="12"/>
    <n v="3"/>
    <n v="1"/>
    <n v="1"/>
    <n v="10"/>
    <n v="6"/>
    <n v="3"/>
    <n v="9"/>
    <n v="2"/>
    <n v="6"/>
    <n v="7"/>
  </r>
  <r>
    <n v="36"/>
    <x v="1"/>
    <s v="Travel_Rarely"/>
    <n v="325"/>
    <x v="1"/>
    <n v="10"/>
    <n v="4"/>
    <s v="Technical Degree"/>
    <n v="1312"/>
    <n v="4"/>
    <s v="Female"/>
    <n v="63"/>
    <n v="3"/>
    <n v="3"/>
    <s v="Healthcare Representative"/>
    <n v="3"/>
    <s v="Married"/>
    <n v="7094"/>
    <n v="5747"/>
    <n v="3"/>
    <s v="No"/>
    <n v="12"/>
    <n v="3"/>
    <n v="1"/>
    <n v="0"/>
    <n v="10"/>
    <n v="0"/>
    <n v="3"/>
    <n v="7"/>
    <n v="7"/>
    <n v="1"/>
    <n v="7"/>
  </r>
  <r>
    <n v="46"/>
    <x v="1"/>
    <s v="Travel_Rarely"/>
    <n v="991"/>
    <x v="2"/>
    <n v="1"/>
    <n v="2"/>
    <s v="Life Sciences"/>
    <n v="1314"/>
    <n v="4"/>
    <s v="Female"/>
    <n v="44"/>
    <n v="3"/>
    <n v="1"/>
    <s v="Human Resources"/>
    <n v="1"/>
    <s v="Single"/>
    <n v="3423"/>
    <n v="22957"/>
    <n v="6"/>
    <s v="No"/>
    <n v="12"/>
    <n v="3"/>
    <n v="3"/>
    <n v="0"/>
    <n v="10"/>
    <n v="3"/>
    <n v="4"/>
    <n v="7"/>
    <n v="6"/>
    <n v="5"/>
    <n v="7"/>
  </r>
  <r>
    <n v="28"/>
    <x v="1"/>
    <s v="Non-Travel"/>
    <n v="1476"/>
    <x v="1"/>
    <n v="1"/>
    <n v="3"/>
    <s v="Life Sciences"/>
    <n v="1315"/>
    <n v="3"/>
    <s v="Female"/>
    <n v="55"/>
    <n v="1"/>
    <n v="2"/>
    <s v="Laboratory Technician"/>
    <n v="4"/>
    <s v="Married"/>
    <n v="6674"/>
    <n v="16392"/>
    <n v="0"/>
    <s v="No"/>
    <n v="11"/>
    <n v="3"/>
    <n v="1"/>
    <n v="3"/>
    <n v="10"/>
    <n v="6"/>
    <n v="3"/>
    <n v="9"/>
    <n v="8"/>
    <n v="7"/>
    <n v="5"/>
  </r>
  <r>
    <n v="50"/>
    <x v="1"/>
    <s v="Travel_Rarely"/>
    <n v="1322"/>
    <x v="1"/>
    <n v="28"/>
    <n v="3"/>
    <s v="Life Sciences"/>
    <n v="1317"/>
    <n v="4"/>
    <s v="Female"/>
    <n v="43"/>
    <n v="3"/>
    <n v="4"/>
    <s v="Research Director"/>
    <n v="1"/>
    <s v="Married"/>
    <n v="16880"/>
    <n v="22422"/>
    <n v="4"/>
    <s v="Yes"/>
    <n v="11"/>
    <n v="3"/>
    <n v="2"/>
    <n v="0"/>
    <n v="25"/>
    <n v="2"/>
    <n v="3"/>
    <n v="3"/>
    <n v="2"/>
    <n v="1"/>
    <n v="2"/>
  </r>
  <r>
    <n v="40"/>
    <x v="0"/>
    <s v="Travel_Rarely"/>
    <n v="299"/>
    <x v="0"/>
    <n v="25"/>
    <n v="4"/>
    <s v="Marketing"/>
    <n v="1318"/>
    <n v="4"/>
    <s v="Male"/>
    <n v="57"/>
    <n v="2"/>
    <n v="3"/>
    <s v="Sales Executive"/>
    <n v="2"/>
    <s v="Single"/>
    <n v="9094"/>
    <n v="17235"/>
    <n v="2"/>
    <s v="Yes"/>
    <n v="12"/>
    <n v="3"/>
    <n v="3"/>
    <n v="0"/>
    <n v="9"/>
    <n v="2"/>
    <n v="3"/>
    <n v="5"/>
    <n v="4"/>
    <n v="1"/>
    <n v="0"/>
  </r>
  <r>
    <n v="52"/>
    <x v="0"/>
    <s v="Travel_Rarely"/>
    <n v="1030"/>
    <x v="0"/>
    <n v="5"/>
    <n v="3"/>
    <s v="Life Sciences"/>
    <n v="1319"/>
    <n v="2"/>
    <s v="Male"/>
    <n v="64"/>
    <n v="3"/>
    <n v="3"/>
    <s v="Sales Executive"/>
    <n v="2"/>
    <s v="Single"/>
    <n v="8446"/>
    <n v="21534"/>
    <n v="9"/>
    <s v="Yes"/>
    <n v="19"/>
    <n v="3"/>
    <n v="3"/>
    <n v="0"/>
    <n v="10"/>
    <n v="2"/>
    <n v="2"/>
    <n v="8"/>
    <n v="7"/>
    <n v="7"/>
    <n v="7"/>
  </r>
  <r>
    <n v="30"/>
    <x v="1"/>
    <s v="Travel_Rarely"/>
    <n v="634"/>
    <x v="1"/>
    <n v="17"/>
    <n v="4"/>
    <s v="Medical"/>
    <n v="1321"/>
    <n v="2"/>
    <s v="Female"/>
    <n v="95"/>
    <n v="3"/>
    <n v="3"/>
    <s v="Manager"/>
    <n v="1"/>
    <s v="Married"/>
    <n v="11916"/>
    <n v="25927"/>
    <n v="1"/>
    <s v="Yes"/>
    <n v="23"/>
    <n v="4"/>
    <n v="4"/>
    <n v="2"/>
    <n v="9"/>
    <n v="2"/>
    <n v="3"/>
    <n v="9"/>
    <n v="1"/>
    <n v="0"/>
    <n v="8"/>
  </r>
  <r>
    <n v="39"/>
    <x v="1"/>
    <s v="Travel_Rarely"/>
    <n v="524"/>
    <x v="1"/>
    <n v="18"/>
    <n v="2"/>
    <s v="Life Sciences"/>
    <n v="1322"/>
    <n v="1"/>
    <s v="Male"/>
    <n v="32"/>
    <n v="3"/>
    <n v="2"/>
    <s v="Manufacturing Director"/>
    <n v="3"/>
    <s v="Single"/>
    <n v="4534"/>
    <n v="13352"/>
    <n v="0"/>
    <s v="No"/>
    <n v="11"/>
    <n v="3"/>
    <n v="1"/>
    <n v="0"/>
    <n v="9"/>
    <n v="6"/>
    <n v="3"/>
    <n v="8"/>
    <n v="7"/>
    <n v="1"/>
    <n v="7"/>
  </r>
  <r>
    <n v="31"/>
    <x v="1"/>
    <s v="Non-Travel"/>
    <n v="587"/>
    <x v="0"/>
    <n v="2"/>
    <n v="4"/>
    <s v="Life Sciences"/>
    <n v="1324"/>
    <n v="4"/>
    <s v="Female"/>
    <n v="57"/>
    <n v="3"/>
    <n v="3"/>
    <s v="Sales Executive"/>
    <n v="3"/>
    <s v="Divorced"/>
    <n v="9852"/>
    <n v="8935"/>
    <n v="1"/>
    <s v="Yes"/>
    <n v="19"/>
    <n v="3"/>
    <n v="1"/>
    <n v="1"/>
    <n v="10"/>
    <n v="5"/>
    <n v="2"/>
    <n v="10"/>
    <n v="8"/>
    <n v="9"/>
    <n v="6"/>
  </r>
  <r>
    <n v="41"/>
    <x v="1"/>
    <s v="Non-Travel"/>
    <n v="256"/>
    <x v="0"/>
    <n v="10"/>
    <n v="2"/>
    <s v="Medical"/>
    <n v="1329"/>
    <n v="3"/>
    <s v="Male"/>
    <n v="40"/>
    <n v="1"/>
    <n v="2"/>
    <s v="Sales Executive"/>
    <n v="2"/>
    <s v="Single"/>
    <n v="6151"/>
    <n v="22074"/>
    <n v="1"/>
    <s v="No"/>
    <n v="13"/>
    <n v="3"/>
    <n v="1"/>
    <n v="0"/>
    <n v="19"/>
    <n v="4"/>
    <n v="3"/>
    <n v="19"/>
    <n v="2"/>
    <n v="11"/>
    <n v="9"/>
  </r>
  <r>
    <n v="31"/>
    <x v="0"/>
    <s v="Travel_Frequently"/>
    <n v="1060"/>
    <x v="0"/>
    <n v="1"/>
    <n v="3"/>
    <s v="Life Sciences"/>
    <n v="1331"/>
    <n v="4"/>
    <s v="Female"/>
    <n v="54"/>
    <n v="3"/>
    <n v="1"/>
    <s v="Sales Representative"/>
    <n v="2"/>
    <s v="Single"/>
    <n v="2302"/>
    <n v="8319"/>
    <n v="1"/>
    <s v="Yes"/>
    <n v="11"/>
    <n v="3"/>
    <n v="1"/>
    <n v="0"/>
    <n v="3"/>
    <n v="2"/>
    <n v="4"/>
    <n v="3"/>
    <n v="2"/>
    <n v="2"/>
    <n v="2"/>
  </r>
  <r>
    <n v="44"/>
    <x v="0"/>
    <s v="Travel_Rarely"/>
    <n v="935"/>
    <x v="1"/>
    <n v="3"/>
    <n v="3"/>
    <s v="Life Sciences"/>
    <n v="1333"/>
    <n v="1"/>
    <s v="Male"/>
    <n v="89"/>
    <n v="3"/>
    <n v="1"/>
    <s v="Laboratory Technician"/>
    <n v="1"/>
    <s v="Married"/>
    <n v="2362"/>
    <n v="14669"/>
    <n v="4"/>
    <s v="No"/>
    <n v="12"/>
    <n v="3"/>
    <n v="3"/>
    <n v="0"/>
    <n v="10"/>
    <n v="4"/>
    <n v="4"/>
    <n v="3"/>
    <n v="2"/>
    <n v="1"/>
    <n v="2"/>
  </r>
  <r>
    <n v="42"/>
    <x v="1"/>
    <s v="Non-Travel"/>
    <n v="495"/>
    <x v="1"/>
    <n v="2"/>
    <n v="1"/>
    <s v="Life Sciences"/>
    <n v="1334"/>
    <n v="3"/>
    <s v="Male"/>
    <n v="37"/>
    <n v="3"/>
    <n v="4"/>
    <s v="Manager"/>
    <n v="3"/>
    <s v="Married"/>
    <n v="17861"/>
    <n v="26582"/>
    <n v="0"/>
    <s v="Yes"/>
    <n v="13"/>
    <n v="3"/>
    <n v="4"/>
    <n v="0"/>
    <n v="21"/>
    <n v="3"/>
    <n v="2"/>
    <n v="20"/>
    <n v="8"/>
    <n v="2"/>
    <n v="10"/>
  </r>
  <r>
    <n v="55"/>
    <x v="1"/>
    <s v="Travel_Rarely"/>
    <n v="282"/>
    <x v="1"/>
    <n v="2"/>
    <n v="2"/>
    <s v="Medical"/>
    <n v="1336"/>
    <n v="4"/>
    <s v="Female"/>
    <n v="58"/>
    <n v="1"/>
    <n v="5"/>
    <s v="Manager"/>
    <n v="3"/>
    <s v="Married"/>
    <n v="19187"/>
    <n v="6992"/>
    <n v="4"/>
    <s v="No"/>
    <n v="14"/>
    <n v="3"/>
    <n v="4"/>
    <n v="1"/>
    <n v="23"/>
    <n v="5"/>
    <n v="3"/>
    <n v="19"/>
    <n v="9"/>
    <n v="9"/>
    <n v="11"/>
  </r>
  <r>
    <n v="56"/>
    <x v="1"/>
    <s v="Travel_Rarely"/>
    <n v="206"/>
    <x v="2"/>
    <n v="8"/>
    <n v="4"/>
    <s v="Life Sciences"/>
    <n v="1338"/>
    <n v="4"/>
    <s v="Male"/>
    <n v="99"/>
    <n v="3"/>
    <n v="5"/>
    <s v="Manager"/>
    <n v="2"/>
    <s v="Single"/>
    <n v="19717"/>
    <n v="4022"/>
    <n v="6"/>
    <s v="No"/>
    <n v="14"/>
    <n v="3"/>
    <n v="1"/>
    <n v="0"/>
    <n v="36"/>
    <n v="4"/>
    <n v="3"/>
    <n v="7"/>
    <n v="3"/>
    <n v="7"/>
    <n v="7"/>
  </r>
  <r>
    <n v="40"/>
    <x v="1"/>
    <s v="Non-Travel"/>
    <n v="458"/>
    <x v="1"/>
    <n v="16"/>
    <n v="2"/>
    <s v="Life Sciences"/>
    <n v="1340"/>
    <n v="3"/>
    <s v="Male"/>
    <n v="74"/>
    <n v="3"/>
    <n v="1"/>
    <s v="Research Scientist"/>
    <n v="3"/>
    <s v="Divorced"/>
    <n v="3544"/>
    <n v="8532"/>
    <n v="9"/>
    <s v="No"/>
    <n v="16"/>
    <n v="3"/>
    <n v="2"/>
    <n v="1"/>
    <n v="6"/>
    <n v="0"/>
    <n v="3"/>
    <n v="4"/>
    <n v="2"/>
    <n v="0"/>
    <n v="0"/>
  </r>
  <r>
    <n v="34"/>
    <x v="1"/>
    <s v="Travel_Rarely"/>
    <n v="943"/>
    <x v="1"/>
    <n v="9"/>
    <n v="3"/>
    <s v="Life Sciences"/>
    <n v="1344"/>
    <n v="4"/>
    <s v="Male"/>
    <n v="86"/>
    <n v="3"/>
    <n v="3"/>
    <s v="Healthcare Representative"/>
    <n v="4"/>
    <s v="Divorced"/>
    <n v="8500"/>
    <n v="5494"/>
    <n v="0"/>
    <s v="No"/>
    <n v="11"/>
    <n v="3"/>
    <n v="4"/>
    <n v="1"/>
    <n v="10"/>
    <n v="0"/>
    <n v="2"/>
    <n v="9"/>
    <n v="7"/>
    <n v="1"/>
    <n v="6"/>
  </r>
  <r>
    <n v="40"/>
    <x v="1"/>
    <s v="Travel_Rarely"/>
    <n v="523"/>
    <x v="1"/>
    <n v="2"/>
    <n v="3"/>
    <s v="Life Sciences"/>
    <n v="1346"/>
    <n v="3"/>
    <s v="Male"/>
    <n v="98"/>
    <n v="3"/>
    <n v="2"/>
    <s v="Research Scientist"/>
    <n v="4"/>
    <s v="Single"/>
    <n v="4661"/>
    <n v="22455"/>
    <n v="1"/>
    <s v="No"/>
    <n v="13"/>
    <n v="3"/>
    <n v="3"/>
    <n v="0"/>
    <n v="9"/>
    <n v="4"/>
    <n v="3"/>
    <n v="9"/>
    <n v="8"/>
    <n v="8"/>
    <n v="8"/>
  </r>
  <r>
    <n v="41"/>
    <x v="1"/>
    <s v="Travel_Frequently"/>
    <n v="1018"/>
    <x v="0"/>
    <n v="1"/>
    <n v="3"/>
    <s v="Marketing"/>
    <n v="1349"/>
    <n v="3"/>
    <s v="Female"/>
    <n v="66"/>
    <n v="3"/>
    <n v="2"/>
    <s v="Sales Executive"/>
    <n v="1"/>
    <s v="Divorced"/>
    <n v="4103"/>
    <n v="4297"/>
    <n v="0"/>
    <s v="No"/>
    <n v="17"/>
    <n v="3"/>
    <n v="4"/>
    <n v="1"/>
    <n v="10"/>
    <n v="2"/>
    <n v="3"/>
    <n v="9"/>
    <n v="3"/>
    <n v="1"/>
    <n v="7"/>
  </r>
  <r>
    <n v="35"/>
    <x v="1"/>
    <s v="Travel_Frequently"/>
    <n v="482"/>
    <x v="1"/>
    <n v="4"/>
    <n v="4"/>
    <s v="Life Sciences"/>
    <n v="1350"/>
    <n v="3"/>
    <s v="Male"/>
    <n v="87"/>
    <n v="3"/>
    <n v="2"/>
    <s v="Research Scientist"/>
    <n v="3"/>
    <s v="Single"/>
    <n v="4249"/>
    <n v="2690"/>
    <n v="1"/>
    <s v="Yes"/>
    <n v="11"/>
    <n v="3"/>
    <n v="2"/>
    <n v="0"/>
    <n v="9"/>
    <n v="3"/>
    <n v="3"/>
    <n v="9"/>
    <n v="6"/>
    <n v="1"/>
    <n v="1"/>
  </r>
  <r>
    <n v="51"/>
    <x v="1"/>
    <s v="Travel_Rarely"/>
    <n v="770"/>
    <x v="2"/>
    <n v="5"/>
    <n v="3"/>
    <s v="Life Sciences"/>
    <n v="1352"/>
    <n v="3"/>
    <s v="Male"/>
    <n v="84"/>
    <n v="3"/>
    <n v="4"/>
    <s v="Manager"/>
    <n v="2"/>
    <s v="Divorced"/>
    <n v="14026"/>
    <n v="17588"/>
    <n v="1"/>
    <s v="Yes"/>
    <n v="11"/>
    <n v="3"/>
    <n v="2"/>
    <n v="1"/>
    <n v="33"/>
    <n v="2"/>
    <n v="3"/>
    <n v="33"/>
    <n v="9"/>
    <n v="0"/>
    <n v="10"/>
  </r>
  <r>
    <n v="38"/>
    <x v="1"/>
    <s v="Travel_Rarely"/>
    <n v="1009"/>
    <x v="0"/>
    <n v="2"/>
    <n v="2"/>
    <s v="Life Sciences"/>
    <n v="1355"/>
    <n v="2"/>
    <s v="Female"/>
    <n v="31"/>
    <n v="3"/>
    <n v="2"/>
    <s v="Sales Executive"/>
    <n v="1"/>
    <s v="Divorced"/>
    <n v="6893"/>
    <n v="19461"/>
    <n v="3"/>
    <s v="No"/>
    <n v="15"/>
    <n v="3"/>
    <n v="4"/>
    <n v="1"/>
    <n v="11"/>
    <n v="3"/>
    <n v="3"/>
    <n v="7"/>
    <n v="7"/>
    <n v="1"/>
    <n v="7"/>
  </r>
  <r>
    <n v="34"/>
    <x v="1"/>
    <s v="Travel_Rarely"/>
    <n v="507"/>
    <x v="0"/>
    <n v="15"/>
    <n v="2"/>
    <s v="Medical"/>
    <n v="1356"/>
    <n v="3"/>
    <s v="Female"/>
    <n v="66"/>
    <n v="3"/>
    <n v="2"/>
    <s v="Sales Executive"/>
    <n v="1"/>
    <s v="Single"/>
    <n v="6125"/>
    <n v="23553"/>
    <n v="1"/>
    <s v="No"/>
    <n v="12"/>
    <n v="3"/>
    <n v="4"/>
    <n v="0"/>
    <n v="10"/>
    <n v="6"/>
    <n v="4"/>
    <n v="10"/>
    <n v="8"/>
    <n v="9"/>
    <n v="6"/>
  </r>
  <r>
    <n v="25"/>
    <x v="1"/>
    <s v="Travel_Rarely"/>
    <n v="882"/>
    <x v="1"/>
    <n v="19"/>
    <n v="1"/>
    <s v="Medical"/>
    <n v="1358"/>
    <n v="4"/>
    <s v="Male"/>
    <n v="67"/>
    <n v="3"/>
    <n v="1"/>
    <s v="Laboratory Technician"/>
    <n v="4"/>
    <s v="Married"/>
    <n v="3669"/>
    <n v="9075"/>
    <n v="3"/>
    <s v="No"/>
    <n v="11"/>
    <n v="3"/>
    <n v="3"/>
    <n v="3"/>
    <n v="7"/>
    <n v="6"/>
    <n v="2"/>
    <n v="3"/>
    <n v="2"/>
    <n v="1"/>
    <n v="2"/>
  </r>
  <r>
    <n v="58"/>
    <x v="0"/>
    <s v="Travel_Rarely"/>
    <n v="601"/>
    <x v="1"/>
    <n v="7"/>
    <n v="4"/>
    <s v="Medical"/>
    <n v="1360"/>
    <n v="3"/>
    <s v="Female"/>
    <n v="53"/>
    <n v="2"/>
    <n v="3"/>
    <s v="Manufacturing Director"/>
    <n v="1"/>
    <s v="Married"/>
    <n v="10008"/>
    <n v="12023"/>
    <n v="7"/>
    <s v="Yes"/>
    <n v="14"/>
    <n v="3"/>
    <n v="4"/>
    <n v="0"/>
    <n v="31"/>
    <n v="0"/>
    <n v="2"/>
    <n v="10"/>
    <n v="9"/>
    <n v="5"/>
    <n v="9"/>
  </r>
  <r>
    <n v="40"/>
    <x v="1"/>
    <s v="Travel_Rarely"/>
    <n v="329"/>
    <x v="1"/>
    <n v="1"/>
    <n v="4"/>
    <s v="Life Sciences"/>
    <n v="1361"/>
    <n v="2"/>
    <s v="Male"/>
    <n v="88"/>
    <n v="3"/>
    <n v="1"/>
    <s v="Laboratory Technician"/>
    <n v="2"/>
    <s v="Married"/>
    <n v="2387"/>
    <n v="6762"/>
    <n v="3"/>
    <s v="No"/>
    <n v="22"/>
    <n v="4"/>
    <n v="3"/>
    <n v="1"/>
    <n v="7"/>
    <n v="3"/>
    <n v="3"/>
    <n v="4"/>
    <n v="2"/>
    <n v="0"/>
    <n v="3"/>
  </r>
  <r>
    <n v="36"/>
    <x v="1"/>
    <s v="Travel_Frequently"/>
    <n v="607"/>
    <x v="0"/>
    <n v="7"/>
    <n v="3"/>
    <s v="Marketing"/>
    <n v="1362"/>
    <n v="1"/>
    <s v="Female"/>
    <n v="83"/>
    <n v="4"/>
    <n v="2"/>
    <s v="Sales Executive"/>
    <n v="1"/>
    <s v="Married"/>
    <n v="4639"/>
    <n v="2261"/>
    <n v="2"/>
    <s v="No"/>
    <n v="16"/>
    <n v="3"/>
    <n v="4"/>
    <n v="1"/>
    <n v="17"/>
    <n v="2"/>
    <n v="2"/>
    <n v="15"/>
    <n v="7"/>
    <n v="6"/>
    <n v="13"/>
  </r>
  <r>
    <n v="48"/>
    <x v="1"/>
    <s v="Travel_Rarely"/>
    <n v="855"/>
    <x v="1"/>
    <n v="4"/>
    <n v="3"/>
    <s v="Life Sciences"/>
    <n v="1363"/>
    <n v="4"/>
    <s v="Male"/>
    <n v="54"/>
    <n v="3"/>
    <n v="3"/>
    <s v="Manufacturing Director"/>
    <n v="4"/>
    <s v="Single"/>
    <n v="7898"/>
    <n v="18706"/>
    <n v="1"/>
    <s v="No"/>
    <n v="11"/>
    <n v="3"/>
    <n v="3"/>
    <n v="0"/>
    <n v="11"/>
    <n v="2"/>
    <n v="3"/>
    <n v="10"/>
    <n v="9"/>
    <n v="0"/>
    <n v="8"/>
  </r>
  <r>
    <n v="27"/>
    <x v="1"/>
    <s v="Travel_Rarely"/>
    <n v="1291"/>
    <x v="0"/>
    <n v="11"/>
    <n v="3"/>
    <s v="Medical"/>
    <n v="1364"/>
    <n v="3"/>
    <s v="Female"/>
    <n v="98"/>
    <n v="4"/>
    <n v="1"/>
    <s v="Sales Representative"/>
    <n v="4"/>
    <s v="Married"/>
    <n v="2534"/>
    <n v="6527"/>
    <n v="8"/>
    <s v="No"/>
    <n v="14"/>
    <n v="3"/>
    <n v="2"/>
    <n v="1"/>
    <n v="5"/>
    <n v="4"/>
    <n v="3"/>
    <n v="1"/>
    <n v="0"/>
    <n v="0"/>
    <n v="0"/>
  </r>
  <r>
    <n v="51"/>
    <x v="1"/>
    <s v="Travel_Rarely"/>
    <n v="1405"/>
    <x v="1"/>
    <n v="11"/>
    <n v="2"/>
    <s v="Technical Degree"/>
    <n v="1367"/>
    <n v="4"/>
    <s v="Female"/>
    <n v="82"/>
    <n v="2"/>
    <n v="4"/>
    <s v="Manufacturing Director"/>
    <n v="2"/>
    <s v="Single"/>
    <n v="13142"/>
    <n v="24439"/>
    <n v="3"/>
    <s v="No"/>
    <n v="16"/>
    <n v="3"/>
    <n v="2"/>
    <n v="0"/>
    <n v="29"/>
    <n v="1"/>
    <n v="2"/>
    <n v="5"/>
    <n v="2"/>
    <n v="0"/>
    <n v="3"/>
  </r>
  <r>
    <n v="18"/>
    <x v="1"/>
    <s v="Non-Travel"/>
    <n v="1124"/>
    <x v="1"/>
    <n v="1"/>
    <n v="3"/>
    <s v="Life Sciences"/>
    <n v="1368"/>
    <n v="4"/>
    <s v="Female"/>
    <n v="97"/>
    <n v="3"/>
    <n v="1"/>
    <s v="Laboratory Technician"/>
    <n v="4"/>
    <s v="Single"/>
    <n v="1611"/>
    <n v="19305"/>
    <n v="1"/>
    <s v="No"/>
    <n v="15"/>
    <n v="3"/>
    <n v="3"/>
    <n v="0"/>
    <n v="0"/>
    <n v="5"/>
    <n v="4"/>
    <n v="0"/>
    <n v="0"/>
    <n v="0"/>
    <n v="0"/>
  </r>
  <r>
    <n v="35"/>
    <x v="1"/>
    <s v="Travel_Rarely"/>
    <n v="817"/>
    <x v="1"/>
    <n v="1"/>
    <n v="3"/>
    <s v="Medical"/>
    <n v="1369"/>
    <n v="4"/>
    <s v="Female"/>
    <n v="60"/>
    <n v="2"/>
    <n v="2"/>
    <s v="Laboratory Technician"/>
    <n v="4"/>
    <s v="Married"/>
    <n v="5363"/>
    <n v="10846"/>
    <n v="0"/>
    <s v="No"/>
    <n v="12"/>
    <n v="3"/>
    <n v="2"/>
    <n v="1"/>
    <n v="10"/>
    <n v="0"/>
    <n v="3"/>
    <n v="9"/>
    <n v="7"/>
    <n v="0"/>
    <n v="0"/>
  </r>
  <r>
    <n v="27"/>
    <x v="1"/>
    <s v="Travel_Frequently"/>
    <n v="793"/>
    <x v="0"/>
    <n v="2"/>
    <n v="1"/>
    <s v="Life Sciences"/>
    <n v="1371"/>
    <n v="4"/>
    <s v="Male"/>
    <n v="43"/>
    <n v="1"/>
    <n v="2"/>
    <s v="Sales Executive"/>
    <n v="4"/>
    <s v="Single"/>
    <n v="5071"/>
    <n v="20392"/>
    <n v="3"/>
    <s v="No"/>
    <n v="20"/>
    <n v="4"/>
    <n v="2"/>
    <n v="0"/>
    <n v="8"/>
    <n v="3"/>
    <n v="3"/>
    <n v="6"/>
    <n v="2"/>
    <n v="0"/>
    <n v="0"/>
  </r>
  <r>
    <n v="55"/>
    <x v="0"/>
    <s v="Travel_Rarely"/>
    <n v="267"/>
    <x v="0"/>
    <n v="13"/>
    <n v="4"/>
    <s v="Marketing"/>
    <n v="1372"/>
    <n v="1"/>
    <s v="Male"/>
    <n v="85"/>
    <n v="4"/>
    <n v="4"/>
    <s v="Sales Executive"/>
    <n v="3"/>
    <s v="Single"/>
    <n v="13695"/>
    <n v="9277"/>
    <n v="6"/>
    <s v="Yes"/>
    <n v="17"/>
    <n v="3"/>
    <n v="3"/>
    <n v="0"/>
    <n v="24"/>
    <n v="2"/>
    <n v="2"/>
    <n v="19"/>
    <n v="7"/>
    <n v="3"/>
    <n v="8"/>
  </r>
  <r>
    <n v="56"/>
    <x v="1"/>
    <s v="Travel_Rarely"/>
    <n v="1369"/>
    <x v="1"/>
    <n v="23"/>
    <n v="3"/>
    <s v="Life Sciences"/>
    <n v="1373"/>
    <n v="4"/>
    <s v="Male"/>
    <n v="68"/>
    <n v="3"/>
    <n v="4"/>
    <s v="Manufacturing Director"/>
    <n v="2"/>
    <s v="Married"/>
    <n v="13402"/>
    <n v="18235"/>
    <n v="4"/>
    <s v="Yes"/>
    <n v="12"/>
    <n v="3"/>
    <n v="1"/>
    <n v="1"/>
    <n v="33"/>
    <n v="0"/>
    <n v="3"/>
    <n v="19"/>
    <n v="16"/>
    <n v="15"/>
    <n v="9"/>
  </r>
  <r>
    <n v="34"/>
    <x v="1"/>
    <s v="Non-Travel"/>
    <n v="999"/>
    <x v="1"/>
    <n v="26"/>
    <n v="1"/>
    <s v="Technical Degree"/>
    <n v="1374"/>
    <n v="1"/>
    <s v="Female"/>
    <n v="92"/>
    <n v="2"/>
    <n v="1"/>
    <s v="Research Scientist"/>
    <n v="3"/>
    <s v="Divorced"/>
    <n v="2029"/>
    <n v="15891"/>
    <n v="1"/>
    <s v="No"/>
    <n v="20"/>
    <n v="4"/>
    <n v="3"/>
    <n v="3"/>
    <n v="5"/>
    <n v="2"/>
    <n v="3"/>
    <n v="5"/>
    <n v="4"/>
    <n v="0"/>
    <n v="0"/>
  </r>
  <r>
    <n v="40"/>
    <x v="1"/>
    <s v="Travel_Rarely"/>
    <n v="1202"/>
    <x v="1"/>
    <n v="2"/>
    <n v="1"/>
    <s v="Medical"/>
    <n v="1375"/>
    <n v="2"/>
    <s v="Female"/>
    <n v="89"/>
    <n v="4"/>
    <n v="2"/>
    <s v="Healthcare Representative"/>
    <n v="3"/>
    <s v="Divorced"/>
    <n v="6377"/>
    <n v="13888"/>
    <n v="5"/>
    <s v="No"/>
    <n v="20"/>
    <n v="4"/>
    <n v="2"/>
    <n v="3"/>
    <n v="15"/>
    <n v="0"/>
    <n v="3"/>
    <n v="12"/>
    <n v="11"/>
    <n v="11"/>
    <n v="8"/>
  </r>
  <r>
    <n v="34"/>
    <x v="1"/>
    <s v="Travel_Rarely"/>
    <n v="285"/>
    <x v="1"/>
    <n v="29"/>
    <n v="3"/>
    <s v="Medical"/>
    <n v="1377"/>
    <n v="2"/>
    <s v="Male"/>
    <n v="86"/>
    <n v="3"/>
    <n v="2"/>
    <s v="Laboratory Technician"/>
    <n v="3"/>
    <s v="Married"/>
    <n v="5429"/>
    <n v="17491"/>
    <n v="4"/>
    <s v="No"/>
    <n v="13"/>
    <n v="3"/>
    <n v="1"/>
    <n v="2"/>
    <n v="10"/>
    <n v="1"/>
    <n v="3"/>
    <n v="8"/>
    <n v="7"/>
    <n v="7"/>
    <n v="7"/>
  </r>
  <r>
    <n v="31"/>
    <x v="0"/>
    <s v="Travel_Frequently"/>
    <n v="703"/>
    <x v="0"/>
    <n v="2"/>
    <n v="3"/>
    <s v="Life Sciences"/>
    <n v="1379"/>
    <n v="3"/>
    <s v="Female"/>
    <n v="90"/>
    <n v="2"/>
    <n v="1"/>
    <s v="Sales Representative"/>
    <n v="4"/>
    <s v="Single"/>
    <n v="2785"/>
    <n v="11882"/>
    <n v="7"/>
    <s v="No"/>
    <n v="14"/>
    <n v="3"/>
    <n v="3"/>
    <n v="0"/>
    <n v="3"/>
    <n v="3"/>
    <n v="4"/>
    <n v="1"/>
    <n v="0"/>
    <n v="0"/>
    <n v="0"/>
  </r>
  <r>
    <n v="35"/>
    <x v="0"/>
    <s v="Travel_Frequently"/>
    <n v="662"/>
    <x v="0"/>
    <n v="18"/>
    <n v="4"/>
    <s v="Marketing"/>
    <n v="1380"/>
    <n v="4"/>
    <s v="Female"/>
    <n v="67"/>
    <n v="3"/>
    <n v="2"/>
    <s v="Sales Executive"/>
    <n v="3"/>
    <s v="Married"/>
    <n v="4614"/>
    <n v="23288"/>
    <n v="0"/>
    <s v="Yes"/>
    <n v="18"/>
    <n v="3"/>
    <n v="3"/>
    <n v="1"/>
    <n v="5"/>
    <n v="0"/>
    <n v="2"/>
    <n v="4"/>
    <n v="2"/>
    <n v="3"/>
    <n v="2"/>
  </r>
  <r>
    <n v="38"/>
    <x v="1"/>
    <s v="Travel_Frequently"/>
    <n v="693"/>
    <x v="1"/>
    <n v="7"/>
    <n v="3"/>
    <s v="Life Sciences"/>
    <n v="1382"/>
    <n v="4"/>
    <s v="Male"/>
    <n v="57"/>
    <n v="4"/>
    <n v="1"/>
    <s v="Research Scientist"/>
    <n v="3"/>
    <s v="Divorced"/>
    <n v="2610"/>
    <n v="15748"/>
    <n v="1"/>
    <s v="No"/>
    <n v="11"/>
    <n v="3"/>
    <n v="4"/>
    <n v="3"/>
    <n v="4"/>
    <n v="2"/>
    <n v="3"/>
    <n v="4"/>
    <n v="2"/>
    <n v="0"/>
    <n v="3"/>
  </r>
  <r>
    <n v="34"/>
    <x v="1"/>
    <s v="Travel_Rarely"/>
    <n v="404"/>
    <x v="1"/>
    <n v="2"/>
    <n v="4"/>
    <s v="Technical Degree"/>
    <n v="1383"/>
    <n v="3"/>
    <s v="Female"/>
    <n v="98"/>
    <n v="3"/>
    <n v="2"/>
    <s v="Healthcare Representative"/>
    <n v="4"/>
    <s v="Single"/>
    <n v="6687"/>
    <n v="6163"/>
    <n v="1"/>
    <s v="No"/>
    <n v="11"/>
    <n v="3"/>
    <n v="4"/>
    <n v="0"/>
    <n v="14"/>
    <n v="2"/>
    <n v="4"/>
    <n v="14"/>
    <n v="11"/>
    <n v="4"/>
    <n v="11"/>
  </r>
  <r>
    <n v="28"/>
    <x v="1"/>
    <s v="Travel_Rarely"/>
    <n v="736"/>
    <x v="0"/>
    <n v="26"/>
    <n v="3"/>
    <s v="Life Sciences"/>
    <n v="1387"/>
    <n v="3"/>
    <s v="Male"/>
    <n v="48"/>
    <n v="2"/>
    <n v="2"/>
    <s v="Sales Executive"/>
    <n v="1"/>
    <s v="Married"/>
    <n v="4724"/>
    <n v="24232"/>
    <n v="1"/>
    <s v="No"/>
    <n v="11"/>
    <n v="3"/>
    <n v="3"/>
    <n v="1"/>
    <n v="5"/>
    <n v="0"/>
    <n v="3"/>
    <n v="5"/>
    <n v="3"/>
    <n v="0"/>
    <n v="4"/>
  </r>
  <r>
    <n v="31"/>
    <x v="0"/>
    <s v="Travel_Rarely"/>
    <n v="330"/>
    <x v="1"/>
    <n v="22"/>
    <n v="4"/>
    <s v="Medical"/>
    <n v="1389"/>
    <n v="4"/>
    <s v="Male"/>
    <n v="98"/>
    <n v="3"/>
    <n v="2"/>
    <s v="Manufacturing Director"/>
    <n v="3"/>
    <s v="Married"/>
    <n v="6179"/>
    <n v="21057"/>
    <n v="1"/>
    <s v="Yes"/>
    <n v="15"/>
    <n v="3"/>
    <n v="4"/>
    <n v="2"/>
    <n v="10"/>
    <n v="3"/>
    <n v="2"/>
    <n v="10"/>
    <n v="2"/>
    <n v="6"/>
    <n v="7"/>
  </r>
  <r>
    <n v="39"/>
    <x v="1"/>
    <s v="Travel_Rarely"/>
    <n v="1498"/>
    <x v="0"/>
    <n v="21"/>
    <n v="4"/>
    <s v="Life Sciences"/>
    <n v="1390"/>
    <n v="1"/>
    <s v="Male"/>
    <n v="44"/>
    <n v="2"/>
    <n v="2"/>
    <s v="Sales Executive"/>
    <n v="4"/>
    <s v="Married"/>
    <n v="6120"/>
    <n v="3567"/>
    <n v="3"/>
    <s v="Yes"/>
    <n v="12"/>
    <n v="3"/>
    <n v="4"/>
    <n v="2"/>
    <n v="8"/>
    <n v="2"/>
    <n v="4"/>
    <n v="5"/>
    <n v="4"/>
    <n v="1"/>
    <n v="4"/>
  </r>
  <r>
    <n v="51"/>
    <x v="1"/>
    <s v="Travel_Frequently"/>
    <n v="541"/>
    <x v="0"/>
    <n v="2"/>
    <n v="3"/>
    <s v="Marketing"/>
    <n v="1391"/>
    <n v="2"/>
    <s v="Male"/>
    <n v="52"/>
    <n v="3"/>
    <n v="3"/>
    <s v="Sales Executive"/>
    <n v="2"/>
    <s v="Married"/>
    <n v="10596"/>
    <n v="15395"/>
    <n v="2"/>
    <s v="No"/>
    <n v="11"/>
    <n v="3"/>
    <n v="2"/>
    <n v="0"/>
    <n v="14"/>
    <n v="5"/>
    <n v="3"/>
    <n v="4"/>
    <n v="2"/>
    <n v="3"/>
    <n v="2"/>
  </r>
  <r>
    <n v="41"/>
    <x v="1"/>
    <s v="Travel_Frequently"/>
    <n v="1200"/>
    <x v="1"/>
    <n v="22"/>
    <n v="3"/>
    <s v="Life Sciences"/>
    <n v="1392"/>
    <n v="4"/>
    <s v="Female"/>
    <n v="75"/>
    <n v="3"/>
    <n v="2"/>
    <s v="Research Scientist"/>
    <n v="4"/>
    <s v="Divorced"/>
    <n v="5467"/>
    <n v="13953"/>
    <n v="3"/>
    <s v="Yes"/>
    <n v="14"/>
    <n v="3"/>
    <n v="1"/>
    <n v="2"/>
    <n v="12"/>
    <n v="4"/>
    <n v="2"/>
    <n v="6"/>
    <n v="2"/>
    <n v="3"/>
    <n v="3"/>
  </r>
  <r>
    <n v="37"/>
    <x v="1"/>
    <s v="Travel_Rarely"/>
    <n v="1439"/>
    <x v="1"/>
    <n v="4"/>
    <n v="1"/>
    <s v="Life Sciences"/>
    <n v="1394"/>
    <n v="3"/>
    <s v="Male"/>
    <n v="54"/>
    <n v="3"/>
    <n v="1"/>
    <s v="Research Scientist"/>
    <n v="3"/>
    <s v="Married"/>
    <n v="2996"/>
    <n v="5182"/>
    <n v="7"/>
    <s v="Yes"/>
    <n v="15"/>
    <n v="3"/>
    <n v="4"/>
    <n v="0"/>
    <n v="8"/>
    <n v="2"/>
    <n v="3"/>
    <n v="6"/>
    <n v="4"/>
    <n v="1"/>
    <n v="3"/>
  </r>
  <r>
    <n v="33"/>
    <x v="1"/>
    <s v="Travel_Frequently"/>
    <n v="1111"/>
    <x v="0"/>
    <n v="5"/>
    <n v="1"/>
    <s v="Life Sciences"/>
    <n v="1395"/>
    <n v="2"/>
    <s v="Male"/>
    <n v="61"/>
    <n v="3"/>
    <n v="2"/>
    <s v="Sales Executive"/>
    <n v="4"/>
    <s v="Married"/>
    <n v="9998"/>
    <n v="19293"/>
    <n v="6"/>
    <s v="No"/>
    <n v="13"/>
    <n v="3"/>
    <n v="1"/>
    <n v="0"/>
    <n v="8"/>
    <n v="2"/>
    <n v="4"/>
    <n v="5"/>
    <n v="4"/>
    <n v="1"/>
    <n v="2"/>
  </r>
  <r>
    <n v="32"/>
    <x v="1"/>
    <s v="Travel_Rarely"/>
    <n v="499"/>
    <x v="0"/>
    <n v="2"/>
    <n v="1"/>
    <s v="Marketing"/>
    <n v="1396"/>
    <n v="3"/>
    <s v="Male"/>
    <n v="36"/>
    <n v="3"/>
    <n v="2"/>
    <s v="Sales Executive"/>
    <n v="2"/>
    <s v="Married"/>
    <n v="4078"/>
    <n v="20497"/>
    <n v="0"/>
    <s v="Yes"/>
    <n v="13"/>
    <n v="3"/>
    <n v="1"/>
    <n v="3"/>
    <n v="4"/>
    <n v="3"/>
    <n v="2"/>
    <n v="3"/>
    <n v="2"/>
    <n v="1"/>
    <n v="2"/>
  </r>
  <r>
    <n v="39"/>
    <x v="1"/>
    <s v="Non-Travel"/>
    <n v="1485"/>
    <x v="1"/>
    <n v="25"/>
    <n v="2"/>
    <s v="Life Sciences"/>
    <n v="1397"/>
    <n v="3"/>
    <s v="Male"/>
    <n v="71"/>
    <n v="3"/>
    <n v="3"/>
    <s v="Healthcare Representative"/>
    <n v="3"/>
    <s v="Married"/>
    <n v="10920"/>
    <n v="3449"/>
    <n v="3"/>
    <s v="No"/>
    <n v="21"/>
    <n v="4"/>
    <n v="2"/>
    <n v="1"/>
    <n v="13"/>
    <n v="2"/>
    <n v="3"/>
    <n v="6"/>
    <n v="4"/>
    <n v="0"/>
    <n v="5"/>
  </r>
  <r>
    <n v="25"/>
    <x v="1"/>
    <s v="Travel_Rarely"/>
    <n v="1372"/>
    <x v="0"/>
    <n v="18"/>
    <n v="1"/>
    <s v="Life Sciences"/>
    <n v="1399"/>
    <n v="1"/>
    <s v="Male"/>
    <n v="93"/>
    <n v="4"/>
    <n v="2"/>
    <s v="Sales Executive"/>
    <n v="3"/>
    <s v="Married"/>
    <n v="6232"/>
    <n v="12477"/>
    <n v="2"/>
    <s v="No"/>
    <n v="11"/>
    <n v="3"/>
    <n v="2"/>
    <n v="0"/>
    <n v="6"/>
    <n v="3"/>
    <n v="2"/>
    <n v="3"/>
    <n v="2"/>
    <n v="1"/>
    <n v="2"/>
  </r>
  <r>
    <n v="52"/>
    <x v="1"/>
    <s v="Travel_Frequently"/>
    <n v="322"/>
    <x v="1"/>
    <n v="28"/>
    <n v="2"/>
    <s v="Medical"/>
    <n v="1401"/>
    <n v="4"/>
    <s v="Female"/>
    <n v="59"/>
    <n v="4"/>
    <n v="4"/>
    <s v="Manufacturing Director"/>
    <n v="3"/>
    <s v="Married"/>
    <n v="13247"/>
    <n v="9731"/>
    <n v="2"/>
    <s v="Yes"/>
    <n v="11"/>
    <n v="3"/>
    <n v="2"/>
    <n v="1"/>
    <n v="24"/>
    <n v="3"/>
    <n v="2"/>
    <n v="5"/>
    <n v="3"/>
    <n v="0"/>
    <n v="2"/>
  </r>
  <r>
    <n v="43"/>
    <x v="1"/>
    <s v="Travel_Rarely"/>
    <n v="930"/>
    <x v="1"/>
    <n v="6"/>
    <n v="3"/>
    <s v="Medical"/>
    <n v="1402"/>
    <n v="1"/>
    <s v="Female"/>
    <n v="73"/>
    <n v="2"/>
    <n v="2"/>
    <s v="Research Scientist"/>
    <n v="3"/>
    <s v="Single"/>
    <n v="4081"/>
    <n v="20003"/>
    <n v="1"/>
    <s v="Yes"/>
    <n v="14"/>
    <n v="3"/>
    <n v="1"/>
    <n v="0"/>
    <n v="20"/>
    <n v="3"/>
    <n v="1"/>
    <n v="20"/>
    <n v="7"/>
    <n v="1"/>
    <n v="8"/>
  </r>
  <r>
    <n v="27"/>
    <x v="1"/>
    <s v="Travel_Rarely"/>
    <n v="205"/>
    <x v="0"/>
    <n v="10"/>
    <n v="3"/>
    <s v="Marketing"/>
    <n v="1403"/>
    <n v="4"/>
    <s v="Female"/>
    <n v="98"/>
    <n v="2"/>
    <n v="2"/>
    <s v="Sales Executive"/>
    <n v="4"/>
    <s v="Married"/>
    <n v="5769"/>
    <n v="7100"/>
    <n v="1"/>
    <s v="Yes"/>
    <n v="11"/>
    <n v="3"/>
    <n v="4"/>
    <n v="0"/>
    <n v="6"/>
    <n v="3"/>
    <n v="3"/>
    <n v="6"/>
    <n v="2"/>
    <n v="4"/>
    <n v="4"/>
  </r>
  <r>
    <n v="27"/>
    <x v="0"/>
    <s v="Travel_Rarely"/>
    <n v="135"/>
    <x v="1"/>
    <n v="17"/>
    <n v="4"/>
    <s v="Life Sciences"/>
    <n v="1405"/>
    <n v="4"/>
    <s v="Female"/>
    <n v="51"/>
    <n v="3"/>
    <n v="1"/>
    <s v="Research Scientist"/>
    <n v="3"/>
    <s v="Single"/>
    <n v="2394"/>
    <n v="25681"/>
    <n v="1"/>
    <s v="Yes"/>
    <n v="13"/>
    <n v="3"/>
    <n v="4"/>
    <n v="0"/>
    <n v="8"/>
    <n v="2"/>
    <n v="3"/>
    <n v="8"/>
    <n v="2"/>
    <n v="7"/>
    <n v="7"/>
  </r>
  <r>
    <n v="26"/>
    <x v="1"/>
    <s v="Travel_Rarely"/>
    <n v="683"/>
    <x v="1"/>
    <n v="2"/>
    <n v="1"/>
    <s v="Medical"/>
    <n v="1407"/>
    <n v="1"/>
    <s v="Male"/>
    <n v="36"/>
    <n v="2"/>
    <n v="1"/>
    <s v="Research Scientist"/>
    <n v="4"/>
    <s v="Single"/>
    <n v="3904"/>
    <n v="4050"/>
    <n v="0"/>
    <s v="No"/>
    <n v="12"/>
    <n v="3"/>
    <n v="4"/>
    <n v="0"/>
    <n v="5"/>
    <n v="2"/>
    <n v="3"/>
    <n v="4"/>
    <n v="3"/>
    <n v="1"/>
    <n v="1"/>
  </r>
  <r>
    <n v="42"/>
    <x v="1"/>
    <s v="Travel_Rarely"/>
    <n v="1147"/>
    <x v="2"/>
    <n v="10"/>
    <n v="3"/>
    <s v="Human Resources"/>
    <n v="1408"/>
    <n v="3"/>
    <s v="Female"/>
    <n v="31"/>
    <n v="3"/>
    <n v="4"/>
    <s v="Manager"/>
    <n v="1"/>
    <s v="Married"/>
    <n v="16799"/>
    <n v="16616"/>
    <n v="0"/>
    <s v="No"/>
    <n v="14"/>
    <n v="3"/>
    <n v="3"/>
    <n v="1"/>
    <n v="21"/>
    <n v="5"/>
    <n v="3"/>
    <n v="20"/>
    <n v="7"/>
    <n v="0"/>
    <n v="9"/>
  </r>
  <r>
    <n v="52"/>
    <x v="1"/>
    <s v="Travel_Rarely"/>
    <n v="258"/>
    <x v="1"/>
    <n v="8"/>
    <n v="4"/>
    <s v="Other"/>
    <n v="1409"/>
    <n v="3"/>
    <s v="Female"/>
    <n v="54"/>
    <n v="3"/>
    <n v="1"/>
    <s v="Laboratory Technician"/>
    <n v="1"/>
    <s v="Married"/>
    <n v="2950"/>
    <n v="17363"/>
    <n v="9"/>
    <s v="No"/>
    <n v="13"/>
    <n v="3"/>
    <n v="3"/>
    <n v="0"/>
    <n v="12"/>
    <n v="2"/>
    <n v="1"/>
    <n v="5"/>
    <n v="4"/>
    <n v="0"/>
    <n v="4"/>
  </r>
  <r>
    <n v="37"/>
    <x v="1"/>
    <s v="Travel_Rarely"/>
    <n v="1462"/>
    <x v="1"/>
    <n v="11"/>
    <n v="3"/>
    <s v="Medical"/>
    <n v="1411"/>
    <n v="1"/>
    <s v="Female"/>
    <n v="94"/>
    <n v="3"/>
    <n v="1"/>
    <s v="Laboratory Technician"/>
    <n v="3"/>
    <s v="Single"/>
    <n v="3629"/>
    <n v="19106"/>
    <n v="4"/>
    <s v="No"/>
    <n v="18"/>
    <n v="3"/>
    <n v="1"/>
    <n v="0"/>
    <n v="8"/>
    <n v="6"/>
    <n v="3"/>
    <n v="3"/>
    <n v="2"/>
    <n v="0"/>
    <n v="2"/>
  </r>
  <r>
    <n v="35"/>
    <x v="1"/>
    <s v="Travel_Frequently"/>
    <n v="200"/>
    <x v="1"/>
    <n v="18"/>
    <n v="2"/>
    <s v="Life Sciences"/>
    <n v="1412"/>
    <n v="3"/>
    <s v="Male"/>
    <n v="60"/>
    <n v="3"/>
    <n v="3"/>
    <s v="Manufacturing Director"/>
    <n v="4"/>
    <s v="Single"/>
    <n v="9362"/>
    <n v="19944"/>
    <n v="2"/>
    <s v="No"/>
    <n v="11"/>
    <n v="3"/>
    <n v="3"/>
    <n v="0"/>
    <n v="10"/>
    <n v="2"/>
    <n v="3"/>
    <n v="2"/>
    <n v="2"/>
    <n v="2"/>
    <n v="2"/>
  </r>
  <r>
    <n v="25"/>
    <x v="1"/>
    <s v="Travel_Rarely"/>
    <n v="949"/>
    <x v="1"/>
    <n v="1"/>
    <n v="3"/>
    <s v="Technical Degree"/>
    <n v="1415"/>
    <n v="1"/>
    <s v="Male"/>
    <n v="81"/>
    <n v="3"/>
    <n v="1"/>
    <s v="Laboratory Technician"/>
    <n v="4"/>
    <s v="Married"/>
    <n v="3229"/>
    <n v="4910"/>
    <n v="4"/>
    <s v="No"/>
    <n v="11"/>
    <n v="3"/>
    <n v="2"/>
    <n v="1"/>
    <n v="7"/>
    <n v="2"/>
    <n v="2"/>
    <n v="3"/>
    <n v="2"/>
    <n v="0"/>
    <n v="2"/>
  </r>
  <r>
    <n v="26"/>
    <x v="1"/>
    <s v="Travel_Rarely"/>
    <n v="652"/>
    <x v="1"/>
    <n v="7"/>
    <n v="3"/>
    <s v="Other"/>
    <n v="1417"/>
    <n v="3"/>
    <s v="Male"/>
    <n v="100"/>
    <n v="4"/>
    <n v="1"/>
    <s v="Laboratory Technician"/>
    <n v="1"/>
    <s v="Single"/>
    <n v="3578"/>
    <n v="23577"/>
    <n v="0"/>
    <s v="No"/>
    <n v="12"/>
    <n v="3"/>
    <n v="4"/>
    <n v="0"/>
    <n v="8"/>
    <n v="2"/>
    <n v="3"/>
    <n v="7"/>
    <n v="7"/>
    <n v="0"/>
    <n v="7"/>
  </r>
  <r>
    <n v="29"/>
    <x v="1"/>
    <s v="Travel_Rarely"/>
    <n v="332"/>
    <x v="2"/>
    <n v="17"/>
    <n v="3"/>
    <s v="Other"/>
    <n v="1419"/>
    <n v="2"/>
    <s v="Male"/>
    <n v="51"/>
    <n v="2"/>
    <n v="3"/>
    <s v="Human Resources"/>
    <n v="1"/>
    <s v="Single"/>
    <n v="7988"/>
    <n v="9769"/>
    <n v="1"/>
    <s v="No"/>
    <n v="13"/>
    <n v="3"/>
    <n v="1"/>
    <n v="0"/>
    <n v="10"/>
    <n v="3"/>
    <n v="2"/>
    <n v="10"/>
    <n v="9"/>
    <n v="0"/>
    <n v="9"/>
  </r>
  <r>
    <n v="49"/>
    <x v="0"/>
    <s v="Travel_Frequently"/>
    <n v="1475"/>
    <x v="1"/>
    <n v="28"/>
    <n v="2"/>
    <s v="Life Sciences"/>
    <n v="1420"/>
    <n v="1"/>
    <s v="Male"/>
    <n v="97"/>
    <n v="2"/>
    <n v="2"/>
    <s v="Laboratory Technician"/>
    <n v="1"/>
    <s v="Single"/>
    <n v="4284"/>
    <n v="22710"/>
    <n v="3"/>
    <s v="No"/>
    <n v="20"/>
    <n v="4"/>
    <n v="1"/>
    <n v="0"/>
    <n v="20"/>
    <n v="2"/>
    <n v="3"/>
    <n v="4"/>
    <n v="3"/>
    <n v="1"/>
    <n v="3"/>
  </r>
  <r>
    <n v="29"/>
    <x v="0"/>
    <s v="Travel_Frequently"/>
    <n v="337"/>
    <x v="1"/>
    <n v="14"/>
    <n v="1"/>
    <s v="Other"/>
    <n v="1421"/>
    <n v="3"/>
    <s v="Female"/>
    <n v="84"/>
    <n v="3"/>
    <n v="3"/>
    <s v="Healthcare Representative"/>
    <n v="4"/>
    <s v="Single"/>
    <n v="7553"/>
    <n v="22930"/>
    <n v="0"/>
    <s v="Yes"/>
    <n v="12"/>
    <n v="3"/>
    <n v="1"/>
    <n v="0"/>
    <n v="9"/>
    <n v="1"/>
    <n v="3"/>
    <n v="8"/>
    <n v="7"/>
    <n v="7"/>
    <n v="7"/>
  </r>
  <r>
    <n v="54"/>
    <x v="1"/>
    <s v="Travel_Rarely"/>
    <n v="971"/>
    <x v="1"/>
    <n v="1"/>
    <n v="3"/>
    <s v="Medical"/>
    <n v="1422"/>
    <n v="4"/>
    <s v="Female"/>
    <n v="54"/>
    <n v="3"/>
    <n v="4"/>
    <s v="Research Director"/>
    <n v="4"/>
    <s v="Single"/>
    <n v="17328"/>
    <n v="5652"/>
    <n v="6"/>
    <s v="No"/>
    <n v="19"/>
    <n v="3"/>
    <n v="4"/>
    <n v="0"/>
    <n v="29"/>
    <n v="3"/>
    <n v="2"/>
    <n v="20"/>
    <n v="7"/>
    <n v="12"/>
    <n v="7"/>
  </r>
  <r>
    <n v="58"/>
    <x v="1"/>
    <s v="Travel_Rarely"/>
    <n v="1055"/>
    <x v="1"/>
    <n v="1"/>
    <n v="3"/>
    <s v="Medical"/>
    <n v="1423"/>
    <n v="4"/>
    <s v="Female"/>
    <n v="76"/>
    <n v="3"/>
    <n v="5"/>
    <s v="Research Director"/>
    <n v="1"/>
    <s v="Married"/>
    <n v="19701"/>
    <n v="22456"/>
    <n v="3"/>
    <s v="Yes"/>
    <n v="21"/>
    <n v="4"/>
    <n v="3"/>
    <n v="1"/>
    <n v="32"/>
    <n v="3"/>
    <n v="3"/>
    <n v="9"/>
    <n v="8"/>
    <n v="1"/>
    <n v="5"/>
  </r>
  <r>
    <n v="55"/>
    <x v="1"/>
    <s v="Travel_Rarely"/>
    <n v="1136"/>
    <x v="1"/>
    <n v="1"/>
    <n v="4"/>
    <s v="Medical"/>
    <n v="1424"/>
    <n v="2"/>
    <s v="Male"/>
    <n v="81"/>
    <n v="4"/>
    <n v="4"/>
    <s v="Research Director"/>
    <n v="4"/>
    <s v="Divorced"/>
    <n v="14732"/>
    <n v="12414"/>
    <n v="2"/>
    <s v="No"/>
    <n v="13"/>
    <n v="3"/>
    <n v="4"/>
    <n v="2"/>
    <n v="31"/>
    <n v="4"/>
    <n v="4"/>
    <n v="7"/>
    <n v="7"/>
    <n v="0"/>
    <n v="0"/>
  </r>
  <r>
    <n v="36"/>
    <x v="1"/>
    <s v="Travel_Rarely"/>
    <n v="1174"/>
    <x v="0"/>
    <n v="3"/>
    <n v="4"/>
    <s v="Marketing"/>
    <n v="1425"/>
    <n v="1"/>
    <s v="Female"/>
    <n v="99"/>
    <n v="3"/>
    <n v="2"/>
    <s v="Sales Executive"/>
    <n v="2"/>
    <s v="Single"/>
    <n v="9278"/>
    <n v="20763"/>
    <n v="3"/>
    <s v="Yes"/>
    <n v="16"/>
    <n v="3"/>
    <n v="4"/>
    <n v="0"/>
    <n v="15"/>
    <n v="3"/>
    <n v="3"/>
    <n v="5"/>
    <n v="4"/>
    <n v="0"/>
    <n v="1"/>
  </r>
  <r>
    <n v="31"/>
    <x v="0"/>
    <s v="Travel_Frequently"/>
    <n v="667"/>
    <x v="0"/>
    <n v="1"/>
    <n v="4"/>
    <s v="Life Sciences"/>
    <n v="1427"/>
    <n v="2"/>
    <s v="Female"/>
    <n v="50"/>
    <n v="1"/>
    <n v="1"/>
    <s v="Sales Representative"/>
    <n v="3"/>
    <s v="Single"/>
    <n v="1359"/>
    <n v="16154"/>
    <n v="1"/>
    <s v="No"/>
    <n v="12"/>
    <n v="3"/>
    <n v="2"/>
    <n v="0"/>
    <n v="1"/>
    <n v="3"/>
    <n v="3"/>
    <n v="1"/>
    <n v="0"/>
    <n v="0"/>
    <n v="0"/>
  </r>
  <r>
    <n v="30"/>
    <x v="1"/>
    <s v="Travel_Rarely"/>
    <n v="855"/>
    <x v="0"/>
    <n v="7"/>
    <n v="4"/>
    <s v="Marketing"/>
    <n v="1428"/>
    <n v="4"/>
    <s v="Female"/>
    <n v="73"/>
    <n v="3"/>
    <n v="2"/>
    <s v="Sales Executive"/>
    <n v="1"/>
    <s v="Divorced"/>
    <n v="4779"/>
    <n v="12761"/>
    <n v="7"/>
    <s v="No"/>
    <n v="14"/>
    <n v="3"/>
    <n v="2"/>
    <n v="2"/>
    <n v="8"/>
    <n v="3"/>
    <n v="3"/>
    <n v="3"/>
    <n v="2"/>
    <n v="0"/>
    <n v="2"/>
  </r>
  <r>
    <n v="31"/>
    <x v="1"/>
    <s v="Travel_Rarely"/>
    <n v="182"/>
    <x v="1"/>
    <n v="8"/>
    <n v="5"/>
    <s v="Life Sciences"/>
    <n v="1430"/>
    <n v="1"/>
    <s v="Female"/>
    <n v="93"/>
    <n v="3"/>
    <n v="4"/>
    <s v="Research Director"/>
    <n v="2"/>
    <s v="Single"/>
    <n v="16422"/>
    <n v="8847"/>
    <n v="3"/>
    <s v="No"/>
    <n v="11"/>
    <n v="3"/>
    <n v="3"/>
    <n v="0"/>
    <n v="9"/>
    <n v="3"/>
    <n v="4"/>
    <n v="3"/>
    <n v="2"/>
    <n v="1"/>
    <n v="0"/>
  </r>
  <r>
    <n v="34"/>
    <x v="1"/>
    <s v="Travel_Frequently"/>
    <n v="560"/>
    <x v="1"/>
    <n v="1"/>
    <n v="4"/>
    <s v="Other"/>
    <n v="1431"/>
    <n v="4"/>
    <s v="Male"/>
    <n v="91"/>
    <n v="3"/>
    <n v="1"/>
    <s v="Research Scientist"/>
    <n v="1"/>
    <s v="Divorced"/>
    <n v="2996"/>
    <n v="20284"/>
    <n v="5"/>
    <s v="No"/>
    <n v="14"/>
    <n v="3"/>
    <n v="3"/>
    <n v="2"/>
    <n v="10"/>
    <n v="2"/>
    <n v="3"/>
    <n v="4"/>
    <n v="3"/>
    <n v="1"/>
    <n v="3"/>
  </r>
  <r>
    <n v="31"/>
    <x v="0"/>
    <s v="Travel_Rarely"/>
    <n v="202"/>
    <x v="1"/>
    <n v="8"/>
    <n v="3"/>
    <s v="Life Sciences"/>
    <n v="1433"/>
    <n v="1"/>
    <s v="Female"/>
    <n v="34"/>
    <n v="2"/>
    <n v="1"/>
    <s v="Research Scientist"/>
    <n v="2"/>
    <s v="Single"/>
    <n v="1261"/>
    <n v="22262"/>
    <n v="1"/>
    <s v="No"/>
    <n v="12"/>
    <n v="3"/>
    <n v="3"/>
    <n v="0"/>
    <n v="1"/>
    <n v="3"/>
    <n v="4"/>
    <n v="1"/>
    <n v="0"/>
    <n v="0"/>
    <n v="0"/>
  </r>
  <r>
    <n v="27"/>
    <x v="1"/>
    <s v="Travel_Rarely"/>
    <n v="1377"/>
    <x v="1"/>
    <n v="11"/>
    <n v="1"/>
    <s v="Life Sciences"/>
    <n v="1434"/>
    <n v="2"/>
    <s v="Male"/>
    <n v="91"/>
    <n v="3"/>
    <n v="1"/>
    <s v="Laboratory Technician"/>
    <n v="1"/>
    <s v="Married"/>
    <n v="2099"/>
    <n v="7679"/>
    <n v="0"/>
    <s v="No"/>
    <n v="14"/>
    <n v="3"/>
    <n v="2"/>
    <n v="0"/>
    <n v="6"/>
    <n v="3"/>
    <n v="4"/>
    <n v="5"/>
    <n v="0"/>
    <n v="1"/>
    <n v="4"/>
  </r>
  <r>
    <n v="36"/>
    <x v="1"/>
    <s v="Travel_Rarely"/>
    <n v="172"/>
    <x v="1"/>
    <n v="4"/>
    <n v="4"/>
    <s v="Life Sciences"/>
    <n v="1435"/>
    <n v="1"/>
    <s v="Male"/>
    <n v="37"/>
    <n v="2"/>
    <n v="2"/>
    <s v="Laboratory Technician"/>
    <n v="4"/>
    <s v="Single"/>
    <n v="5810"/>
    <n v="22604"/>
    <n v="1"/>
    <s v="No"/>
    <n v="16"/>
    <n v="3"/>
    <n v="3"/>
    <n v="0"/>
    <n v="10"/>
    <n v="2"/>
    <n v="2"/>
    <n v="10"/>
    <n v="4"/>
    <n v="1"/>
    <n v="8"/>
  </r>
  <r>
    <n v="36"/>
    <x v="1"/>
    <s v="Travel_Rarely"/>
    <n v="329"/>
    <x v="0"/>
    <n v="16"/>
    <n v="4"/>
    <s v="Marketing"/>
    <n v="1436"/>
    <n v="3"/>
    <s v="Female"/>
    <n v="98"/>
    <n v="2"/>
    <n v="2"/>
    <s v="Sales Executive"/>
    <n v="1"/>
    <s v="Married"/>
    <n v="5647"/>
    <n v="13494"/>
    <n v="4"/>
    <s v="No"/>
    <n v="13"/>
    <n v="3"/>
    <n v="1"/>
    <n v="2"/>
    <n v="11"/>
    <n v="3"/>
    <n v="2"/>
    <n v="3"/>
    <n v="2"/>
    <n v="0"/>
    <n v="2"/>
  </r>
  <r>
    <n v="47"/>
    <x v="1"/>
    <s v="Travel_Rarely"/>
    <n v="465"/>
    <x v="1"/>
    <n v="1"/>
    <n v="3"/>
    <s v="Technical Degree"/>
    <n v="1438"/>
    <n v="1"/>
    <s v="Male"/>
    <n v="74"/>
    <n v="3"/>
    <n v="1"/>
    <s v="Research Scientist"/>
    <n v="4"/>
    <s v="Married"/>
    <n v="3420"/>
    <n v="10205"/>
    <n v="7"/>
    <s v="No"/>
    <n v="12"/>
    <n v="3"/>
    <n v="3"/>
    <n v="1"/>
    <n v="17"/>
    <n v="2"/>
    <n v="2"/>
    <n v="6"/>
    <n v="5"/>
    <n v="1"/>
    <n v="2"/>
  </r>
  <r>
    <n v="25"/>
    <x v="0"/>
    <s v="Travel_Rarely"/>
    <n v="383"/>
    <x v="0"/>
    <n v="9"/>
    <n v="2"/>
    <s v="Life Sciences"/>
    <n v="1439"/>
    <n v="1"/>
    <s v="Male"/>
    <n v="68"/>
    <n v="2"/>
    <n v="1"/>
    <s v="Sales Representative"/>
    <n v="1"/>
    <s v="Married"/>
    <n v="4400"/>
    <n v="15182"/>
    <n v="3"/>
    <s v="No"/>
    <n v="12"/>
    <n v="3"/>
    <n v="1"/>
    <n v="0"/>
    <n v="6"/>
    <n v="2"/>
    <n v="3"/>
    <n v="3"/>
    <n v="2"/>
    <n v="2"/>
    <n v="2"/>
  </r>
  <r>
    <n v="37"/>
    <x v="1"/>
    <s v="Non-Travel"/>
    <n v="1413"/>
    <x v="1"/>
    <n v="5"/>
    <n v="2"/>
    <s v="Technical Degree"/>
    <n v="1440"/>
    <n v="3"/>
    <s v="Male"/>
    <n v="84"/>
    <n v="4"/>
    <n v="1"/>
    <s v="Laboratory Technician"/>
    <n v="3"/>
    <s v="Single"/>
    <n v="3500"/>
    <n v="25470"/>
    <n v="0"/>
    <s v="No"/>
    <n v="14"/>
    <n v="3"/>
    <n v="1"/>
    <n v="0"/>
    <n v="7"/>
    <n v="2"/>
    <n v="1"/>
    <n v="6"/>
    <n v="5"/>
    <n v="1"/>
    <n v="3"/>
  </r>
  <r>
    <n v="56"/>
    <x v="1"/>
    <s v="Travel_Rarely"/>
    <n v="1255"/>
    <x v="1"/>
    <n v="1"/>
    <n v="2"/>
    <s v="Life Sciences"/>
    <n v="1441"/>
    <n v="1"/>
    <s v="Female"/>
    <n v="90"/>
    <n v="3"/>
    <n v="1"/>
    <s v="Research Scientist"/>
    <n v="1"/>
    <s v="Married"/>
    <n v="2066"/>
    <n v="10494"/>
    <n v="2"/>
    <s v="No"/>
    <n v="22"/>
    <n v="4"/>
    <n v="4"/>
    <n v="1"/>
    <n v="5"/>
    <n v="3"/>
    <n v="4"/>
    <n v="3"/>
    <n v="2"/>
    <n v="1"/>
    <n v="0"/>
  </r>
  <r>
    <n v="47"/>
    <x v="1"/>
    <s v="Travel_Rarely"/>
    <n v="359"/>
    <x v="1"/>
    <n v="2"/>
    <n v="4"/>
    <s v="Medical"/>
    <n v="1443"/>
    <n v="1"/>
    <s v="Female"/>
    <n v="82"/>
    <n v="3"/>
    <n v="4"/>
    <s v="Research Director"/>
    <n v="3"/>
    <s v="Married"/>
    <n v="17169"/>
    <n v="26703"/>
    <n v="3"/>
    <s v="No"/>
    <n v="19"/>
    <n v="3"/>
    <n v="2"/>
    <n v="2"/>
    <n v="26"/>
    <n v="2"/>
    <n v="4"/>
    <n v="20"/>
    <n v="17"/>
    <n v="5"/>
    <n v="6"/>
  </r>
  <r>
    <n v="24"/>
    <x v="1"/>
    <s v="Travel_Rarely"/>
    <n v="1476"/>
    <x v="0"/>
    <n v="4"/>
    <n v="1"/>
    <s v="Medical"/>
    <n v="1445"/>
    <n v="4"/>
    <s v="Female"/>
    <n v="42"/>
    <n v="3"/>
    <n v="2"/>
    <s v="Sales Executive"/>
    <n v="3"/>
    <s v="Married"/>
    <n v="4162"/>
    <n v="15211"/>
    <n v="1"/>
    <s v="Yes"/>
    <n v="12"/>
    <n v="3"/>
    <n v="3"/>
    <n v="2"/>
    <n v="5"/>
    <n v="3"/>
    <n v="3"/>
    <n v="5"/>
    <n v="4"/>
    <n v="0"/>
    <n v="3"/>
  </r>
  <r>
    <n v="32"/>
    <x v="1"/>
    <s v="Travel_Rarely"/>
    <n v="601"/>
    <x v="0"/>
    <n v="7"/>
    <n v="5"/>
    <s v="Marketing"/>
    <n v="1446"/>
    <n v="4"/>
    <s v="Male"/>
    <n v="97"/>
    <n v="3"/>
    <n v="2"/>
    <s v="Sales Executive"/>
    <n v="4"/>
    <s v="Married"/>
    <n v="9204"/>
    <n v="23343"/>
    <n v="4"/>
    <s v="No"/>
    <n v="12"/>
    <n v="3"/>
    <n v="3"/>
    <n v="1"/>
    <n v="7"/>
    <n v="3"/>
    <n v="2"/>
    <n v="4"/>
    <n v="3"/>
    <n v="0"/>
    <n v="3"/>
  </r>
  <r>
    <n v="34"/>
    <x v="1"/>
    <s v="Travel_Rarely"/>
    <n v="401"/>
    <x v="1"/>
    <n v="1"/>
    <n v="3"/>
    <s v="Life Sciences"/>
    <n v="1447"/>
    <n v="4"/>
    <s v="Female"/>
    <n v="86"/>
    <n v="2"/>
    <n v="1"/>
    <s v="Laboratory Technician"/>
    <n v="2"/>
    <s v="Married"/>
    <n v="3294"/>
    <n v="3708"/>
    <n v="5"/>
    <s v="No"/>
    <n v="17"/>
    <n v="3"/>
    <n v="1"/>
    <n v="1"/>
    <n v="7"/>
    <n v="2"/>
    <n v="2"/>
    <n v="5"/>
    <n v="4"/>
    <n v="0"/>
    <n v="2"/>
  </r>
  <r>
    <n v="41"/>
    <x v="1"/>
    <s v="Travel_Rarely"/>
    <n v="1283"/>
    <x v="1"/>
    <n v="5"/>
    <n v="5"/>
    <s v="Medical"/>
    <n v="1448"/>
    <n v="2"/>
    <s v="Male"/>
    <n v="90"/>
    <n v="4"/>
    <n v="1"/>
    <s v="Research Scientist"/>
    <n v="3"/>
    <s v="Married"/>
    <n v="2127"/>
    <n v="5561"/>
    <n v="2"/>
    <s v="Yes"/>
    <n v="12"/>
    <n v="3"/>
    <n v="1"/>
    <n v="0"/>
    <n v="7"/>
    <n v="5"/>
    <n v="2"/>
    <n v="4"/>
    <n v="2"/>
    <n v="0"/>
    <n v="3"/>
  </r>
  <r>
    <n v="40"/>
    <x v="1"/>
    <s v="Non-Travel"/>
    <n v="663"/>
    <x v="1"/>
    <n v="9"/>
    <n v="4"/>
    <s v="Other"/>
    <n v="1449"/>
    <n v="3"/>
    <s v="Male"/>
    <n v="81"/>
    <n v="3"/>
    <n v="2"/>
    <s v="Laboratory Technician"/>
    <n v="3"/>
    <s v="Divorced"/>
    <n v="3975"/>
    <n v="23099"/>
    <n v="3"/>
    <s v="No"/>
    <n v="11"/>
    <n v="3"/>
    <n v="3"/>
    <n v="2"/>
    <n v="11"/>
    <n v="2"/>
    <n v="4"/>
    <n v="8"/>
    <n v="7"/>
    <n v="0"/>
    <n v="7"/>
  </r>
  <r>
    <n v="31"/>
    <x v="1"/>
    <s v="Travel_Rarely"/>
    <n v="326"/>
    <x v="0"/>
    <n v="8"/>
    <n v="2"/>
    <s v="Life Sciences"/>
    <n v="1453"/>
    <n v="1"/>
    <s v="Male"/>
    <n v="31"/>
    <n v="3"/>
    <n v="3"/>
    <s v="Sales Executive"/>
    <n v="4"/>
    <s v="Divorced"/>
    <n v="10793"/>
    <n v="8386"/>
    <n v="1"/>
    <s v="No"/>
    <n v="18"/>
    <n v="3"/>
    <n v="1"/>
    <n v="1"/>
    <n v="13"/>
    <n v="5"/>
    <n v="3"/>
    <n v="13"/>
    <n v="7"/>
    <n v="9"/>
    <n v="9"/>
  </r>
  <r>
    <n v="46"/>
    <x v="0"/>
    <s v="Travel_Rarely"/>
    <n v="377"/>
    <x v="0"/>
    <n v="9"/>
    <n v="3"/>
    <s v="Marketing"/>
    <n v="1457"/>
    <n v="1"/>
    <s v="Male"/>
    <n v="52"/>
    <n v="3"/>
    <n v="3"/>
    <s v="Sales Executive"/>
    <n v="4"/>
    <s v="Divorced"/>
    <n v="10096"/>
    <n v="15986"/>
    <n v="4"/>
    <s v="No"/>
    <n v="11"/>
    <n v="3"/>
    <n v="1"/>
    <n v="1"/>
    <n v="28"/>
    <n v="1"/>
    <n v="4"/>
    <n v="7"/>
    <n v="7"/>
    <n v="4"/>
    <n v="3"/>
  </r>
  <r>
    <n v="39"/>
    <x v="0"/>
    <s v="Non-Travel"/>
    <n v="592"/>
    <x v="1"/>
    <n v="2"/>
    <n v="3"/>
    <s v="Life Sciences"/>
    <n v="1458"/>
    <n v="1"/>
    <s v="Female"/>
    <n v="54"/>
    <n v="2"/>
    <n v="1"/>
    <s v="Laboratory Technician"/>
    <n v="1"/>
    <s v="Single"/>
    <n v="3646"/>
    <n v="17181"/>
    <n v="2"/>
    <s v="Yes"/>
    <n v="23"/>
    <n v="4"/>
    <n v="2"/>
    <n v="0"/>
    <n v="11"/>
    <n v="2"/>
    <n v="4"/>
    <n v="1"/>
    <n v="0"/>
    <n v="0"/>
    <n v="0"/>
  </r>
  <r>
    <n v="31"/>
    <x v="0"/>
    <s v="Travel_Frequently"/>
    <n v="1445"/>
    <x v="1"/>
    <n v="1"/>
    <n v="5"/>
    <s v="Life Sciences"/>
    <n v="1459"/>
    <n v="3"/>
    <s v="Female"/>
    <n v="100"/>
    <n v="4"/>
    <n v="3"/>
    <s v="Manufacturing Director"/>
    <n v="2"/>
    <s v="Single"/>
    <n v="7446"/>
    <n v="8931"/>
    <n v="1"/>
    <s v="No"/>
    <n v="11"/>
    <n v="3"/>
    <n v="1"/>
    <n v="0"/>
    <n v="10"/>
    <n v="2"/>
    <n v="3"/>
    <n v="10"/>
    <n v="8"/>
    <n v="4"/>
    <n v="7"/>
  </r>
  <r>
    <n v="45"/>
    <x v="1"/>
    <s v="Travel_Rarely"/>
    <n v="1038"/>
    <x v="1"/>
    <n v="20"/>
    <n v="3"/>
    <s v="Medical"/>
    <n v="1460"/>
    <n v="2"/>
    <s v="Male"/>
    <n v="95"/>
    <n v="1"/>
    <n v="3"/>
    <s v="Healthcare Representative"/>
    <n v="1"/>
    <s v="Divorced"/>
    <n v="10851"/>
    <n v="19863"/>
    <n v="2"/>
    <s v="Yes"/>
    <n v="18"/>
    <n v="3"/>
    <n v="2"/>
    <n v="1"/>
    <n v="24"/>
    <n v="2"/>
    <n v="3"/>
    <n v="7"/>
    <n v="7"/>
    <n v="0"/>
    <n v="7"/>
  </r>
  <r>
    <n v="31"/>
    <x v="1"/>
    <s v="Travel_Rarely"/>
    <n v="1398"/>
    <x v="2"/>
    <n v="8"/>
    <n v="2"/>
    <s v="Medical"/>
    <n v="1461"/>
    <n v="4"/>
    <s v="Female"/>
    <n v="96"/>
    <n v="4"/>
    <n v="1"/>
    <s v="Human Resources"/>
    <n v="2"/>
    <s v="Single"/>
    <n v="2109"/>
    <n v="24609"/>
    <n v="9"/>
    <s v="No"/>
    <n v="18"/>
    <n v="3"/>
    <n v="4"/>
    <n v="0"/>
    <n v="8"/>
    <n v="3"/>
    <n v="3"/>
    <n v="3"/>
    <n v="2"/>
    <n v="0"/>
    <n v="2"/>
  </r>
  <r>
    <n v="31"/>
    <x v="0"/>
    <s v="Travel_Frequently"/>
    <n v="523"/>
    <x v="1"/>
    <n v="2"/>
    <n v="3"/>
    <s v="Life Sciences"/>
    <n v="1464"/>
    <n v="2"/>
    <s v="Male"/>
    <n v="94"/>
    <n v="3"/>
    <n v="1"/>
    <s v="Laboratory Technician"/>
    <n v="4"/>
    <s v="Married"/>
    <n v="3722"/>
    <n v="21081"/>
    <n v="6"/>
    <s v="Yes"/>
    <n v="13"/>
    <n v="3"/>
    <n v="3"/>
    <n v="1"/>
    <n v="7"/>
    <n v="2"/>
    <n v="1"/>
    <n v="2"/>
    <n v="2"/>
    <n v="2"/>
    <n v="2"/>
  </r>
  <r>
    <n v="45"/>
    <x v="1"/>
    <s v="Travel_Rarely"/>
    <n v="1448"/>
    <x v="1"/>
    <n v="29"/>
    <n v="3"/>
    <s v="Technical Degree"/>
    <n v="1465"/>
    <n v="2"/>
    <s v="Male"/>
    <n v="55"/>
    <n v="3"/>
    <n v="3"/>
    <s v="Manufacturing Director"/>
    <n v="4"/>
    <s v="Married"/>
    <n v="9380"/>
    <n v="14720"/>
    <n v="4"/>
    <s v="Yes"/>
    <n v="18"/>
    <n v="3"/>
    <n v="4"/>
    <n v="2"/>
    <n v="10"/>
    <n v="4"/>
    <n v="4"/>
    <n v="3"/>
    <n v="1"/>
    <n v="1"/>
    <n v="2"/>
  </r>
  <r>
    <n v="48"/>
    <x v="1"/>
    <s v="Travel_Rarely"/>
    <n v="1221"/>
    <x v="0"/>
    <n v="7"/>
    <n v="3"/>
    <s v="Marketing"/>
    <n v="1466"/>
    <n v="3"/>
    <s v="Male"/>
    <n v="96"/>
    <n v="3"/>
    <n v="2"/>
    <s v="Sales Executive"/>
    <n v="1"/>
    <s v="Divorced"/>
    <n v="5486"/>
    <n v="24795"/>
    <n v="4"/>
    <s v="No"/>
    <n v="11"/>
    <n v="3"/>
    <n v="1"/>
    <n v="3"/>
    <n v="15"/>
    <n v="3"/>
    <n v="3"/>
    <n v="2"/>
    <n v="2"/>
    <n v="2"/>
    <n v="2"/>
  </r>
  <r>
    <n v="34"/>
    <x v="0"/>
    <s v="Travel_Rarely"/>
    <n v="1107"/>
    <x v="2"/>
    <n v="9"/>
    <n v="4"/>
    <s v="Technical Degree"/>
    <n v="1467"/>
    <n v="1"/>
    <s v="Female"/>
    <n v="52"/>
    <n v="3"/>
    <n v="1"/>
    <s v="Human Resources"/>
    <n v="3"/>
    <s v="Married"/>
    <n v="2742"/>
    <n v="3072"/>
    <n v="1"/>
    <s v="No"/>
    <n v="15"/>
    <n v="3"/>
    <n v="4"/>
    <n v="0"/>
    <n v="2"/>
    <n v="0"/>
    <n v="3"/>
    <n v="2"/>
    <n v="2"/>
    <n v="2"/>
    <n v="2"/>
  </r>
  <r>
    <n v="40"/>
    <x v="1"/>
    <s v="Non-Travel"/>
    <n v="218"/>
    <x v="1"/>
    <n v="8"/>
    <n v="1"/>
    <s v="Medical"/>
    <n v="1468"/>
    <n v="4"/>
    <s v="Male"/>
    <n v="55"/>
    <n v="2"/>
    <n v="3"/>
    <s v="Research Director"/>
    <n v="2"/>
    <s v="Divorced"/>
    <n v="13757"/>
    <n v="25178"/>
    <n v="2"/>
    <s v="No"/>
    <n v="11"/>
    <n v="3"/>
    <n v="3"/>
    <n v="1"/>
    <n v="16"/>
    <n v="5"/>
    <n v="3"/>
    <n v="9"/>
    <n v="8"/>
    <n v="4"/>
    <n v="8"/>
  </r>
  <r>
    <n v="28"/>
    <x v="1"/>
    <s v="Travel_Rarely"/>
    <n v="866"/>
    <x v="0"/>
    <n v="5"/>
    <n v="3"/>
    <s v="Medical"/>
    <n v="1469"/>
    <n v="4"/>
    <s v="Male"/>
    <n v="84"/>
    <n v="3"/>
    <n v="2"/>
    <s v="Sales Executive"/>
    <n v="1"/>
    <s v="Single"/>
    <n v="8463"/>
    <n v="23490"/>
    <n v="0"/>
    <s v="No"/>
    <n v="18"/>
    <n v="3"/>
    <n v="4"/>
    <n v="0"/>
    <n v="6"/>
    <n v="4"/>
    <n v="3"/>
    <n v="5"/>
    <n v="4"/>
    <n v="1"/>
    <n v="3"/>
  </r>
  <r>
    <n v="44"/>
    <x v="1"/>
    <s v="Non-Travel"/>
    <n v="981"/>
    <x v="1"/>
    <n v="5"/>
    <n v="3"/>
    <s v="Life Sciences"/>
    <n v="1471"/>
    <n v="3"/>
    <s v="Male"/>
    <n v="90"/>
    <n v="2"/>
    <n v="1"/>
    <s v="Laboratory Technician"/>
    <n v="3"/>
    <s v="Single"/>
    <n v="3162"/>
    <n v="7973"/>
    <n v="3"/>
    <s v="No"/>
    <n v="14"/>
    <n v="3"/>
    <n v="4"/>
    <n v="0"/>
    <n v="7"/>
    <n v="5"/>
    <n v="3"/>
    <n v="5"/>
    <n v="2"/>
    <n v="0"/>
    <n v="3"/>
  </r>
  <r>
    <n v="53"/>
    <x v="1"/>
    <s v="Travel_Rarely"/>
    <n v="447"/>
    <x v="1"/>
    <n v="2"/>
    <n v="3"/>
    <s v="Medical"/>
    <n v="1472"/>
    <n v="4"/>
    <s v="Male"/>
    <n v="39"/>
    <n v="4"/>
    <n v="4"/>
    <s v="Research Director"/>
    <n v="2"/>
    <s v="Single"/>
    <n v="16598"/>
    <n v="19764"/>
    <n v="4"/>
    <s v="No"/>
    <n v="12"/>
    <n v="3"/>
    <n v="2"/>
    <n v="0"/>
    <n v="35"/>
    <n v="2"/>
    <n v="2"/>
    <n v="9"/>
    <n v="8"/>
    <n v="8"/>
    <n v="8"/>
  </r>
  <r>
    <n v="49"/>
    <x v="1"/>
    <s v="Travel_Rarely"/>
    <n v="1495"/>
    <x v="1"/>
    <n v="5"/>
    <n v="4"/>
    <s v="Technical Degree"/>
    <n v="1473"/>
    <n v="1"/>
    <s v="Male"/>
    <n v="96"/>
    <n v="3"/>
    <n v="2"/>
    <s v="Healthcare Representative"/>
    <n v="3"/>
    <s v="Married"/>
    <n v="6651"/>
    <n v="21534"/>
    <n v="2"/>
    <s v="No"/>
    <n v="14"/>
    <n v="3"/>
    <n v="2"/>
    <n v="1"/>
    <n v="20"/>
    <n v="0"/>
    <n v="2"/>
    <n v="3"/>
    <n v="2"/>
    <n v="1"/>
    <n v="2"/>
  </r>
  <r>
    <n v="40"/>
    <x v="1"/>
    <s v="Travel_Rarely"/>
    <n v="896"/>
    <x v="1"/>
    <n v="2"/>
    <n v="3"/>
    <s v="Medical"/>
    <n v="1474"/>
    <n v="3"/>
    <s v="Male"/>
    <n v="68"/>
    <n v="3"/>
    <n v="1"/>
    <s v="Research Scientist"/>
    <n v="3"/>
    <s v="Divorced"/>
    <n v="2345"/>
    <n v="8045"/>
    <n v="2"/>
    <s v="No"/>
    <n v="14"/>
    <n v="3"/>
    <n v="3"/>
    <n v="1"/>
    <n v="8"/>
    <n v="3"/>
    <n v="4"/>
    <n v="3"/>
    <n v="1"/>
    <n v="1"/>
    <n v="2"/>
  </r>
  <r>
    <n v="44"/>
    <x v="1"/>
    <s v="Travel_Rarely"/>
    <n v="1467"/>
    <x v="1"/>
    <n v="20"/>
    <n v="3"/>
    <s v="Life Sciences"/>
    <n v="1475"/>
    <n v="4"/>
    <s v="Male"/>
    <n v="49"/>
    <n v="3"/>
    <n v="1"/>
    <s v="Research Scientist"/>
    <n v="2"/>
    <s v="Single"/>
    <n v="3420"/>
    <n v="21158"/>
    <n v="1"/>
    <s v="No"/>
    <n v="13"/>
    <n v="3"/>
    <n v="3"/>
    <n v="0"/>
    <n v="6"/>
    <n v="3"/>
    <n v="2"/>
    <n v="5"/>
    <n v="2"/>
    <n v="1"/>
    <n v="3"/>
  </r>
  <r>
    <n v="33"/>
    <x v="1"/>
    <s v="Travel_Frequently"/>
    <n v="430"/>
    <x v="0"/>
    <n v="7"/>
    <n v="3"/>
    <s v="Medical"/>
    <n v="1477"/>
    <n v="4"/>
    <s v="Male"/>
    <n v="54"/>
    <n v="3"/>
    <n v="2"/>
    <s v="Sales Executive"/>
    <n v="1"/>
    <s v="Married"/>
    <n v="4373"/>
    <n v="17456"/>
    <n v="0"/>
    <s v="No"/>
    <n v="14"/>
    <n v="3"/>
    <n v="1"/>
    <n v="2"/>
    <n v="5"/>
    <n v="2"/>
    <n v="3"/>
    <n v="4"/>
    <n v="3"/>
    <n v="0"/>
    <n v="3"/>
  </r>
  <r>
    <n v="34"/>
    <x v="1"/>
    <s v="Travel_Rarely"/>
    <n v="1326"/>
    <x v="0"/>
    <n v="3"/>
    <n v="3"/>
    <s v="Other"/>
    <n v="1478"/>
    <n v="4"/>
    <s v="Male"/>
    <n v="81"/>
    <n v="1"/>
    <n v="2"/>
    <s v="Sales Executive"/>
    <n v="1"/>
    <s v="Single"/>
    <n v="4759"/>
    <n v="15891"/>
    <n v="3"/>
    <s v="No"/>
    <n v="18"/>
    <n v="3"/>
    <n v="4"/>
    <n v="0"/>
    <n v="15"/>
    <n v="2"/>
    <n v="3"/>
    <n v="13"/>
    <n v="9"/>
    <n v="3"/>
    <n v="12"/>
  </r>
  <r>
    <n v="30"/>
    <x v="1"/>
    <s v="Travel_Rarely"/>
    <n v="1358"/>
    <x v="0"/>
    <n v="16"/>
    <n v="1"/>
    <s v="Life Sciences"/>
    <n v="1479"/>
    <n v="4"/>
    <s v="Male"/>
    <n v="96"/>
    <n v="3"/>
    <n v="2"/>
    <s v="Sales Executive"/>
    <n v="3"/>
    <s v="Married"/>
    <n v="5301"/>
    <n v="2939"/>
    <n v="8"/>
    <s v="No"/>
    <n v="15"/>
    <n v="3"/>
    <n v="3"/>
    <n v="2"/>
    <n v="4"/>
    <n v="2"/>
    <n v="2"/>
    <n v="2"/>
    <n v="1"/>
    <n v="2"/>
    <n v="2"/>
  </r>
  <r>
    <n v="42"/>
    <x v="1"/>
    <s v="Travel_Frequently"/>
    <n v="748"/>
    <x v="1"/>
    <n v="9"/>
    <n v="2"/>
    <s v="Medical"/>
    <n v="1480"/>
    <n v="1"/>
    <s v="Female"/>
    <n v="74"/>
    <n v="3"/>
    <n v="1"/>
    <s v="Laboratory Technician"/>
    <n v="4"/>
    <s v="Single"/>
    <n v="3673"/>
    <n v="16458"/>
    <n v="1"/>
    <s v="No"/>
    <n v="13"/>
    <n v="3"/>
    <n v="3"/>
    <n v="0"/>
    <n v="12"/>
    <n v="3"/>
    <n v="3"/>
    <n v="12"/>
    <n v="9"/>
    <n v="5"/>
    <n v="8"/>
  </r>
  <r>
    <n v="44"/>
    <x v="1"/>
    <s v="Travel_Frequently"/>
    <n v="383"/>
    <x v="0"/>
    <n v="1"/>
    <n v="5"/>
    <s v="Marketing"/>
    <n v="1481"/>
    <n v="1"/>
    <s v="Female"/>
    <n v="79"/>
    <n v="3"/>
    <n v="2"/>
    <s v="Sales Executive"/>
    <n v="3"/>
    <s v="Married"/>
    <n v="4768"/>
    <n v="9282"/>
    <n v="7"/>
    <s v="No"/>
    <n v="12"/>
    <n v="3"/>
    <n v="3"/>
    <n v="1"/>
    <n v="11"/>
    <n v="4"/>
    <n v="2"/>
    <n v="1"/>
    <n v="0"/>
    <n v="0"/>
    <n v="0"/>
  </r>
  <r>
    <n v="30"/>
    <x v="1"/>
    <s v="Non-Travel"/>
    <n v="990"/>
    <x v="1"/>
    <n v="7"/>
    <n v="3"/>
    <s v="Technical Degree"/>
    <n v="1482"/>
    <n v="3"/>
    <s v="Male"/>
    <n v="64"/>
    <n v="3"/>
    <n v="1"/>
    <s v="Research Scientist"/>
    <n v="3"/>
    <s v="Divorced"/>
    <n v="1274"/>
    <n v="7152"/>
    <n v="1"/>
    <s v="No"/>
    <n v="13"/>
    <n v="3"/>
    <n v="2"/>
    <n v="2"/>
    <n v="1"/>
    <n v="2"/>
    <n v="2"/>
    <n v="1"/>
    <n v="0"/>
    <n v="0"/>
    <n v="0"/>
  </r>
  <r>
    <n v="57"/>
    <x v="1"/>
    <s v="Travel_Rarely"/>
    <n v="405"/>
    <x v="1"/>
    <n v="1"/>
    <n v="2"/>
    <s v="Life Sciences"/>
    <n v="1483"/>
    <n v="2"/>
    <s v="Male"/>
    <n v="93"/>
    <n v="4"/>
    <n v="2"/>
    <s v="Research Scientist"/>
    <n v="3"/>
    <s v="Married"/>
    <n v="4900"/>
    <n v="2721"/>
    <n v="0"/>
    <s v="No"/>
    <n v="24"/>
    <n v="4"/>
    <n v="1"/>
    <n v="1"/>
    <n v="13"/>
    <n v="2"/>
    <n v="2"/>
    <n v="12"/>
    <n v="9"/>
    <n v="2"/>
    <n v="8"/>
  </r>
  <r>
    <n v="49"/>
    <x v="1"/>
    <s v="Travel_Rarely"/>
    <n v="1490"/>
    <x v="1"/>
    <n v="7"/>
    <n v="4"/>
    <s v="Life Sciences"/>
    <n v="1484"/>
    <n v="3"/>
    <s v="Male"/>
    <n v="35"/>
    <n v="3"/>
    <n v="3"/>
    <s v="Healthcare Representative"/>
    <n v="2"/>
    <s v="Divorced"/>
    <n v="10466"/>
    <n v="20948"/>
    <n v="3"/>
    <s v="No"/>
    <n v="14"/>
    <n v="3"/>
    <n v="2"/>
    <n v="2"/>
    <n v="29"/>
    <n v="3"/>
    <n v="3"/>
    <n v="8"/>
    <n v="7"/>
    <n v="0"/>
    <n v="7"/>
  </r>
  <r>
    <n v="34"/>
    <x v="1"/>
    <s v="Travel_Frequently"/>
    <n v="829"/>
    <x v="1"/>
    <n v="15"/>
    <n v="3"/>
    <s v="Medical"/>
    <n v="1485"/>
    <n v="2"/>
    <s v="Male"/>
    <n v="71"/>
    <n v="3"/>
    <n v="4"/>
    <s v="Research Director"/>
    <n v="1"/>
    <s v="Divorced"/>
    <n v="17007"/>
    <n v="11929"/>
    <n v="7"/>
    <s v="No"/>
    <n v="14"/>
    <n v="3"/>
    <n v="4"/>
    <n v="2"/>
    <n v="16"/>
    <n v="3"/>
    <n v="2"/>
    <n v="14"/>
    <n v="8"/>
    <n v="6"/>
    <n v="9"/>
  </r>
  <r>
    <n v="28"/>
    <x v="0"/>
    <s v="Travel_Frequently"/>
    <n v="1496"/>
    <x v="0"/>
    <n v="1"/>
    <n v="3"/>
    <s v="Technical Degree"/>
    <n v="1486"/>
    <n v="1"/>
    <s v="Male"/>
    <n v="92"/>
    <n v="3"/>
    <n v="1"/>
    <s v="Sales Representative"/>
    <n v="3"/>
    <s v="Married"/>
    <n v="2909"/>
    <n v="15747"/>
    <n v="3"/>
    <s v="No"/>
    <n v="15"/>
    <n v="3"/>
    <n v="4"/>
    <n v="1"/>
    <n v="5"/>
    <n v="3"/>
    <n v="4"/>
    <n v="3"/>
    <n v="2"/>
    <n v="1"/>
    <n v="2"/>
  </r>
  <r>
    <n v="29"/>
    <x v="0"/>
    <s v="Travel_Frequently"/>
    <n v="115"/>
    <x v="0"/>
    <n v="13"/>
    <n v="3"/>
    <s v="Technical Degree"/>
    <n v="1487"/>
    <n v="1"/>
    <s v="Female"/>
    <n v="51"/>
    <n v="3"/>
    <n v="2"/>
    <s v="Sales Executive"/>
    <n v="2"/>
    <s v="Single"/>
    <n v="5765"/>
    <n v="17485"/>
    <n v="5"/>
    <s v="No"/>
    <n v="11"/>
    <n v="3"/>
    <n v="1"/>
    <n v="0"/>
    <n v="7"/>
    <n v="4"/>
    <n v="1"/>
    <n v="5"/>
    <n v="3"/>
    <n v="0"/>
    <n v="0"/>
  </r>
  <r>
    <n v="34"/>
    <x v="0"/>
    <s v="Travel_Rarely"/>
    <n v="790"/>
    <x v="0"/>
    <n v="24"/>
    <n v="4"/>
    <s v="Medical"/>
    <n v="1489"/>
    <n v="1"/>
    <s v="Female"/>
    <n v="40"/>
    <n v="2"/>
    <n v="2"/>
    <s v="Sales Executive"/>
    <n v="2"/>
    <s v="Single"/>
    <n v="4599"/>
    <n v="7815"/>
    <n v="0"/>
    <s v="Yes"/>
    <n v="23"/>
    <n v="4"/>
    <n v="3"/>
    <n v="0"/>
    <n v="16"/>
    <n v="2"/>
    <n v="4"/>
    <n v="15"/>
    <n v="9"/>
    <n v="10"/>
    <n v="10"/>
  </r>
  <r>
    <n v="35"/>
    <x v="1"/>
    <s v="Travel_Rarely"/>
    <n v="660"/>
    <x v="0"/>
    <n v="7"/>
    <n v="1"/>
    <s v="Life Sciences"/>
    <n v="1492"/>
    <n v="4"/>
    <s v="Male"/>
    <n v="76"/>
    <n v="3"/>
    <n v="1"/>
    <s v="Sales Representative"/>
    <n v="3"/>
    <s v="Married"/>
    <n v="2404"/>
    <n v="16192"/>
    <n v="1"/>
    <s v="No"/>
    <n v="13"/>
    <n v="3"/>
    <n v="1"/>
    <n v="1"/>
    <n v="1"/>
    <n v="3"/>
    <n v="3"/>
    <n v="1"/>
    <n v="0"/>
    <n v="0"/>
    <n v="0"/>
  </r>
  <r>
    <n v="24"/>
    <x v="0"/>
    <s v="Travel_Frequently"/>
    <n v="381"/>
    <x v="1"/>
    <n v="9"/>
    <n v="3"/>
    <s v="Medical"/>
    <n v="1494"/>
    <n v="2"/>
    <s v="Male"/>
    <n v="89"/>
    <n v="3"/>
    <n v="1"/>
    <s v="Laboratory Technician"/>
    <n v="1"/>
    <s v="Single"/>
    <n v="3172"/>
    <n v="16998"/>
    <n v="2"/>
    <s v="Yes"/>
    <n v="11"/>
    <n v="3"/>
    <n v="3"/>
    <n v="0"/>
    <n v="4"/>
    <n v="2"/>
    <n v="2"/>
    <n v="0"/>
    <n v="0"/>
    <n v="0"/>
    <n v="0"/>
  </r>
  <r>
    <n v="24"/>
    <x v="1"/>
    <s v="Non-Travel"/>
    <n v="830"/>
    <x v="0"/>
    <n v="13"/>
    <n v="2"/>
    <s v="Life Sciences"/>
    <n v="1495"/>
    <n v="4"/>
    <s v="Female"/>
    <n v="78"/>
    <n v="3"/>
    <n v="1"/>
    <s v="Sales Representative"/>
    <n v="2"/>
    <s v="Married"/>
    <n v="2033"/>
    <n v="7103"/>
    <n v="1"/>
    <s v="No"/>
    <n v="13"/>
    <n v="3"/>
    <n v="3"/>
    <n v="1"/>
    <n v="1"/>
    <n v="2"/>
    <n v="3"/>
    <n v="1"/>
    <n v="0"/>
    <n v="0"/>
    <n v="0"/>
  </r>
  <r>
    <n v="44"/>
    <x v="1"/>
    <s v="Travel_Frequently"/>
    <n v="1193"/>
    <x v="1"/>
    <n v="2"/>
    <n v="1"/>
    <s v="Medical"/>
    <n v="1496"/>
    <n v="2"/>
    <s v="Male"/>
    <n v="86"/>
    <n v="3"/>
    <n v="3"/>
    <s v="Manufacturing Director"/>
    <n v="3"/>
    <s v="Single"/>
    <n v="10209"/>
    <n v="19719"/>
    <n v="5"/>
    <s v="Yes"/>
    <n v="18"/>
    <n v="3"/>
    <n v="2"/>
    <n v="0"/>
    <n v="16"/>
    <n v="2"/>
    <n v="2"/>
    <n v="2"/>
    <n v="2"/>
    <n v="2"/>
    <n v="2"/>
  </r>
  <r>
    <n v="29"/>
    <x v="1"/>
    <s v="Travel_Rarely"/>
    <n v="1246"/>
    <x v="0"/>
    <n v="19"/>
    <n v="3"/>
    <s v="Life Sciences"/>
    <n v="1497"/>
    <n v="3"/>
    <s v="Male"/>
    <n v="77"/>
    <n v="2"/>
    <n v="2"/>
    <s v="Sales Executive"/>
    <n v="3"/>
    <s v="Divorced"/>
    <n v="8620"/>
    <n v="23757"/>
    <n v="1"/>
    <s v="No"/>
    <n v="14"/>
    <n v="3"/>
    <n v="3"/>
    <n v="2"/>
    <n v="10"/>
    <n v="3"/>
    <n v="3"/>
    <n v="10"/>
    <n v="7"/>
    <n v="0"/>
    <n v="4"/>
  </r>
  <r>
    <n v="30"/>
    <x v="1"/>
    <s v="Travel_Rarely"/>
    <n v="330"/>
    <x v="2"/>
    <n v="1"/>
    <n v="3"/>
    <s v="Life Sciences"/>
    <n v="1499"/>
    <n v="3"/>
    <s v="Male"/>
    <n v="46"/>
    <n v="3"/>
    <n v="1"/>
    <s v="Human Resources"/>
    <n v="3"/>
    <s v="Divorced"/>
    <n v="2064"/>
    <n v="15428"/>
    <n v="0"/>
    <s v="No"/>
    <n v="21"/>
    <n v="4"/>
    <n v="1"/>
    <n v="1"/>
    <n v="6"/>
    <n v="3"/>
    <n v="4"/>
    <n v="5"/>
    <n v="3"/>
    <n v="1"/>
    <n v="3"/>
  </r>
  <r>
    <n v="55"/>
    <x v="1"/>
    <s v="Travel_Rarely"/>
    <n v="1229"/>
    <x v="1"/>
    <n v="4"/>
    <n v="4"/>
    <s v="Life Sciences"/>
    <n v="1501"/>
    <n v="4"/>
    <s v="Male"/>
    <n v="30"/>
    <n v="3"/>
    <n v="2"/>
    <s v="Healthcare Representative"/>
    <n v="3"/>
    <s v="Married"/>
    <n v="4035"/>
    <n v="16143"/>
    <n v="0"/>
    <s v="Yes"/>
    <n v="16"/>
    <n v="3"/>
    <n v="2"/>
    <n v="0"/>
    <n v="4"/>
    <n v="2"/>
    <n v="3"/>
    <n v="3"/>
    <n v="2"/>
    <n v="1"/>
    <n v="2"/>
  </r>
  <r>
    <n v="33"/>
    <x v="1"/>
    <s v="Travel_Rarely"/>
    <n v="1099"/>
    <x v="1"/>
    <n v="4"/>
    <n v="4"/>
    <s v="Medical"/>
    <n v="1502"/>
    <n v="1"/>
    <s v="Female"/>
    <n v="82"/>
    <n v="2"/>
    <n v="1"/>
    <s v="Laboratory Technician"/>
    <n v="2"/>
    <s v="Married"/>
    <n v="3838"/>
    <n v="8192"/>
    <n v="8"/>
    <s v="No"/>
    <n v="11"/>
    <n v="3"/>
    <n v="4"/>
    <n v="0"/>
    <n v="8"/>
    <n v="5"/>
    <n v="3"/>
    <n v="5"/>
    <n v="4"/>
    <n v="0"/>
    <n v="2"/>
  </r>
  <r>
    <n v="47"/>
    <x v="1"/>
    <s v="Travel_Rarely"/>
    <n v="571"/>
    <x v="0"/>
    <n v="14"/>
    <n v="3"/>
    <s v="Medical"/>
    <n v="1503"/>
    <n v="3"/>
    <s v="Female"/>
    <n v="78"/>
    <n v="3"/>
    <n v="2"/>
    <s v="Sales Executive"/>
    <n v="3"/>
    <s v="Married"/>
    <n v="4591"/>
    <n v="24200"/>
    <n v="3"/>
    <s v="Yes"/>
    <n v="17"/>
    <n v="3"/>
    <n v="3"/>
    <n v="1"/>
    <n v="11"/>
    <n v="4"/>
    <n v="2"/>
    <n v="5"/>
    <n v="4"/>
    <n v="1"/>
    <n v="2"/>
  </r>
  <r>
    <n v="28"/>
    <x v="0"/>
    <s v="Travel_Frequently"/>
    <n v="289"/>
    <x v="1"/>
    <n v="2"/>
    <n v="2"/>
    <s v="Medical"/>
    <n v="1504"/>
    <n v="3"/>
    <s v="Male"/>
    <n v="38"/>
    <n v="2"/>
    <n v="1"/>
    <s v="Laboratory Technician"/>
    <n v="1"/>
    <s v="Single"/>
    <n v="2561"/>
    <n v="5355"/>
    <n v="7"/>
    <s v="No"/>
    <n v="11"/>
    <n v="3"/>
    <n v="3"/>
    <n v="0"/>
    <n v="8"/>
    <n v="2"/>
    <n v="2"/>
    <n v="0"/>
    <n v="0"/>
    <n v="0"/>
    <n v="0"/>
  </r>
  <r>
    <n v="28"/>
    <x v="1"/>
    <s v="Travel_Rarely"/>
    <n v="1423"/>
    <x v="1"/>
    <n v="1"/>
    <n v="3"/>
    <s v="Life Sciences"/>
    <n v="1506"/>
    <n v="1"/>
    <s v="Male"/>
    <n v="72"/>
    <n v="2"/>
    <n v="1"/>
    <s v="Research Scientist"/>
    <n v="3"/>
    <s v="Divorced"/>
    <n v="1563"/>
    <n v="12530"/>
    <n v="1"/>
    <s v="No"/>
    <n v="14"/>
    <n v="3"/>
    <n v="4"/>
    <n v="1"/>
    <n v="1"/>
    <n v="2"/>
    <n v="1"/>
    <n v="1"/>
    <n v="0"/>
    <n v="0"/>
    <n v="0"/>
  </r>
  <r>
    <n v="28"/>
    <x v="1"/>
    <s v="Travel_Frequently"/>
    <n v="467"/>
    <x v="0"/>
    <n v="7"/>
    <n v="3"/>
    <s v="Life Sciences"/>
    <n v="1507"/>
    <n v="3"/>
    <s v="Male"/>
    <n v="55"/>
    <n v="3"/>
    <n v="2"/>
    <s v="Sales Executive"/>
    <n v="1"/>
    <s v="Single"/>
    <n v="4898"/>
    <n v="11827"/>
    <n v="0"/>
    <s v="No"/>
    <n v="14"/>
    <n v="3"/>
    <n v="4"/>
    <n v="0"/>
    <n v="5"/>
    <n v="5"/>
    <n v="3"/>
    <n v="4"/>
    <n v="2"/>
    <n v="1"/>
    <n v="3"/>
  </r>
  <r>
    <n v="49"/>
    <x v="1"/>
    <s v="Travel_Rarely"/>
    <n v="271"/>
    <x v="1"/>
    <n v="3"/>
    <n v="2"/>
    <s v="Medical"/>
    <n v="1509"/>
    <n v="3"/>
    <s v="Female"/>
    <n v="43"/>
    <n v="2"/>
    <n v="2"/>
    <s v="Laboratory Technician"/>
    <n v="1"/>
    <s v="Married"/>
    <n v="4789"/>
    <n v="23070"/>
    <n v="4"/>
    <s v="No"/>
    <n v="25"/>
    <n v="4"/>
    <n v="1"/>
    <n v="1"/>
    <n v="10"/>
    <n v="3"/>
    <n v="3"/>
    <n v="3"/>
    <n v="2"/>
    <n v="1"/>
    <n v="2"/>
  </r>
  <r>
    <n v="29"/>
    <x v="1"/>
    <s v="Travel_Frequently"/>
    <n v="410"/>
    <x v="1"/>
    <n v="2"/>
    <n v="1"/>
    <s v="Life Sciences"/>
    <n v="1513"/>
    <n v="4"/>
    <s v="Female"/>
    <n v="97"/>
    <n v="3"/>
    <n v="1"/>
    <s v="Laboratory Technician"/>
    <n v="2"/>
    <s v="Married"/>
    <n v="3180"/>
    <n v="4668"/>
    <n v="0"/>
    <s v="No"/>
    <n v="13"/>
    <n v="3"/>
    <n v="3"/>
    <n v="3"/>
    <n v="4"/>
    <n v="3"/>
    <n v="3"/>
    <n v="3"/>
    <n v="2"/>
    <n v="0"/>
    <n v="2"/>
  </r>
  <r>
    <n v="28"/>
    <x v="1"/>
    <s v="Travel_Rarely"/>
    <n v="1083"/>
    <x v="1"/>
    <n v="29"/>
    <n v="1"/>
    <s v="Life Sciences"/>
    <n v="1514"/>
    <n v="3"/>
    <s v="Male"/>
    <n v="96"/>
    <n v="1"/>
    <n v="2"/>
    <s v="Manufacturing Director"/>
    <n v="2"/>
    <s v="Married"/>
    <n v="6549"/>
    <n v="3173"/>
    <n v="1"/>
    <s v="No"/>
    <n v="14"/>
    <n v="3"/>
    <n v="2"/>
    <n v="2"/>
    <n v="8"/>
    <n v="2"/>
    <n v="2"/>
    <n v="8"/>
    <n v="6"/>
    <n v="1"/>
    <n v="7"/>
  </r>
  <r>
    <n v="33"/>
    <x v="1"/>
    <s v="Travel_Rarely"/>
    <n v="516"/>
    <x v="1"/>
    <n v="8"/>
    <n v="5"/>
    <s v="Life Sciences"/>
    <n v="1515"/>
    <n v="4"/>
    <s v="Male"/>
    <n v="69"/>
    <n v="3"/>
    <n v="2"/>
    <s v="Healthcare Representative"/>
    <n v="3"/>
    <s v="Single"/>
    <n v="6388"/>
    <n v="22049"/>
    <n v="2"/>
    <s v="Yes"/>
    <n v="17"/>
    <n v="3"/>
    <n v="1"/>
    <n v="0"/>
    <n v="14"/>
    <n v="6"/>
    <n v="3"/>
    <n v="0"/>
    <n v="0"/>
    <n v="0"/>
    <n v="0"/>
  </r>
  <r>
    <n v="32"/>
    <x v="1"/>
    <s v="Travel_Rarely"/>
    <n v="495"/>
    <x v="1"/>
    <n v="10"/>
    <n v="3"/>
    <s v="Medical"/>
    <n v="1516"/>
    <n v="3"/>
    <s v="Male"/>
    <n v="64"/>
    <n v="3"/>
    <n v="3"/>
    <s v="Manager"/>
    <n v="4"/>
    <s v="Single"/>
    <n v="11244"/>
    <n v="21072"/>
    <n v="2"/>
    <s v="No"/>
    <n v="25"/>
    <n v="4"/>
    <n v="2"/>
    <n v="0"/>
    <n v="10"/>
    <n v="5"/>
    <n v="4"/>
    <n v="5"/>
    <n v="2"/>
    <n v="0"/>
    <n v="0"/>
  </r>
  <r>
    <n v="54"/>
    <x v="1"/>
    <s v="Travel_Frequently"/>
    <n v="1050"/>
    <x v="1"/>
    <n v="11"/>
    <n v="4"/>
    <s v="Medical"/>
    <n v="1520"/>
    <n v="2"/>
    <s v="Female"/>
    <n v="87"/>
    <n v="3"/>
    <n v="4"/>
    <s v="Manager"/>
    <n v="4"/>
    <s v="Divorced"/>
    <n v="16032"/>
    <n v="24456"/>
    <n v="3"/>
    <s v="No"/>
    <n v="20"/>
    <n v="4"/>
    <n v="1"/>
    <n v="1"/>
    <n v="26"/>
    <n v="2"/>
    <n v="3"/>
    <n v="14"/>
    <n v="9"/>
    <n v="1"/>
    <n v="12"/>
  </r>
  <r>
    <n v="29"/>
    <x v="0"/>
    <s v="Travel_Rarely"/>
    <n v="224"/>
    <x v="1"/>
    <n v="1"/>
    <n v="4"/>
    <s v="Technical Degree"/>
    <n v="1522"/>
    <n v="1"/>
    <s v="Male"/>
    <n v="100"/>
    <n v="2"/>
    <n v="1"/>
    <s v="Research Scientist"/>
    <n v="1"/>
    <s v="Single"/>
    <n v="2362"/>
    <n v="7568"/>
    <n v="6"/>
    <s v="No"/>
    <n v="13"/>
    <n v="3"/>
    <n v="3"/>
    <n v="0"/>
    <n v="11"/>
    <n v="2"/>
    <n v="1"/>
    <n v="9"/>
    <n v="7"/>
    <n v="0"/>
    <n v="7"/>
  </r>
  <r>
    <n v="44"/>
    <x v="1"/>
    <s v="Travel_Rarely"/>
    <n v="136"/>
    <x v="1"/>
    <n v="28"/>
    <n v="3"/>
    <s v="Life Sciences"/>
    <n v="1523"/>
    <n v="4"/>
    <s v="Male"/>
    <n v="32"/>
    <n v="3"/>
    <n v="4"/>
    <s v="Research Director"/>
    <n v="1"/>
    <s v="Married"/>
    <n v="16328"/>
    <n v="22074"/>
    <n v="3"/>
    <s v="No"/>
    <n v="13"/>
    <n v="3"/>
    <n v="3"/>
    <n v="1"/>
    <n v="24"/>
    <n v="1"/>
    <n v="4"/>
    <n v="20"/>
    <n v="6"/>
    <n v="14"/>
    <n v="17"/>
  </r>
  <r>
    <n v="39"/>
    <x v="1"/>
    <s v="Travel_Rarely"/>
    <n v="1089"/>
    <x v="1"/>
    <n v="6"/>
    <n v="3"/>
    <s v="Life Sciences"/>
    <n v="1525"/>
    <n v="2"/>
    <s v="Female"/>
    <n v="32"/>
    <n v="3"/>
    <n v="3"/>
    <s v="Manufacturing Director"/>
    <n v="2"/>
    <s v="Single"/>
    <n v="8376"/>
    <n v="9150"/>
    <n v="4"/>
    <s v="No"/>
    <n v="18"/>
    <n v="3"/>
    <n v="4"/>
    <n v="0"/>
    <n v="9"/>
    <n v="3"/>
    <n v="3"/>
    <n v="2"/>
    <n v="0"/>
    <n v="2"/>
    <n v="2"/>
  </r>
  <r>
    <n v="46"/>
    <x v="1"/>
    <s v="Travel_Rarely"/>
    <n v="228"/>
    <x v="0"/>
    <n v="3"/>
    <n v="3"/>
    <s v="Life Sciences"/>
    <n v="1527"/>
    <n v="3"/>
    <s v="Female"/>
    <n v="51"/>
    <n v="3"/>
    <n v="4"/>
    <s v="Manager"/>
    <n v="2"/>
    <s v="Married"/>
    <n v="16606"/>
    <n v="11380"/>
    <n v="8"/>
    <s v="No"/>
    <n v="12"/>
    <n v="3"/>
    <n v="4"/>
    <n v="1"/>
    <n v="23"/>
    <n v="2"/>
    <n v="4"/>
    <n v="13"/>
    <n v="12"/>
    <n v="5"/>
    <n v="1"/>
  </r>
  <r>
    <n v="35"/>
    <x v="1"/>
    <s v="Travel_Rarely"/>
    <n v="1029"/>
    <x v="1"/>
    <n v="16"/>
    <n v="3"/>
    <s v="Life Sciences"/>
    <n v="1529"/>
    <n v="4"/>
    <s v="Female"/>
    <n v="91"/>
    <n v="2"/>
    <n v="3"/>
    <s v="Healthcare Representative"/>
    <n v="2"/>
    <s v="Single"/>
    <n v="8606"/>
    <n v="21195"/>
    <n v="1"/>
    <s v="No"/>
    <n v="19"/>
    <n v="3"/>
    <n v="4"/>
    <n v="0"/>
    <n v="11"/>
    <n v="3"/>
    <n v="1"/>
    <n v="11"/>
    <n v="8"/>
    <n v="3"/>
    <n v="3"/>
  </r>
  <r>
    <n v="23"/>
    <x v="1"/>
    <s v="Travel_Rarely"/>
    <n v="507"/>
    <x v="1"/>
    <n v="20"/>
    <n v="1"/>
    <s v="Life Sciences"/>
    <n v="1533"/>
    <n v="1"/>
    <s v="Male"/>
    <n v="97"/>
    <n v="3"/>
    <n v="2"/>
    <s v="Laboratory Technician"/>
    <n v="3"/>
    <s v="Single"/>
    <n v="2272"/>
    <n v="24812"/>
    <n v="0"/>
    <s v="No"/>
    <n v="14"/>
    <n v="3"/>
    <n v="2"/>
    <n v="0"/>
    <n v="5"/>
    <n v="2"/>
    <n v="3"/>
    <n v="4"/>
    <n v="3"/>
    <n v="1"/>
    <n v="2"/>
  </r>
  <r>
    <n v="40"/>
    <x v="0"/>
    <s v="Travel_Rarely"/>
    <n v="676"/>
    <x v="1"/>
    <n v="9"/>
    <n v="4"/>
    <s v="Life Sciences"/>
    <n v="1534"/>
    <n v="4"/>
    <s v="Male"/>
    <n v="86"/>
    <n v="3"/>
    <n v="1"/>
    <s v="Laboratory Technician"/>
    <n v="1"/>
    <s v="Single"/>
    <n v="2018"/>
    <n v="21831"/>
    <n v="3"/>
    <s v="No"/>
    <n v="14"/>
    <n v="3"/>
    <n v="2"/>
    <n v="0"/>
    <n v="15"/>
    <n v="3"/>
    <n v="1"/>
    <n v="5"/>
    <n v="4"/>
    <n v="1"/>
    <n v="0"/>
  </r>
  <r>
    <n v="34"/>
    <x v="1"/>
    <s v="Travel_Rarely"/>
    <n v="971"/>
    <x v="0"/>
    <n v="1"/>
    <n v="3"/>
    <s v="Technical Degree"/>
    <n v="1535"/>
    <n v="4"/>
    <s v="Male"/>
    <n v="64"/>
    <n v="2"/>
    <n v="3"/>
    <s v="Sales Executive"/>
    <n v="3"/>
    <s v="Married"/>
    <n v="7083"/>
    <n v="12288"/>
    <n v="1"/>
    <s v="Yes"/>
    <n v="14"/>
    <n v="3"/>
    <n v="4"/>
    <n v="0"/>
    <n v="10"/>
    <n v="3"/>
    <n v="3"/>
    <n v="10"/>
    <n v="9"/>
    <n v="8"/>
    <n v="6"/>
  </r>
  <r>
    <n v="31"/>
    <x v="0"/>
    <s v="Travel_Frequently"/>
    <n v="561"/>
    <x v="1"/>
    <n v="3"/>
    <n v="3"/>
    <s v="Life Sciences"/>
    <n v="1537"/>
    <n v="4"/>
    <s v="Female"/>
    <n v="33"/>
    <n v="3"/>
    <n v="1"/>
    <s v="Research Scientist"/>
    <n v="3"/>
    <s v="Single"/>
    <n v="4084"/>
    <n v="4156"/>
    <n v="1"/>
    <s v="No"/>
    <n v="12"/>
    <n v="3"/>
    <n v="1"/>
    <n v="0"/>
    <n v="7"/>
    <n v="2"/>
    <n v="1"/>
    <n v="7"/>
    <n v="2"/>
    <n v="7"/>
    <n v="7"/>
  </r>
  <r>
    <n v="50"/>
    <x v="1"/>
    <s v="Travel_Frequently"/>
    <n v="333"/>
    <x v="1"/>
    <n v="22"/>
    <n v="5"/>
    <s v="Medical"/>
    <n v="1539"/>
    <n v="3"/>
    <s v="Male"/>
    <n v="88"/>
    <n v="1"/>
    <n v="4"/>
    <s v="Research Director"/>
    <n v="4"/>
    <s v="Single"/>
    <n v="14411"/>
    <n v="24450"/>
    <n v="1"/>
    <s v="Yes"/>
    <n v="13"/>
    <n v="3"/>
    <n v="4"/>
    <n v="0"/>
    <n v="32"/>
    <n v="2"/>
    <n v="3"/>
    <n v="32"/>
    <n v="6"/>
    <n v="13"/>
    <n v="9"/>
  </r>
  <r>
    <n v="34"/>
    <x v="1"/>
    <s v="Travel_Rarely"/>
    <n v="1440"/>
    <x v="0"/>
    <n v="7"/>
    <n v="2"/>
    <s v="Technical Degree"/>
    <n v="1541"/>
    <n v="2"/>
    <s v="Male"/>
    <n v="55"/>
    <n v="3"/>
    <n v="1"/>
    <s v="Sales Representative"/>
    <n v="3"/>
    <s v="Married"/>
    <n v="2308"/>
    <n v="4944"/>
    <n v="0"/>
    <s v="Yes"/>
    <n v="25"/>
    <n v="4"/>
    <n v="2"/>
    <n v="1"/>
    <n v="12"/>
    <n v="4"/>
    <n v="3"/>
    <n v="11"/>
    <n v="10"/>
    <n v="5"/>
    <n v="7"/>
  </r>
  <r>
    <n v="42"/>
    <x v="1"/>
    <s v="Travel_Rarely"/>
    <n v="1210"/>
    <x v="1"/>
    <n v="2"/>
    <n v="3"/>
    <s v="Medical"/>
    <n v="1542"/>
    <n v="3"/>
    <s v="Male"/>
    <n v="68"/>
    <n v="2"/>
    <n v="1"/>
    <s v="Laboratory Technician"/>
    <n v="2"/>
    <s v="Married"/>
    <n v="4841"/>
    <n v="24052"/>
    <n v="4"/>
    <s v="No"/>
    <n v="14"/>
    <n v="3"/>
    <n v="2"/>
    <n v="1"/>
    <n v="4"/>
    <n v="3"/>
    <n v="3"/>
    <n v="1"/>
    <n v="0"/>
    <n v="0"/>
    <n v="0"/>
  </r>
  <r>
    <n v="37"/>
    <x v="1"/>
    <s v="Travel_Rarely"/>
    <n v="674"/>
    <x v="1"/>
    <n v="13"/>
    <n v="3"/>
    <s v="Medical"/>
    <n v="1543"/>
    <n v="1"/>
    <s v="Male"/>
    <n v="47"/>
    <n v="3"/>
    <n v="2"/>
    <s v="Research Scientist"/>
    <n v="4"/>
    <s v="Married"/>
    <n v="4285"/>
    <n v="3031"/>
    <n v="1"/>
    <s v="No"/>
    <n v="17"/>
    <n v="3"/>
    <n v="1"/>
    <n v="0"/>
    <n v="10"/>
    <n v="2"/>
    <n v="3"/>
    <n v="10"/>
    <n v="8"/>
    <n v="3"/>
    <n v="7"/>
  </r>
  <r>
    <n v="29"/>
    <x v="1"/>
    <s v="Travel_Rarely"/>
    <n v="441"/>
    <x v="1"/>
    <n v="8"/>
    <n v="1"/>
    <s v="Other"/>
    <n v="1544"/>
    <n v="3"/>
    <s v="Female"/>
    <n v="39"/>
    <n v="1"/>
    <n v="2"/>
    <s v="Healthcare Representative"/>
    <n v="1"/>
    <s v="Married"/>
    <n v="9715"/>
    <n v="7288"/>
    <n v="3"/>
    <s v="No"/>
    <n v="13"/>
    <n v="3"/>
    <n v="3"/>
    <n v="1"/>
    <n v="9"/>
    <n v="3"/>
    <n v="3"/>
    <n v="7"/>
    <n v="7"/>
    <n v="0"/>
    <n v="7"/>
  </r>
  <r>
    <n v="33"/>
    <x v="1"/>
    <s v="Travel_Rarely"/>
    <n v="575"/>
    <x v="1"/>
    <n v="25"/>
    <n v="3"/>
    <s v="Life Sciences"/>
    <n v="1545"/>
    <n v="4"/>
    <s v="Male"/>
    <n v="44"/>
    <n v="2"/>
    <n v="2"/>
    <s v="Manufacturing Director"/>
    <n v="2"/>
    <s v="Single"/>
    <n v="4320"/>
    <n v="24152"/>
    <n v="1"/>
    <s v="No"/>
    <n v="13"/>
    <n v="3"/>
    <n v="4"/>
    <n v="0"/>
    <n v="5"/>
    <n v="2"/>
    <n v="3"/>
    <n v="5"/>
    <n v="3"/>
    <n v="0"/>
    <n v="2"/>
  </r>
  <r>
    <n v="45"/>
    <x v="1"/>
    <s v="Travel_Rarely"/>
    <n v="950"/>
    <x v="1"/>
    <n v="28"/>
    <n v="3"/>
    <s v="Technical Degree"/>
    <n v="1546"/>
    <n v="4"/>
    <s v="Male"/>
    <n v="97"/>
    <n v="3"/>
    <n v="1"/>
    <s v="Research Scientist"/>
    <n v="4"/>
    <s v="Married"/>
    <n v="2132"/>
    <n v="4585"/>
    <n v="4"/>
    <s v="No"/>
    <n v="20"/>
    <n v="4"/>
    <n v="4"/>
    <n v="1"/>
    <n v="8"/>
    <n v="3"/>
    <n v="3"/>
    <n v="5"/>
    <n v="4"/>
    <n v="0"/>
    <n v="3"/>
  </r>
  <r>
    <n v="42"/>
    <x v="1"/>
    <s v="Travel_Frequently"/>
    <n v="288"/>
    <x v="1"/>
    <n v="2"/>
    <n v="3"/>
    <s v="Life Sciences"/>
    <n v="1547"/>
    <n v="4"/>
    <s v="Male"/>
    <n v="40"/>
    <n v="3"/>
    <n v="3"/>
    <s v="Healthcare Representative"/>
    <n v="4"/>
    <s v="Married"/>
    <n v="10124"/>
    <n v="18611"/>
    <n v="2"/>
    <s v="Yes"/>
    <n v="14"/>
    <n v="3"/>
    <n v="3"/>
    <n v="1"/>
    <n v="24"/>
    <n v="3"/>
    <n v="1"/>
    <n v="20"/>
    <n v="8"/>
    <n v="13"/>
    <n v="9"/>
  </r>
  <r>
    <n v="40"/>
    <x v="1"/>
    <s v="Travel_Rarely"/>
    <n v="1342"/>
    <x v="0"/>
    <n v="9"/>
    <n v="2"/>
    <s v="Medical"/>
    <n v="1548"/>
    <n v="1"/>
    <s v="Male"/>
    <n v="47"/>
    <n v="3"/>
    <n v="2"/>
    <s v="Sales Executive"/>
    <n v="1"/>
    <s v="Married"/>
    <n v="5473"/>
    <n v="19345"/>
    <n v="0"/>
    <s v="No"/>
    <n v="12"/>
    <n v="3"/>
    <n v="4"/>
    <n v="0"/>
    <n v="9"/>
    <n v="5"/>
    <n v="4"/>
    <n v="8"/>
    <n v="4"/>
    <n v="7"/>
    <n v="1"/>
  </r>
  <r>
    <n v="33"/>
    <x v="1"/>
    <s v="Travel_Rarely"/>
    <n v="589"/>
    <x v="1"/>
    <n v="28"/>
    <n v="4"/>
    <s v="Life Sciences"/>
    <n v="1549"/>
    <n v="2"/>
    <s v="Male"/>
    <n v="79"/>
    <n v="3"/>
    <n v="2"/>
    <s v="Laboratory Technician"/>
    <n v="3"/>
    <s v="Married"/>
    <n v="5207"/>
    <n v="22949"/>
    <n v="1"/>
    <s v="Yes"/>
    <n v="12"/>
    <n v="3"/>
    <n v="2"/>
    <n v="1"/>
    <n v="15"/>
    <n v="3"/>
    <n v="3"/>
    <n v="15"/>
    <n v="14"/>
    <n v="5"/>
    <n v="7"/>
  </r>
  <r>
    <n v="40"/>
    <x v="1"/>
    <s v="Travel_Rarely"/>
    <n v="898"/>
    <x v="2"/>
    <n v="6"/>
    <n v="2"/>
    <s v="Medical"/>
    <n v="1550"/>
    <n v="3"/>
    <s v="Male"/>
    <n v="38"/>
    <n v="3"/>
    <n v="4"/>
    <s v="Manager"/>
    <n v="4"/>
    <s v="Single"/>
    <n v="16437"/>
    <n v="17381"/>
    <n v="1"/>
    <s v="Yes"/>
    <n v="21"/>
    <n v="4"/>
    <n v="4"/>
    <n v="0"/>
    <n v="21"/>
    <n v="2"/>
    <n v="3"/>
    <n v="21"/>
    <n v="7"/>
    <n v="7"/>
    <n v="7"/>
  </r>
  <r>
    <n v="24"/>
    <x v="1"/>
    <s v="Travel_Rarely"/>
    <n v="350"/>
    <x v="1"/>
    <n v="21"/>
    <n v="2"/>
    <s v="Technical Degree"/>
    <n v="1551"/>
    <n v="3"/>
    <s v="Male"/>
    <n v="57"/>
    <n v="2"/>
    <n v="1"/>
    <s v="Laboratory Technician"/>
    <n v="1"/>
    <s v="Divorced"/>
    <n v="2296"/>
    <n v="10036"/>
    <n v="0"/>
    <s v="No"/>
    <n v="14"/>
    <n v="3"/>
    <n v="2"/>
    <n v="3"/>
    <n v="2"/>
    <n v="3"/>
    <n v="3"/>
    <n v="1"/>
    <n v="1"/>
    <n v="0"/>
    <n v="0"/>
  </r>
  <r>
    <n v="40"/>
    <x v="1"/>
    <s v="Non-Travel"/>
    <n v="1142"/>
    <x v="1"/>
    <n v="8"/>
    <n v="2"/>
    <s v="Life Sciences"/>
    <n v="1552"/>
    <n v="4"/>
    <s v="Male"/>
    <n v="72"/>
    <n v="3"/>
    <n v="2"/>
    <s v="Healthcare Representative"/>
    <n v="4"/>
    <s v="Divorced"/>
    <n v="4069"/>
    <n v="8841"/>
    <n v="3"/>
    <s v="Yes"/>
    <n v="18"/>
    <n v="3"/>
    <n v="3"/>
    <n v="0"/>
    <n v="8"/>
    <n v="2"/>
    <n v="3"/>
    <n v="2"/>
    <n v="2"/>
    <n v="2"/>
    <n v="2"/>
  </r>
  <r>
    <n v="45"/>
    <x v="1"/>
    <s v="Travel_Rarely"/>
    <n v="538"/>
    <x v="1"/>
    <n v="1"/>
    <n v="4"/>
    <s v="Technical Degree"/>
    <n v="1553"/>
    <n v="1"/>
    <s v="Male"/>
    <n v="66"/>
    <n v="3"/>
    <n v="3"/>
    <s v="Healthcare Representative"/>
    <n v="2"/>
    <s v="Divorced"/>
    <n v="7441"/>
    <n v="20933"/>
    <n v="1"/>
    <s v="No"/>
    <n v="12"/>
    <n v="3"/>
    <n v="1"/>
    <n v="3"/>
    <n v="10"/>
    <n v="4"/>
    <n v="3"/>
    <n v="10"/>
    <n v="8"/>
    <n v="7"/>
    <n v="7"/>
  </r>
  <r>
    <n v="35"/>
    <x v="1"/>
    <s v="Travel_Rarely"/>
    <n v="1402"/>
    <x v="0"/>
    <n v="28"/>
    <n v="4"/>
    <s v="Life Sciences"/>
    <n v="1554"/>
    <n v="2"/>
    <s v="Female"/>
    <n v="98"/>
    <n v="2"/>
    <n v="1"/>
    <s v="Sales Representative"/>
    <n v="3"/>
    <s v="Married"/>
    <n v="2430"/>
    <n v="26204"/>
    <n v="0"/>
    <s v="No"/>
    <n v="23"/>
    <n v="4"/>
    <n v="1"/>
    <n v="2"/>
    <n v="6"/>
    <n v="5"/>
    <n v="3"/>
    <n v="5"/>
    <n v="3"/>
    <n v="4"/>
    <n v="2"/>
  </r>
  <r>
    <n v="32"/>
    <x v="1"/>
    <s v="Travel_Rarely"/>
    <n v="824"/>
    <x v="1"/>
    <n v="5"/>
    <n v="2"/>
    <s v="Life Sciences"/>
    <n v="1555"/>
    <n v="4"/>
    <s v="Female"/>
    <n v="67"/>
    <n v="2"/>
    <n v="2"/>
    <s v="Research Scientist"/>
    <n v="2"/>
    <s v="Married"/>
    <n v="5878"/>
    <n v="15624"/>
    <n v="3"/>
    <s v="No"/>
    <n v="12"/>
    <n v="3"/>
    <n v="1"/>
    <n v="1"/>
    <n v="12"/>
    <n v="2"/>
    <n v="3"/>
    <n v="7"/>
    <n v="1"/>
    <n v="2"/>
    <n v="5"/>
  </r>
  <r>
    <n v="36"/>
    <x v="1"/>
    <s v="Travel_Rarely"/>
    <n v="1157"/>
    <x v="0"/>
    <n v="2"/>
    <n v="4"/>
    <s v="Life Sciences"/>
    <n v="1556"/>
    <n v="3"/>
    <s v="Male"/>
    <n v="70"/>
    <n v="3"/>
    <n v="1"/>
    <s v="Sales Representative"/>
    <n v="4"/>
    <s v="Single"/>
    <n v="2644"/>
    <n v="17001"/>
    <n v="3"/>
    <s v="Yes"/>
    <n v="21"/>
    <n v="4"/>
    <n v="4"/>
    <n v="0"/>
    <n v="7"/>
    <n v="3"/>
    <n v="2"/>
    <n v="3"/>
    <n v="2"/>
    <n v="1"/>
    <n v="2"/>
  </r>
  <r>
    <n v="48"/>
    <x v="1"/>
    <s v="Travel_Rarely"/>
    <n v="492"/>
    <x v="0"/>
    <n v="16"/>
    <n v="4"/>
    <s v="Life Sciences"/>
    <n v="1557"/>
    <n v="3"/>
    <s v="Female"/>
    <n v="96"/>
    <n v="3"/>
    <n v="2"/>
    <s v="Sales Executive"/>
    <n v="3"/>
    <s v="Divorced"/>
    <n v="6439"/>
    <n v="13693"/>
    <n v="8"/>
    <s v="No"/>
    <n v="14"/>
    <n v="3"/>
    <n v="3"/>
    <n v="1"/>
    <n v="18"/>
    <n v="2"/>
    <n v="3"/>
    <n v="8"/>
    <n v="7"/>
    <n v="7"/>
    <n v="7"/>
  </r>
  <r>
    <n v="29"/>
    <x v="1"/>
    <s v="Travel_Rarely"/>
    <n v="598"/>
    <x v="1"/>
    <n v="9"/>
    <n v="3"/>
    <s v="Life Sciences"/>
    <n v="1558"/>
    <n v="3"/>
    <s v="Male"/>
    <n v="91"/>
    <n v="4"/>
    <n v="1"/>
    <s v="Research Scientist"/>
    <n v="3"/>
    <s v="Married"/>
    <n v="2451"/>
    <n v="22376"/>
    <n v="6"/>
    <s v="No"/>
    <n v="18"/>
    <n v="3"/>
    <n v="1"/>
    <n v="2"/>
    <n v="5"/>
    <n v="2"/>
    <n v="2"/>
    <n v="1"/>
    <n v="0"/>
    <n v="0"/>
    <n v="0"/>
  </r>
  <r>
    <n v="33"/>
    <x v="1"/>
    <s v="Travel_Rarely"/>
    <n v="1242"/>
    <x v="0"/>
    <n v="8"/>
    <n v="4"/>
    <s v="Life Sciences"/>
    <n v="1560"/>
    <n v="1"/>
    <s v="Male"/>
    <n v="46"/>
    <n v="3"/>
    <n v="2"/>
    <s v="Sales Executive"/>
    <n v="1"/>
    <s v="Married"/>
    <n v="6392"/>
    <n v="10589"/>
    <n v="2"/>
    <s v="No"/>
    <n v="13"/>
    <n v="3"/>
    <n v="4"/>
    <n v="1"/>
    <n v="8"/>
    <n v="6"/>
    <n v="1"/>
    <n v="2"/>
    <n v="2"/>
    <n v="2"/>
    <n v="2"/>
  </r>
  <r>
    <n v="30"/>
    <x v="0"/>
    <s v="Travel_Rarely"/>
    <n v="740"/>
    <x v="0"/>
    <n v="1"/>
    <n v="3"/>
    <s v="Life Sciences"/>
    <n v="1562"/>
    <n v="2"/>
    <s v="Male"/>
    <n v="64"/>
    <n v="2"/>
    <n v="2"/>
    <s v="Sales Executive"/>
    <n v="1"/>
    <s v="Married"/>
    <n v="9714"/>
    <n v="5323"/>
    <n v="1"/>
    <s v="No"/>
    <n v="11"/>
    <n v="3"/>
    <n v="4"/>
    <n v="1"/>
    <n v="10"/>
    <n v="4"/>
    <n v="3"/>
    <n v="10"/>
    <n v="8"/>
    <n v="6"/>
    <n v="7"/>
  </r>
  <r>
    <n v="38"/>
    <x v="1"/>
    <s v="Travel_Frequently"/>
    <n v="888"/>
    <x v="2"/>
    <n v="10"/>
    <n v="4"/>
    <s v="Human Resources"/>
    <n v="1563"/>
    <n v="3"/>
    <s v="Male"/>
    <n v="71"/>
    <n v="3"/>
    <n v="2"/>
    <s v="Human Resources"/>
    <n v="3"/>
    <s v="Married"/>
    <n v="6077"/>
    <n v="14814"/>
    <n v="3"/>
    <s v="No"/>
    <n v="11"/>
    <n v="3"/>
    <n v="3"/>
    <n v="0"/>
    <n v="10"/>
    <n v="2"/>
    <n v="3"/>
    <n v="6"/>
    <n v="3"/>
    <n v="1"/>
    <n v="2"/>
  </r>
  <r>
    <n v="35"/>
    <x v="1"/>
    <s v="Travel_Rarely"/>
    <n v="992"/>
    <x v="1"/>
    <n v="1"/>
    <n v="3"/>
    <s v="Medical"/>
    <n v="1564"/>
    <n v="4"/>
    <s v="Male"/>
    <n v="68"/>
    <n v="2"/>
    <n v="1"/>
    <s v="Laboratory Technician"/>
    <n v="1"/>
    <s v="Single"/>
    <n v="2450"/>
    <n v="21731"/>
    <n v="1"/>
    <s v="No"/>
    <n v="19"/>
    <n v="3"/>
    <n v="2"/>
    <n v="0"/>
    <n v="3"/>
    <n v="3"/>
    <n v="3"/>
    <n v="3"/>
    <n v="0"/>
    <n v="1"/>
    <n v="2"/>
  </r>
  <r>
    <n v="30"/>
    <x v="1"/>
    <s v="Travel_Rarely"/>
    <n v="1288"/>
    <x v="0"/>
    <n v="29"/>
    <n v="4"/>
    <s v="Technical Degree"/>
    <n v="1568"/>
    <n v="3"/>
    <s v="Male"/>
    <n v="33"/>
    <n v="3"/>
    <n v="3"/>
    <s v="Sales Executive"/>
    <n v="2"/>
    <s v="Married"/>
    <n v="9250"/>
    <n v="17799"/>
    <n v="3"/>
    <s v="No"/>
    <n v="12"/>
    <n v="3"/>
    <n v="2"/>
    <n v="1"/>
    <n v="9"/>
    <n v="3"/>
    <n v="3"/>
    <n v="4"/>
    <n v="2"/>
    <n v="1"/>
    <n v="3"/>
  </r>
  <r>
    <n v="35"/>
    <x v="0"/>
    <s v="Travel_Rarely"/>
    <n v="104"/>
    <x v="1"/>
    <n v="2"/>
    <n v="3"/>
    <s v="Life Sciences"/>
    <n v="1569"/>
    <n v="1"/>
    <s v="Female"/>
    <n v="69"/>
    <n v="3"/>
    <n v="1"/>
    <s v="Laboratory Technician"/>
    <n v="1"/>
    <s v="Divorced"/>
    <n v="2074"/>
    <n v="26619"/>
    <n v="1"/>
    <s v="Yes"/>
    <n v="12"/>
    <n v="3"/>
    <n v="4"/>
    <n v="1"/>
    <n v="1"/>
    <n v="2"/>
    <n v="3"/>
    <n v="1"/>
    <n v="0"/>
    <n v="0"/>
    <n v="0"/>
  </r>
  <r>
    <n v="53"/>
    <x v="0"/>
    <s v="Travel_Rarely"/>
    <n v="607"/>
    <x v="1"/>
    <n v="2"/>
    <n v="5"/>
    <s v="Technical Degree"/>
    <n v="1572"/>
    <n v="3"/>
    <s v="Female"/>
    <n v="78"/>
    <n v="2"/>
    <n v="3"/>
    <s v="Manufacturing Director"/>
    <n v="4"/>
    <s v="Married"/>
    <n v="10169"/>
    <n v="14618"/>
    <n v="0"/>
    <s v="No"/>
    <n v="16"/>
    <n v="3"/>
    <n v="2"/>
    <n v="1"/>
    <n v="34"/>
    <n v="4"/>
    <n v="3"/>
    <n v="33"/>
    <n v="7"/>
    <n v="1"/>
    <n v="9"/>
  </r>
  <r>
    <n v="38"/>
    <x v="0"/>
    <s v="Travel_Rarely"/>
    <n v="903"/>
    <x v="1"/>
    <n v="2"/>
    <n v="3"/>
    <s v="Medical"/>
    <n v="1573"/>
    <n v="3"/>
    <s v="Male"/>
    <n v="81"/>
    <n v="3"/>
    <n v="2"/>
    <s v="Manufacturing Director"/>
    <n v="2"/>
    <s v="Married"/>
    <n v="4855"/>
    <n v="7653"/>
    <n v="4"/>
    <s v="No"/>
    <n v="11"/>
    <n v="3"/>
    <n v="1"/>
    <n v="2"/>
    <n v="7"/>
    <n v="2"/>
    <n v="3"/>
    <n v="5"/>
    <n v="2"/>
    <n v="1"/>
    <n v="4"/>
  </r>
  <r>
    <n v="32"/>
    <x v="1"/>
    <s v="Non-Travel"/>
    <n v="1200"/>
    <x v="1"/>
    <n v="1"/>
    <n v="4"/>
    <s v="Technical Degree"/>
    <n v="1574"/>
    <n v="4"/>
    <s v="Male"/>
    <n v="62"/>
    <n v="3"/>
    <n v="2"/>
    <s v="Research Scientist"/>
    <n v="1"/>
    <s v="Married"/>
    <n v="4087"/>
    <n v="25174"/>
    <n v="4"/>
    <s v="No"/>
    <n v="14"/>
    <n v="3"/>
    <n v="2"/>
    <n v="1"/>
    <n v="9"/>
    <n v="3"/>
    <n v="2"/>
    <n v="6"/>
    <n v="5"/>
    <n v="1"/>
    <n v="2"/>
  </r>
  <r>
    <n v="48"/>
    <x v="1"/>
    <s v="Travel_Rarely"/>
    <n v="1108"/>
    <x v="1"/>
    <n v="15"/>
    <n v="4"/>
    <s v="Other"/>
    <n v="1576"/>
    <n v="3"/>
    <s v="Female"/>
    <n v="65"/>
    <n v="3"/>
    <n v="1"/>
    <s v="Research Scientist"/>
    <n v="1"/>
    <s v="Married"/>
    <n v="2367"/>
    <n v="16530"/>
    <n v="8"/>
    <s v="No"/>
    <n v="12"/>
    <n v="3"/>
    <n v="4"/>
    <n v="1"/>
    <n v="10"/>
    <n v="3"/>
    <n v="2"/>
    <n v="8"/>
    <n v="2"/>
    <n v="7"/>
    <n v="6"/>
  </r>
  <r>
    <n v="34"/>
    <x v="1"/>
    <s v="Travel_Rarely"/>
    <n v="479"/>
    <x v="1"/>
    <n v="7"/>
    <n v="4"/>
    <s v="Medical"/>
    <n v="1577"/>
    <n v="1"/>
    <s v="Male"/>
    <n v="35"/>
    <n v="3"/>
    <n v="1"/>
    <s v="Research Scientist"/>
    <n v="4"/>
    <s v="Single"/>
    <n v="2972"/>
    <n v="22061"/>
    <n v="1"/>
    <s v="No"/>
    <n v="13"/>
    <n v="3"/>
    <n v="3"/>
    <n v="0"/>
    <n v="1"/>
    <n v="4"/>
    <n v="1"/>
    <n v="1"/>
    <n v="0"/>
    <n v="0"/>
    <n v="0"/>
  </r>
  <r>
    <n v="55"/>
    <x v="1"/>
    <s v="Travel_Rarely"/>
    <n v="685"/>
    <x v="0"/>
    <n v="26"/>
    <n v="5"/>
    <s v="Marketing"/>
    <n v="1578"/>
    <n v="3"/>
    <s v="Male"/>
    <n v="60"/>
    <n v="2"/>
    <n v="5"/>
    <s v="Manager"/>
    <n v="4"/>
    <s v="Married"/>
    <n v="19586"/>
    <n v="23037"/>
    <n v="1"/>
    <s v="No"/>
    <n v="21"/>
    <n v="4"/>
    <n v="3"/>
    <n v="1"/>
    <n v="36"/>
    <n v="3"/>
    <n v="3"/>
    <n v="36"/>
    <n v="6"/>
    <n v="2"/>
    <n v="13"/>
  </r>
  <r>
    <n v="34"/>
    <x v="1"/>
    <s v="Travel_Rarely"/>
    <n v="1351"/>
    <x v="1"/>
    <n v="1"/>
    <n v="4"/>
    <s v="Life Sciences"/>
    <n v="1580"/>
    <n v="2"/>
    <s v="Male"/>
    <n v="45"/>
    <n v="3"/>
    <n v="2"/>
    <s v="Research Scientist"/>
    <n v="4"/>
    <s v="Married"/>
    <n v="5484"/>
    <n v="13008"/>
    <n v="9"/>
    <s v="No"/>
    <n v="17"/>
    <n v="3"/>
    <n v="2"/>
    <n v="1"/>
    <n v="9"/>
    <n v="3"/>
    <n v="2"/>
    <n v="2"/>
    <n v="2"/>
    <n v="2"/>
    <n v="1"/>
  </r>
  <r>
    <n v="26"/>
    <x v="1"/>
    <s v="Travel_Rarely"/>
    <n v="474"/>
    <x v="1"/>
    <n v="3"/>
    <n v="3"/>
    <s v="Life Sciences"/>
    <n v="1581"/>
    <n v="1"/>
    <s v="Female"/>
    <n v="89"/>
    <n v="3"/>
    <n v="1"/>
    <s v="Research Scientist"/>
    <n v="4"/>
    <s v="Married"/>
    <n v="2061"/>
    <n v="11133"/>
    <n v="1"/>
    <s v="No"/>
    <n v="21"/>
    <n v="4"/>
    <n v="1"/>
    <n v="0"/>
    <n v="1"/>
    <n v="5"/>
    <n v="3"/>
    <n v="1"/>
    <n v="0"/>
    <n v="0"/>
    <n v="0"/>
  </r>
  <r>
    <n v="38"/>
    <x v="1"/>
    <s v="Travel_Rarely"/>
    <n v="1245"/>
    <x v="0"/>
    <n v="14"/>
    <n v="3"/>
    <s v="Life Sciences"/>
    <n v="1582"/>
    <n v="3"/>
    <s v="Male"/>
    <n v="80"/>
    <n v="3"/>
    <n v="2"/>
    <s v="Sales Executive"/>
    <n v="2"/>
    <s v="Married"/>
    <n v="9924"/>
    <n v="12355"/>
    <n v="0"/>
    <s v="No"/>
    <n v="11"/>
    <n v="3"/>
    <n v="4"/>
    <n v="1"/>
    <n v="10"/>
    <n v="3"/>
    <n v="3"/>
    <n v="9"/>
    <n v="8"/>
    <n v="7"/>
    <n v="7"/>
  </r>
  <r>
    <n v="38"/>
    <x v="1"/>
    <s v="Travel_Rarely"/>
    <n v="437"/>
    <x v="0"/>
    <n v="16"/>
    <n v="3"/>
    <s v="Life Sciences"/>
    <n v="1583"/>
    <n v="2"/>
    <s v="Female"/>
    <n v="90"/>
    <n v="3"/>
    <n v="2"/>
    <s v="Sales Executive"/>
    <n v="2"/>
    <s v="Single"/>
    <n v="4198"/>
    <n v="16379"/>
    <n v="2"/>
    <s v="No"/>
    <n v="12"/>
    <n v="3"/>
    <n v="2"/>
    <n v="0"/>
    <n v="8"/>
    <n v="5"/>
    <n v="4"/>
    <n v="3"/>
    <n v="2"/>
    <n v="1"/>
    <n v="2"/>
  </r>
  <r>
    <n v="36"/>
    <x v="1"/>
    <s v="Travel_Rarely"/>
    <n v="884"/>
    <x v="0"/>
    <n v="1"/>
    <n v="4"/>
    <s v="Life Sciences"/>
    <n v="1585"/>
    <n v="2"/>
    <s v="Female"/>
    <n v="73"/>
    <n v="3"/>
    <n v="2"/>
    <s v="Sales Executive"/>
    <n v="3"/>
    <s v="Single"/>
    <n v="6815"/>
    <n v="21447"/>
    <n v="6"/>
    <s v="No"/>
    <n v="13"/>
    <n v="3"/>
    <n v="1"/>
    <n v="0"/>
    <n v="15"/>
    <n v="5"/>
    <n v="3"/>
    <n v="1"/>
    <n v="0"/>
    <n v="0"/>
    <n v="0"/>
  </r>
  <r>
    <n v="29"/>
    <x v="1"/>
    <s v="Travel_Rarely"/>
    <n v="1370"/>
    <x v="1"/>
    <n v="3"/>
    <n v="1"/>
    <s v="Medical"/>
    <n v="1586"/>
    <n v="2"/>
    <s v="Male"/>
    <n v="87"/>
    <n v="3"/>
    <n v="1"/>
    <s v="Laboratory Technician"/>
    <n v="1"/>
    <s v="Single"/>
    <n v="4723"/>
    <n v="16213"/>
    <n v="1"/>
    <s v="Yes"/>
    <n v="18"/>
    <n v="3"/>
    <n v="4"/>
    <n v="0"/>
    <n v="10"/>
    <n v="3"/>
    <n v="3"/>
    <n v="10"/>
    <n v="9"/>
    <n v="1"/>
    <n v="5"/>
  </r>
  <r>
    <n v="35"/>
    <x v="1"/>
    <s v="Travel_Rarely"/>
    <n v="670"/>
    <x v="1"/>
    <n v="10"/>
    <n v="4"/>
    <s v="Medical"/>
    <n v="1587"/>
    <n v="1"/>
    <s v="Female"/>
    <n v="51"/>
    <n v="3"/>
    <n v="2"/>
    <s v="Healthcare Representative"/>
    <n v="3"/>
    <s v="Single"/>
    <n v="6142"/>
    <n v="4223"/>
    <n v="3"/>
    <s v="Yes"/>
    <n v="16"/>
    <n v="3"/>
    <n v="3"/>
    <n v="0"/>
    <n v="10"/>
    <n v="4"/>
    <n v="3"/>
    <n v="5"/>
    <n v="2"/>
    <n v="0"/>
    <n v="4"/>
  </r>
  <r>
    <n v="39"/>
    <x v="1"/>
    <s v="Travel_Rarely"/>
    <n v="1462"/>
    <x v="0"/>
    <n v="6"/>
    <n v="3"/>
    <s v="Medical"/>
    <n v="1588"/>
    <n v="4"/>
    <s v="Male"/>
    <n v="38"/>
    <n v="4"/>
    <n v="3"/>
    <s v="Sales Executive"/>
    <n v="3"/>
    <s v="Married"/>
    <n v="8237"/>
    <n v="4658"/>
    <n v="2"/>
    <s v="No"/>
    <n v="11"/>
    <n v="3"/>
    <n v="1"/>
    <n v="1"/>
    <n v="11"/>
    <n v="3"/>
    <n v="3"/>
    <n v="7"/>
    <n v="6"/>
    <n v="7"/>
    <n v="6"/>
  </r>
  <r>
    <n v="29"/>
    <x v="1"/>
    <s v="Travel_Frequently"/>
    <n v="995"/>
    <x v="1"/>
    <n v="2"/>
    <n v="1"/>
    <s v="Life Sciences"/>
    <n v="1590"/>
    <n v="1"/>
    <s v="Male"/>
    <n v="87"/>
    <n v="3"/>
    <n v="2"/>
    <s v="Healthcare Representative"/>
    <n v="4"/>
    <s v="Divorced"/>
    <n v="8853"/>
    <n v="24483"/>
    <n v="1"/>
    <s v="No"/>
    <n v="19"/>
    <n v="3"/>
    <n v="4"/>
    <n v="1"/>
    <n v="6"/>
    <n v="0"/>
    <n v="4"/>
    <n v="6"/>
    <n v="4"/>
    <n v="1"/>
    <n v="3"/>
  </r>
  <r>
    <n v="50"/>
    <x v="1"/>
    <s v="Travel_Rarely"/>
    <n v="264"/>
    <x v="0"/>
    <n v="9"/>
    <n v="3"/>
    <s v="Marketing"/>
    <n v="1591"/>
    <n v="3"/>
    <s v="Male"/>
    <n v="59"/>
    <n v="3"/>
    <n v="5"/>
    <s v="Manager"/>
    <n v="3"/>
    <s v="Married"/>
    <n v="19331"/>
    <n v="19519"/>
    <n v="4"/>
    <s v="Yes"/>
    <n v="16"/>
    <n v="3"/>
    <n v="3"/>
    <n v="1"/>
    <n v="27"/>
    <n v="2"/>
    <n v="3"/>
    <n v="1"/>
    <n v="0"/>
    <n v="0"/>
    <n v="0"/>
  </r>
  <r>
    <n v="23"/>
    <x v="1"/>
    <s v="Travel_Rarely"/>
    <n v="977"/>
    <x v="1"/>
    <n v="10"/>
    <n v="3"/>
    <s v="Technical Degree"/>
    <n v="1592"/>
    <n v="4"/>
    <s v="Male"/>
    <n v="45"/>
    <n v="4"/>
    <n v="1"/>
    <s v="Research Scientist"/>
    <n v="3"/>
    <s v="Married"/>
    <n v="2073"/>
    <n v="12826"/>
    <n v="2"/>
    <s v="No"/>
    <n v="16"/>
    <n v="3"/>
    <n v="4"/>
    <n v="1"/>
    <n v="4"/>
    <n v="2"/>
    <n v="3"/>
    <n v="2"/>
    <n v="2"/>
    <n v="2"/>
    <n v="2"/>
  </r>
  <r>
    <n v="36"/>
    <x v="1"/>
    <s v="Travel_Frequently"/>
    <n v="1302"/>
    <x v="1"/>
    <n v="6"/>
    <n v="4"/>
    <s v="Life Sciences"/>
    <n v="1594"/>
    <n v="1"/>
    <s v="Male"/>
    <n v="80"/>
    <n v="4"/>
    <n v="2"/>
    <s v="Laboratory Technician"/>
    <n v="1"/>
    <s v="Married"/>
    <n v="5562"/>
    <n v="19711"/>
    <n v="3"/>
    <s v="Yes"/>
    <n v="13"/>
    <n v="3"/>
    <n v="4"/>
    <n v="1"/>
    <n v="9"/>
    <n v="3"/>
    <n v="3"/>
    <n v="3"/>
    <n v="2"/>
    <n v="0"/>
    <n v="2"/>
  </r>
  <r>
    <n v="42"/>
    <x v="1"/>
    <s v="Travel_Rarely"/>
    <n v="1059"/>
    <x v="1"/>
    <n v="9"/>
    <n v="2"/>
    <s v="Other"/>
    <n v="1595"/>
    <n v="4"/>
    <s v="Male"/>
    <n v="93"/>
    <n v="2"/>
    <n v="5"/>
    <s v="Manager"/>
    <n v="4"/>
    <s v="Single"/>
    <n v="19613"/>
    <n v="26362"/>
    <n v="8"/>
    <s v="No"/>
    <n v="22"/>
    <n v="4"/>
    <n v="4"/>
    <n v="0"/>
    <n v="24"/>
    <n v="2"/>
    <n v="3"/>
    <n v="1"/>
    <n v="0"/>
    <n v="0"/>
    <n v="1"/>
  </r>
  <r>
    <n v="35"/>
    <x v="1"/>
    <s v="Travel_Rarely"/>
    <n v="750"/>
    <x v="1"/>
    <n v="28"/>
    <n v="3"/>
    <s v="Life Sciences"/>
    <n v="1596"/>
    <n v="2"/>
    <s v="Male"/>
    <n v="46"/>
    <n v="4"/>
    <n v="2"/>
    <s v="Laboratory Technician"/>
    <n v="3"/>
    <s v="Married"/>
    <n v="3407"/>
    <n v="25348"/>
    <n v="1"/>
    <s v="No"/>
    <n v="17"/>
    <n v="3"/>
    <n v="4"/>
    <n v="2"/>
    <n v="10"/>
    <n v="3"/>
    <n v="2"/>
    <n v="10"/>
    <n v="9"/>
    <n v="6"/>
    <n v="8"/>
  </r>
  <r>
    <n v="34"/>
    <x v="1"/>
    <s v="Travel_Frequently"/>
    <n v="653"/>
    <x v="1"/>
    <n v="10"/>
    <n v="4"/>
    <s v="Technical Degree"/>
    <n v="1597"/>
    <n v="4"/>
    <s v="Male"/>
    <n v="92"/>
    <n v="2"/>
    <n v="2"/>
    <s v="Healthcare Representative"/>
    <n v="3"/>
    <s v="Married"/>
    <n v="5063"/>
    <n v="15332"/>
    <n v="1"/>
    <s v="No"/>
    <n v="14"/>
    <n v="3"/>
    <n v="2"/>
    <n v="1"/>
    <n v="8"/>
    <n v="3"/>
    <n v="2"/>
    <n v="8"/>
    <n v="2"/>
    <n v="7"/>
    <n v="7"/>
  </r>
  <r>
    <n v="40"/>
    <x v="1"/>
    <s v="Travel_Rarely"/>
    <n v="118"/>
    <x v="0"/>
    <n v="14"/>
    <n v="2"/>
    <s v="Life Sciences"/>
    <n v="1598"/>
    <n v="4"/>
    <s v="Female"/>
    <n v="84"/>
    <n v="3"/>
    <n v="2"/>
    <s v="Sales Executive"/>
    <n v="1"/>
    <s v="Married"/>
    <n v="4639"/>
    <n v="11262"/>
    <n v="1"/>
    <s v="No"/>
    <n v="15"/>
    <n v="3"/>
    <n v="3"/>
    <n v="1"/>
    <n v="5"/>
    <n v="2"/>
    <n v="3"/>
    <n v="5"/>
    <n v="4"/>
    <n v="1"/>
    <n v="2"/>
  </r>
  <r>
    <n v="43"/>
    <x v="1"/>
    <s v="Travel_Rarely"/>
    <n v="990"/>
    <x v="1"/>
    <n v="27"/>
    <n v="3"/>
    <s v="Technical Degree"/>
    <n v="1599"/>
    <n v="4"/>
    <s v="Male"/>
    <n v="87"/>
    <n v="4"/>
    <n v="1"/>
    <s v="Laboratory Technician"/>
    <n v="2"/>
    <s v="Divorced"/>
    <n v="4876"/>
    <n v="5855"/>
    <n v="5"/>
    <s v="No"/>
    <n v="12"/>
    <n v="3"/>
    <n v="3"/>
    <n v="1"/>
    <n v="8"/>
    <n v="0"/>
    <n v="3"/>
    <n v="6"/>
    <n v="4"/>
    <n v="0"/>
    <n v="2"/>
  </r>
  <r>
    <n v="35"/>
    <x v="1"/>
    <s v="Travel_Rarely"/>
    <n v="1349"/>
    <x v="1"/>
    <n v="7"/>
    <n v="2"/>
    <s v="Life Sciences"/>
    <n v="1601"/>
    <n v="3"/>
    <s v="Male"/>
    <n v="63"/>
    <n v="2"/>
    <n v="1"/>
    <s v="Laboratory Technician"/>
    <n v="4"/>
    <s v="Married"/>
    <n v="2690"/>
    <n v="7713"/>
    <n v="1"/>
    <s v="No"/>
    <n v="18"/>
    <n v="3"/>
    <n v="4"/>
    <n v="1"/>
    <n v="1"/>
    <n v="5"/>
    <n v="2"/>
    <n v="1"/>
    <n v="0"/>
    <n v="0"/>
    <n v="1"/>
  </r>
  <r>
    <n v="46"/>
    <x v="1"/>
    <s v="Travel_Rarely"/>
    <n v="563"/>
    <x v="0"/>
    <n v="1"/>
    <n v="4"/>
    <s v="Life Sciences"/>
    <n v="1602"/>
    <n v="4"/>
    <s v="Male"/>
    <n v="56"/>
    <n v="4"/>
    <n v="4"/>
    <s v="Manager"/>
    <n v="1"/>
    <s v="Single"/>
    <n v="17567"/>
    <n v="3156"/>
    <n v="1"/>
    <s v="No"/>
    <n v="15"/>
    <n v="3"/>
    <n v="2"/>
    <n v="0"/>
    <n v="27"/>
    <n v="5"/>
    <n v="1"/>
    <n v="26"/>
    <n v="0"/>
    <n v="0"/>
    <n v="12"/>
  </r>
  <r>
    <n v="28"/>
    <x v="0"/>
    <s v="Travel_Rarely"/>
    <n v="329"/>
    <x v="1"/>
    <n v="24"/>
    <n v="3"/>
    <s v="Medical"/>
    <n v="1604"/>
    <n v="3"/>
    <s v="Male"/>
    <n v="51"/>
    <n v="3"/>
    <n v="1"/>
    <s v="Laboratory Technician"/>
    <n v="2"/>
    <s v="Married"/>
    <n v="2408"/>
    <n v="7324"/>
    <n v="1"/>
    <s v="Yes"/>
    <n v="17"/>
    <n v="3"/>
    <n v="3"/>
    <n v="3"/>
    <n v="1"/>
    <n v="3"/>
    <n v="3"/>
    <n v="1"/>
    <n v="1"/>
    <n v="0"/>
    <n v="0"/>
  </r>
  <r>
    <n v="22"/>
    <x v="1"/>
    <s v="Non-Travel"/>
    <n v="457"/>
    <x v="1"/>
    <n v="26"/>
    <n v="2"/>
    <s v="Other"/>
    <n v="1605"/>
    <n v="2"/>
    <s v="Female"/>
    <n v="85"/>
    <n v="2"/>
    <n v="1"/>
    <s v="Research Scientist"/>
    <n v="3"/>
    <s v="Married"/>
    <n v="2814"/>
    <n v="10293"/>
    <n v="1"/>
    <s v="Yes"/>
    <n v="14"/>
    <n v="3"/>
    <n v="2"/>
    <n v="0"/>
    <n v="4"/>
    <n v="2"/>
    <n v="2"/>
    <n v="4"/>
    <n v="2"/>
    <n v="1"/>
    <n v="3"/>
  </r>
  <r>
    <n v="50"/>
    <x v="1"/>
    <s v="Travel_Frequently"/>
    <n v="1234"/>
    <x v="1"/>
    <n v="20"/>
    <n v="5"/>
    <s v="Medical"/>
    <n v="1606"/>
    <n v="2"/>
    <s v="Male"/>
    <n v="41"/>
    <n v="3"/>
    <n v="4"/>
    <s v="Healthcare Representative"/>
    <n v="3"/>
    <s v="Married"/>
    <n v="11245"/>
    <n v="20689"/>
    <n v="2"/>
    <s v="Yes"/>
    <n v="15"/>
    <n v="3"/>
    <n v="3"/>
    <n v="1"/>
    <n v="32"/>
    <n v="3"/>
    <n v="3"/>
    <n v="30"/>
    <n v="8"/>
    <n v="12"/>
    <n v="13"/>
  </r>
  <r>
    <n v="32"/>
    <x v="1"/>
    <s v="Travel_Rarely"/>
    <n v="634"/>
    <x v="1"/>
    <n v="5"/>
    <n v="4"/>
    <s v="Other"/>
    <n v="1607"/>
    <n v="2"/>
    <s v="Female"/>
    <n v="35"/>
    <n v="4"/>
    <n v="1"/>
    <s v="Research Scientist"/>
    <n v="4"/>
    <s v="Married"/>
    <n v="3312"/>
    <n v="18783"/>
    <n v="3"/>
    <s v="No"/>
    <n v="17"/>
    <n v="3"/>
    <n v="4"/>
    <n v="2"/>
    <n v="6"/>
    <n v="3"/>
    <n v="3"/>
    <n v="3"/>
    <n v="2"/>
    <n v="0"/>
    <n v="2"/>
  </r>
  <r>
    <n v="44"/>
    <x v="1"/>
    <s v="Travel_Rarely"/>
    <n v="1313"/>
    <x v="1"/>
    <n v="7"/>
    <n v="3"/>
    <s v="Medical"/>
    <n v="1608"/>
    <n v="2"/>
    <s v="Female"/>
    <n v="31"/>
    <n v="3"/>
    <n v="5"/>
    <s v="Research Director"/>
    <n v="4"/>
    <s v="Divorced"/>
    <n v="19049"/>
    <n v="3549"/>
    <n v="0"/>
    <s v="Yes"/>
    <n v="14"/>
    <n v="3"/>
    <n v="4"/>
    <n v="1"/>
    <n v="23"/>
    <n v="4"/>
    <n v="2"/>
    <n v="22"/>
    <n v="7"/>
    <n v="1"/>
    <n v="10"/>
  </r>
  <r>
    <n v="30"/>
    <x v="1"/>
    <s v="Travel_Rarely"/>
    <n v="241"/>
    <x v="1"/>
    <n v="7"/>
    <n v="3"/>
    <s v="Medical"/>
    <n v="1609"/>
    <n v="2"/>
    <s v="Male"/>
    <n v="48"/>
    <n v="2"/>
    <n v="1"/>
    <s v="Research Scientist"/>
    <n v="2"/>
    <s v="Married"/>
    <n v="2141"/>
    <n v="5348"/>
    <n v="1"/>
    <s v="No"/>
    <n v="12"/>
    <n v="3"/>
    <n v="2"/>
    <n v="1"/>
    <n v="6"/>
    <n v="3"/>
    <n v="2"/>
    <n v="6"/>
    <n v="4"/>
    <n v="1"/>
    <n v="1"/>
  </r>
  <r>
    <n v="45"/>
    <x v="1"/>
    <s v="Travel_Rarely"/>
    <n v="1015"/>
    <x v="1"/>
    <n v="5"/>
    <n v="5"/>
    <s v="Medical"/>
    <n v="1611"/>
    <n v="3"/>
    <s v="Female"/>
    <n v="50"/>
    <n v="1"/>
    <n v="2"/>
    <s v="Laboratory Technician"/>
    <n v="1"/>
    <s v="Single"/>
    <n v="5769"/>
    <n v="23447"/>
    <n v="1"/>
    <s v="Yes"/>
    <n v="14"/>
    <n v="3"/>
    <n v="1"/>
    <n v="0"/>
    <n v="10"/>
    <n v="3"/>
    <n v="3"/>
    <n v="10"/>
    <n v="7"/>
    <n v="1"/>
    <n v="4"/>
  </r>
  <r>
    <n v="45"/>
    <x v="1"/>
    <s v="Non-Travel"/>
    <n v="336"/>
    <x v="0"/>
    <n v="26"/>
    <n v="3"/>
    <s v="Marketing"/>
    <n v="1612"/>
    <n v="1"/>
    <s v="Male"/>
    <n v="52"/>
    <n v="2"/>
    <n v="2"/>
    <s v="Sales Executive"/>
    <n v="1"/>
    <s v="Married"/>
    <n v="4385"/>
    <n v="24162"/>
    <n v="1"/>
    <s v="No"/>
    <n v="15"/>
    <n v="3"/>
    <n v="1"/>
    <n v="1"/>
    <n v="10"/>
    <n v="2"/>
    <n v="3"/>
    <n v="10"/>
    <n v="7"/>
    <n v="4"/>
    <n v="5"/>
  </r>
  <r>
    <n v="31"/>
    <x v="1"/>
    <s v="Travel_Frequently"/>
    <n v="715"/>
    <x v="0"/>
    <n v="2"/>
    <n v="4"/>
    <s v="Other"/>
    <n v="1613"/>
    <n v="4"/>
    <s v="Male"/>
    <n v="54"/>
    <n v="3"/>
    <n v="2"/>
    <s v="Sales Executive"/>
    <n v="1"/>
    <s v="Single"/>
    <n v="5332"/>
    <n v="21602"/>
    <n v="7"/>
    <s v="No"/>
    <n v="13"/>
    <n v="3"/>
    <n v="4"/>
    <n v="0"/>
    <n v="10"/>
    <n v="3"/>
    <n v="3"/>
    <n v="5"/>
    <n v="2"/>
    <n v="0"/>
    <n v="3"/>
  </r>
  <r>
    <n v="36"/>
    <x v="1"/>
    <s v="Travel_Rarely"/>
    <n v="559"/>
    <x v="1"/>
    <n v="12"/>
    <n v="4"/>
    <s v="Life Sciences"/>
    <n v="1614"/>
    <n v="3"/>
    <s v="Female"/>
    <n v="76"/>
    <n v="3"/>
    <n v="2"/>
    <s v="Manufacturing Director"/>
    <n v="3"/>
    <s v="Married"/>
    <n v="4663"/>
    <n v="12421"/>
    <n v="9"/>
    <s v="Yes"/>
    <n v="12"/>
    <n v="3"/>
    <n v="2"/>
    <n v="2"/>
    <n v="7"/>
    <n v="2"/>
    <n v="3"/>
    <n v="3"/>
    <n v="2"/>
    <n v="1"/>
    <n v="1"/>
  </r>
  <r>
    <n v="34"/>
    <x v="1"/>
    <s v="Travel_Frequently"/>
    <n v="426"/>
    <x v="1"/>
    <n v="10"/>
    <n v="4"/>
    <s v="Life Sciences"/>
    <n v="1615"/>
    <n v="3"/>
    <s v="Male"/>
    <n v="42"/>
    <n v="4"/>
    <n v="2"/>
    <s v="Manufacturing Director"/>
    <n v="4"/>
    <s v="Divorced"/>
    <n v="4724"/>
    <n v="17000"/>
    <n v="1"/>
    <s v="No"/>
    <n v="13"/>
    <n v="3"/>
    <n v="1"/>
    <n v="1"/>
    <n v="9"/>
    <n v="3"/>
    <n v="3"/>
    <n v="9"/>
    <n v="7"/>
    <n v="7"/>
    <n v="2"/>
  </r>
  <r>
    <n v="49"/>
    <x v="1"/>
    <s v="Travel_Rarely"/>
    <n v="722"/>
    <x v="1"/>
    <n v="25"/>
    <n v="4"/>
    <s v="Life Sciences"/>
    <n v="1617"/>
    <n v="3"/>
    <s v="Female"/>
    <n v="84"/>
    <n v="3"/>
    <n v="1"/>
    <s v="Laboratory Technician"/>
    <n v="1"/>
    <s v="Married"/>
    <n v="3211"/>
    <n v="22102"/>
    <n v="1"/>
    <s v="No"/>
    <n v="14"/>
    <n v="3"/>
    <n v="4"/>
    <n v="1"/>
    <n v="10"/>
    <n v="3"/>
    <n v="2"/>
    <n v="9"/>
    <n v="6"/>
    <n v="1"/>
    <n v="4"/>
  </r>
  <r>
    <n v="39"/>
    <x v="1"/>
    <s v="Travel_Rarely"/>
    <n v="1387"/>
    <x v="1"/>
    <n v="10"/>
    <n v="5"/>
    <s v="Medical"/>
    <n v="1618"/>
    <n v="2"/>
    <s v="Male"/>
    <n v="76"/>
    <n v="3"/>
    <n v="2"/>
    <s v="Manufacturing Director"/>
    <n v="1"/>
    <s v="Married"/>
    <n v="5377"/>
    <n v="3835"/>
    <n v="2"/>
    <s v="No"/>
    <n v="13"/>
    <n v="3"/>
    <n v="4"/>
    <n v="3"/>
    <n v="10"/>
    <n v="3"/>
    <n v="3"/>
    <n v="7"/>
    <n v="7"/>
    <n v="7"/>
    <n v="7"/>
  </r>
  <r>
    <n v="27"/>
    <x v="1"/>
    <s v="Travel_Rarely"/>
    <n v="1302"/>
    <x v="1"/>
    <n v="19"/>
    <n v="3"/>
    <s v="Other"/>
    <n v="1619"/>
    <n v="4"/>
    <s v="Male"/>
    <n v="67"/>
    <n v="2"/>
    <n v="1"/>
    <s v="Laboratory Technician"/>
    <n v="1"/>
    <s v="Divorced"/>
    <n v="4066"/>
    <n v="16290"/>
    <n v="1"/>
    <s v="No"/>
    <n v="11"/>
    <n v="3"/>
    <n v="1"/>
    <n v="2"/>
    <n v="7"/>
    <n v="3"/>
    <n v="3"/>
    <n v="7"/>
    <n v="7"/>
    <n v="0"/>
    <n v="7"/>
  </r>
  <r>
    <n v="35"/>
    <x v="1"/>
    <s v="Travel_Rarely"/>
    <n v="819"/>
    <x v="1"/>
    <n v="18"/>
    <n v="5"/>
    <s v="Life Sciences"/>
    <n v="1621"/>
    <n v="2"/>
    <s v="Male"/>
    <n v="48"/>
    <n v="4"/>
    <n v="2"/>
    <s v="Research Scientist"/>
    <n v="1"/>
    <s v="Married"/>
    <n v="5208"/>
    <n v="26312"/>
    <n v="1"/>
    <s v="No"/>
    <n v="11"/>
    <n v="3"/>
    <n v="4"/>
    <n v="0"/>
    <n v="16"/>
    <n v="2"/>
    <n v="3"/>
    <n v="16"/>
    <n v="15"/>
    <n v="1"/>
    <n v="10"/>
  </r>
  <r>
    <n v="28"/>
    <x v="1"/>
    <s v="Travel_Rarely"/>
    <n v="580"/>
    <x v="1"/>
    <n v="27"/>
    <n v="3"/>
    <s v="Medical"/>
    <n v="1622"/>
    <n v="2"/>
    <s v="Female"/>
    <n v="39"/>
    <n v="1"/>
    <n v="2"/>
    <s v="Manufacturing Director"/>
    <n v="1"/>
    <s v="Divorced"/>
    <n v="4877"/>
    <n v="20460"/>
    <n v="0"/>
    <s v="No"/>
    <n v="21"/>
    <n v="4"/>
    <n v="2"/>
    <n v="1"/>
    <n v="6"/>
    <n v="5"/>
    <n v="2"/>
    <n v="5"/>
    <n v="3"/>
    <n v="0"/>
    <n v="0"/>
  </r>
  <r>
    <n v="21"/>
    <x v="1"/>
    <s v="Travel_Rarely"/>
    <n v="546"/>
    <x v="1"/>
    <n v="5"/>
    <n v="1"/>
    <s v="Medical"/>
    <n v="1623"/>
    <n v="3"/>
    <s v="Male"/>
    <n v="97"/>
    <n v="3"/>
    <n v="1"/>
    <s v="Research Scientist"/>
    <n v="4"/>
    <s v="Single"/>
    <n v="3117"/>
    <n v="26009"/>
    <n v="1"/>
    <s v="No"/>
    <n v="18"/>
    <n v="3"/>
    <n v="3"/>
    <n v="0"/>
    <n v="3"/>
    <n v="2"/>
    <n v="3"/>
    <n v="2"/>
    <n v="2"/>
    <n v="2"/>
    <n v="2"/>
  </r>
  <r>
    <n v="18"/>
    <x v="0"/>
    <s v="Travel_Frequently"/>
    <n v="544"/>
    <x v="0"/>
    <n v="3"/>
    <n v="2"/>
    <s v="Medical"/>
    <n v="1624"/>
    <n v="2"/>
    <s v="Female"/>
    <n v="70"/>
    <n v="3"/>
    <n v="1"/>
    <s v="Sales Representative"/>
    <n v="4"/>
    <s v="Single"/>
    <n v="1569"/>
    <n v="18420"/>
    <n v="1"/>
    <s v="Yes"/>
    <n v="12"/>
    <n v="3"/>
    <n v="3"/>
    <n v="0"/>
    <n v="0"/>
    <n v="2"/>
    <n v="4"/>
    <n v="0"/>
    <n v="0"/>
    <n v="0"/>
    <n v="0"/>
  </r>
  <r>
    <n v="47"/>
    <x v="1"/>
    <s v="Travel_Rarely"/>
    <n v="1176"/>
    <x v="2"/>
    <n v="26"/>
    <n v="4"/>
    <s v="Life Sciences"/>
    <n v="1625"/>
    <n v="4"/>
    <s v="Female"/>
    <n v="98"/>
    <n v="3"/>
    <n v="5"/>
    <s v="Manager"/>
    <n v="3"/>
    <s v="Married"/>
    <n v="19658"/>
    <n v="5220"/>
    <n v="3"/>
    <s v="No"/>
    <n v="11"/>
    <n v="3"/>
    <n v="3"/>
    <n v="1"/>
    <n v="27"/>
    <n v="2"/>
    <n v="3"/>
    <n v="5"/>
    <n v="2"/>
    <n v="1"/>
    <n v="0"/>
  </r>
  <r>
    <n v="39"/>
    <x v="1"/>
    <s v="Travel_Rarely"/>
    <n v="170"/>
    <x v="1"/>
    <n v="3"/>
    <n v="2"/>
    <s v="Medical"/>
    <n v="1627"/>
    <n v="3"/>
    <s v="Male"/>
    <n v="76"/>
    <n v="2"/>
    <n v="2"/>
    <s v="Laboratory Technician"/>
    <n v="3"/>
    <s v="Divorced"/>
    <n v="3069"/>
    <n v="10302"/>
    <n v="0"/>
    <s v="No"/>
    <n v="15"/>
    <n v="3"/>
    <n v="4"/>
    <n v="1"/>
    <n v="11"/>
    <n v="3"/>
    <n v="3"/>
    <n v="10"/>
    <n v="8"/>
    <n v="0"/>
    <n v="7"/>
  </r>
  <r>
    <n v="40"/>
    <x v="1"/>
    <s v="Travel_Rarely"/>
    <n v="884"/>
    <x v="1"/>
    <n v="15"/>
    <n v="3"/>
    <s v="Life Sciences"/>
    <n v="1628"/>
    <n v="1"/>
    <s v="Female"/>
    <n v="80"/>
    <n v="2"/>
    <n v="3"/>
    <s v="Manufacturing Director"/>
    <n v="3"/>
    <s v="Married"/>
    <n v="10435"/>
    <n v="25800"/>
    <n v="1"/>
    <s v="No"/>
    <n v="13"/>
    <n v="3"/>
    <n v="4"/>
    <n v="2"/>
    <n v="18"/>
    <n v="2"/>
    <n v="3"/>
    <n v="18"/>
    <n v="15"/>
    <n v="14"/>
    <n v="12"/>
  </r>
  <r>
    <n v="35"/>
    <x v="1"/>
    <s v="Non-Travel"/>
    <n v="208"/>
    <x v="1"/>
    <n v="8"/>
    <n v="4"/>
    <s v="Life Sciences"/>
    <n v="1630"/>
    <n v="3"/>
    <s v="Female"/>
    <n v="52"/>
    <n v="3"/>
    <n v="2"/>
    <s v="Healthcare Representative"/>
    <n v="3"/>
    <s v="Married"/>
    <n v="4148"/>
    <n v="12250"/>
    <n v="1"/>
    <s v="No"/>
    <n v="12"/>
    <n v="3"/>
    <n v="4"/>
    <n v="1"/>
    <n v="15"/>
    <n v="5"/>
    <n v="3"/>
    <n v="14"/>
    <n v="11"/>
    <n v="2"/>
    <n v="9"/>
  </r>
  <r>
    <n v="37"/>
    <x v="1"/>
    <s v="Travel_Rarely"/>
    <n v="671"/>
    <x v="1"/>
    <n v="19"/>
    <n v="3"/>
    <s v="Life Sciences"/>
    <n v="1631"/>
    <n v="3"/>
    <s v="Male"/>
    <n v="85"/>
    <n v="3"/>
    <n v="2"/>
    <s v="Manufacturing Director"/>
    <n v="3"/>
    <s v="Married"/>
    <n v="5768"/>
    <n v="26493"/>
    <n v="3"/>
    <s v="No"/>
    <n v="17"/>
    <n v="3"/>
    <n v="1"/>
    <n v="3"/>
    <n v="9"/>
    <n v="2"/>
    <n v="2"/>
    <n v="4"/>
    <n v="3"/>
    <n v="0"/>
    <n v="2"/>
  </r>
  <r>
    <n v="39"/>
    <x v="1"/>
    <s v="Travel_Frequently"/>
    <n v="711"/>
    <x v="1"/>
    <n v="4"/>
    <n v="3"/>
    <s v="Medical"/>
    <n v="1633"/>
    <n v="1"/>
    <s v="Female"/>
    <n v="81"/>
    <n v="3"/>
    <n v="2"/>
    <s v="Manufacturing Director"/>
    <n v="3"/>
    <s v="Single"/>
    <n v="5042"/>
    <n v="3140"/>
    <n v="0"/>
    <s v="No"/>
    <n v="13"/>
    <n v="3"/>
    <n v="4"/>
    <n v="0"/>
    <n v="10"/>
    <n v="2"/>
    <n v="1"/>
    <n v="9"/>
    <n v="2"/>
    <n v="3"/>
    <n v="8"/>
  </r>
  <r>
    <n v="45"/>
    <x v="1"/>
    <s v="Travel_Rarely"/>
    <n v="1329"/>
    <x v="1"/>
    <n v="2"/>
    <n v="2"/>
    <s v="Other"/>
    <n v="1635"/>
    <n v="4"/>
    <s v="Female"/>
    <n v="59"/>
    <n v="2"/>
    <n v="2"/>
    <s v="Manufacturing Director"/>
    <n v="4"/>
    <s v="Divorced"/>
    <n v="5770"/>
    <n v="5388"/>
    <n v="1"/>
    <s v="No"/>
    <n v="19"/>
    <n v="3"/>
    <n v="1"/>
    <n v="2"/>
    <n v="10"/>
    <n v="3"/>
    <n v="3"/>
    <n v="10"/>
    <n v="7"/>
    <n v="3"/>
    <n v="9"/>
  </r>
  <r>
    <n v="38"/>
    <x v="1"/>
    <s v="Travel_Rarely"/>
    <n v="397"/>
    <x v="1"/>
    <n v="2"/>
    <n v="2"/>
    <s v="Medical"/>
    <n v="1638"/>
    <n v="4"/>
    <s v="Female"/>
    <n v="54"/>
    <n v="2"/>
    <n v="3"/>
    <s v="Manufacturing Director"/>
    <n v="3"/>
    <s v="Married"/>
    <n v="7756"/>
    <n v="14199"/>
    <n v="3"/>
    <s v="Yes"/>
    <n v="19"/>
    <n v="3"/>
    <n v="4"/>
    <n v="1"/>
    <n v="10"/>
    <n v="6"/>
    <n v="4"/>
    <n v="5"/>
    <n v="4"/>
    <n v="0"/>
    <n v="2"/>
  </r>
  <r>
    <n v="35"/>
    <x v="0"/>
    <s v="Travel_Rarely"/>
    <n v="737"/>
    <x v="0"/>
    <n v="10"/>
    <n v="3"/>
    <s v="Medical"/>
    <n v="1639"/>
    <n v="4"/>
    <s v="Male"/>
    <n v="55"/>
    <n v="2"/>
    <n v="3"/>
    <s v="Sales Executive"/>
    <n v="1"/>
    <s v="Married"/>
    <n v="10306"/>
    <n v="21530"/>
    <n v="9"/>
    <s v="No"/>
    <n v="17"/>
    <n v="3"/>
    <n v="3"/>
    <n v="0"/>
    <n v="15"/>
    <n v="3"/>
    <n v="3"/>
    <n v="13"/>
    <n v="12"/>
    <n v="6"/>
    <n v="0"/>
  </r>
  <r>
    <n v="37"/>
    <x v="1"/>
    <s v="Travel_Rarely"/>
    <n v="1470"/>
    <x v="1"/>
    <n v="10"/>
    <n v="3"/>
    <s v="Medical"/>
    <n v="1640"/>
    <n v="2"/>
    <s v="Female"/>
    <n v="71"/>
    <n v="3"/>
    <n v="1"/>
    <s v="Research Scientist"/>
    <n v="2"/>
    <s v="Married"/>
    <n v="3936"/>
    <n v="9953"/>
    <n v="1"/>
    <s v="No"/>
    <n v="11"/>
    <n v="3"/>
    <n v="1"/>
    <n v="1"/>
    <n v="8"/>
    <n v="2"/>
    <n v="1"/>
    <n v="8"/>
    <n v="4"/>
    <n v="7"/>
    <n v="7"/>
  </r>
  <r>
    <n v="40"/>
    <x v="1"/>
    <s v="Travel_Rarely"/>
    <n v="448"/>
    <x v="1"/>
    <n v="16"/>
    <n v="3"/>
    <s v="Life Sciences"/>
    <n v="1641"/>
    <n v="3"/>
    <s v="Female"/>
    <n v="84"/>
    <n v="3"/>
    <n v="3"/>
    <s v="Manufacturing Director"/>
    <n v="4"/>
    <s v="Single"/>
    <n v="7945"/>
    <n v="19948"/>
    <n v="6"/>
    <s v="Yes"/>
    <n v="15"/>
    <n v="3"/>
    <n v="4"/>
    <n v="0"/>
    <n v="18"/>
    <n v="2"/>
    <n v="2"/>
    <n v="4"/>
    <n v="2"/>
    <n v="3"/>
    <n v="3"/>
  </r>
  <r>
    <n v="44"/>
    <x v="1"/>
    <s v="Travel_Frequently"/>
    <n v="602"/>
    <x v="2"/>
    <n v="1"/>
    <n v="5"/>
    <s v="Human Resources"/>
    <n v="1642"/>
    <n v="1"/>
    <s v="Male"/>
    <n v="37"/>
    <n v="3"/>
    <n v="2"/>
    <s v="Human Resources"/>
    <n v="4"/>
    <s v="Married"/>
    <n v="5743"/>
    <n v="10503"/>
    <n v="4"/>
    <s v="Yes"/>
    <n v="11"/>
    <n v="3"/>
    <n v="3"/>
    <n v="0"/>
    <n v="14"/>
    <n v="3"/>
    <n v="3"/>
    <n v="10"/>
    <n v="7"/>
    <n v="0"/>
    <n v="2"/>
  </r>
  <r>
    <n v="48"/>
    <x v="1"/>
    <s v="Travel_Frequently"/>
    <n v="365"/>
    <x v="1"/>
    <n v="4"/>
    <n v="5"/>
    <s v="Medical"/>
    <n v="1644"/>
    <n v="3"/>
    <s v="Male"/>
    <n v="89"/>
    <n v="2"/>
    <n v="4"/>
    <s v="Manager"/>
    <n v="4"/>
    <s v="Married"/>
    <n v="15202"/>
    <n v="5602"/>
    <n v="2"/>
    <s v="No"/>
    <n v="25"/>
    <n v="4"/>
    <n v="2"/>
    <n v="1"/>
    <n v="23"/>
    <n v="3"/>
    <n v="3"/>
    <n v="2"/>
    <n v="2"/>
    <n v="2"/>
    <n v="2"/>
  </r>
  <r>
    <n v="35"/>
    <x v="0"/>
    <s v="Travel_Rarely"/>
    <n v="763"/>
    <x v="0"/>
    <n v="15"/>
    <n v="2"/>
    <s v="Medical"/>
    <n v="1645"/>
    <n v="1"/>
    <s v="Male"/>
    <n v="59"/>
    <n v="1"/>
    <n v="2"/>
    <s v="Sales Executive"/>
    <n v="4"/>
    <s v="Divorced"/>
    <n v="5440"/>
    <n v="22098"/>
    <n v="6"/>
    <s v="Yes"/>
    <n v="14"/>
    <n v="3"/>
    <n v="4"/>
    <n v="2"/>
    <n v="7"/>
    <n v="2"/>
    <n v="2"/>
    <n v="2"/>
    <n v="2"/>
    <n v="2"/>
    <n v="2"/>
  </r>
  <r>
    <n v="24"/>
    <x v="1"/>
    <s v="Travel_Frequently"/>
    <n v="567"/>
    <x v="1"/>
    <n v="2"/>
    <n v="1"/>
    <s v="Technical Degree"/>
    <n v="1646"/>
    <n v="1"/>
    <s v="Female"/>
    <n v="32"/>
    <n v="3"/>
    <n v="1"/>
    <s v="Research Scientist"/>
    <n v="4"/>
    <s v="Single"/>
    <n v="3760"/>
    <n v="17218"/>
    <n v="1"/>
    <s v="Yes"/>
    <n v="13"/>
    <n v="3"/>
    <n v="3"/>
    <n v="0"/>
    <n v="6"/>
    <n v="2"/>
    <n v="3"/>
    <n v="6"/>
    <n v="3"/>
    <n v="1"/>
    <n v="3"/>
  </r>
  <r>
    <n v="27"/>
    <x v="1"/>
    <s v="Travel_Rarely"/>
    <n v="486"/>
    <x v="1"/>
    <n v="8"/>
    <n v="3"/>
    <s v="Medical"/>
    <n v="1647"/>
    <n v="2"/>
    <s v="Female"/>
    <n v="86"/>
    <n v="4"/>
    <n v="1"/>
    <s v="Research Scientist"/>
    <n v="3"/>
    <s v="Married"/>
    <n v="3517"/>
    <n v="22490"/>
    <n v="7"/>
    <s v="No"/>
    <n v="17"/>
    <n v="3"/>
    <n v="1"/>
    <n v="0"/>
    <n v="5"/>
    <n v="0"/>
    <n v="3"/>
    <n v="3"/>
    <n v="2"/>
    <n v="0"/>
    <n v="2"/>
  </r>
  <r>
    <n v="27"/>
    <x v="1"/>
    <s v="Travel_Frequently"/>
    <n v="591"/>
    <x v="1"/>
    <n v="2"/>
    <n v="3"/>
    <s v="Medical"/>
    <n v="1648"/>
    <n v="4"/>
    <s v="Male"/>
    <n v="87"/>
    <n v="3"/>
    <n v="1"/>
    <s v="Research Scientist"/>
    <n v="4"/>
    <s v="Single"/>
    <n v="2580"/>
    <n v="6297"/>
    <n v="2"/>
    <s v="No"/>
    <n v="13"/>
    <n v="3"/>
    <n v="3"/>
    <n v="0"/>
    <n v="6"/>
    <n v="0"/>
    <n v="2"/>
    <n v="4"/>
    <n v="2"/>
    <n v="1"/>
    <n v="2"/>
  </r>
  <r>
    <n v="40"/>
    <x v="0"/>
    <s v="Travel_Rarely"/>
    <n v="1329"/>
    <x v="1"/>
    <n v="7"/>
    <n v="3"/>
    <s v="Life Sciences"/>
    <n v="1649"/>
    <n v="1"/>
    <s v="Male"/>
    <n v="73"/>
    <n v="3"/>
    <n v="1"/>
    <s v="Laboratory Technician"/>
    <n v="1"/>
    <s v="Single"/>
    <n v="2166"/>
    <n v="3339"/>
    <n v="3"/>
    <s v="Yes"/>
    <n v="14"/>
    <n v="3"/>
    <n v="2"/>
    <n v="0"/>
    <n v="10"/>
    <n v="3"/>
    <n v="1"/>
    <n v="4"/>
    <n v="2"/>
    <n v="0"/>
    <n v="3"/>
  </r>
  <r>
    <n v="29"/>
    <x v="1"/>
    <s v="Travel_Rarely"/>
    <n v="469"/>
    <x v="0"/>
    <n v="10"/>
    <n v="3"/>
    <s v="Medical"/>
    <n v="1650"/>
    <n v="3"/>
    <s v="Male"/>
    <n v="42"/>
    <n v="2"/>
    <n v="2"/>
    <s v="Sales Executive"/>
    <n v="3"/>
    <s v="Single"/>
    <n v="5869"/>
    <n v="23413"/>
    <n v="9"/>
    <s v="No"/>
    <n v="11"/>
    <n v="3"/>
    <n v="3"/>
    <n v="0"/>
    <n v="8"/>
    <n v="2"/>
    <n v="3"/>
    <n v="5"/>
    <n v="2"/>
    <n v="1"/>
    <n v="4"/>
  </r>
  <r>
    <n v="36"/>
    <x v="1"/>
    <s v="Travel_Rarely"/>
    <n v="711"/>
    <x v="1"/>
    <n v="5"/>
    <n v="4"/>
    <s v="Life Sciences"/>
    <n v="1651"/>
    <n v="2"/>
    <s v="Female"/>
    <n v="42"/>
    <n v="3"/>
    <n v="3"/>
    <s v="Healthcare Representative"/>
    <n v="1"/>
    <s v="Married"/>
    <n v="8008"/>
    <n v="22792"/>
    <n v="4"/>
    <s v="No"/>
    <n v="12"/>
    <n v="3"/>
    <n v="3"/>
    <n v="2"/>
    <n v="9"/>
    <n v="6"/>
    <n v="3"/>
    <n v="3"/>
    <n v="2"/>
    <n v="0"/>
    <n v="2"/>
  </r>
  <r>
    <n v="25"/>
    <x v="1"/>
    <s v="Travel_Frequently"/>
    <n v="772"/>
    <x v="1"/>
    <n v="2"/>
    <n v="1"/>
    <s v="Life Sciences"/>
    <n v="1653"/>
    <n v="4"/>
    <s v="Male"/>
    <n v="77"/>
    <n v="4"/>
    <n v="2"/>
    <s v="Manufacturing Director"/>
    <n v="3"/>
    <s v="Divorced"/>
    <n v="5206"/>
    <n v="4973"/>
    <n v="1"/>
    <s v="No"/>
    <n v="17"/>
    <n v="3"/>
    <n v="3"/>
    <n v="2"/>
    <n v="7"/>
    <n v="6"/>
    <n v="3"/>
    <n v="7"/>
    <n v="7"/>
    <n v="0"/>
    <n v="7"/>
  </r>
  <r>
    <n v="39"/>
    <x v="1"/>
    <s v="Travel_Rarely"/>
    <n v="492"/>
    <x v="1"/>
    <n v="12"/>
    <n v="3"/>
    <s v="Medical"/>
    <n v="1654"/>
    <n v="4"/>
    <s v="Male"/>
    <n v="66"/>
    <n v="3"/>
    <n v="2"/>
    <s v="Manufacturing Director"/>
    <n v="2"/>
    <s v="Married"/>
    <n v="5295"/>
    <n v="7693"/>
    <n v="4"/>
    <s v="No"/>
    <n v="21"/>
    <n v="4"/>
    <n v="3"/>
    <n v="0"/>
    <n v="7"/>
    <n v="3"/>
    <n v="3"/>
    <n v="5"/>
    <n v="4"/>
    <n v="1"/>
    <n v="0"/>
  </r>
  <r>
    <n v="49"/>
    <x v="1"/>
    <s v="Travel_Rarely"/>
    <n v="301"/>
    <x v="1"/>
    <n v="22"/>
    <n v="4"/>
    <s v="Other"/>
    <n v="1655"/>
    <n v="1"/>
    <s v="Female"/>
    <n v="72"/>
    <n v="3"/>
    <n v="4"/>
    <s v="Research Director"/>
    <n v="2"/>
    <s v="Married"/>
    <n v="16413"/>
    <n v="3498"/>
    <n v="3"/>
    <s v="No"/>
    <n v="16"/>
    <n v="3"/>
    <n v="2"/>
    <n v="2"/>
    <n v="27"/>
    <n v="2"/>
    <n v="3"/>
    <n v="4"/>
    <n v="2"/>
    <n v="1"/>
    <n v="2"/>
  </r>
  <r>
    <n v="50"/>
    <x v="1"/>
    <s v="Travel_Rarely"/>
    <n v="813"/>
    <x v="1"/>
    <n v="17"/>
    <n v="5"/>
    <s v="Life Sciences"/>
    <n v="1656"/>
    <n v="4"/>
    <s v="Female"/>
    <n v="50"/>
    <n v="2"/>
    <n v="3"/>
    <s v="Research Director"/>
    <n v="1"/>
    <s v="Divorced"/>
    <n v="13269"/>
    <n v="21981"/>
    <n v="5"/>
    <s v="No"/>
    <n v="15"/>
    <n v="3"/>
    <n v="3"/>
    <n v="3"/>
    <n v="19"/>
    <n v="3"/>
    <n v="3"/>
    <n v="14"/>
    <n v="11"/>
    <n v="1"/>
    <n v="11"/>
  </r>
  <r>
    <n v="20"/>
    <x v="1"/>
    <s v="Travel_Rarely"/>
    <n v="1141"/>
    <x v="0"/>
    <n v="2"/>
    <n v="3"/>
    <s v="Medical"/>
    <n v="1657"/>
    <n v="3"/>
    <s v="Female"/>
    <n v="31"/>
    <n v="3"/>
    <n v="1"/>
    <s v="Sales Representative"/>
    <n v="3"/>
    <s v="Single"/>
    <n v="2783"/>
    <n v="13251"/>
    <n v="1"/>
    <s v="No"/>
    <n v="19"/>
    <n v="3"/>
    <n v="1"/>
    <n v="0"/>
    <n v="2"/>
    <n v="3"/>
    <n v="3"/>
    <n v="2"/>
    <n v="2"/>
    <n v="2"/>
    <n v="2"/>
  </r>
  <r>
    <n v="34"/>
    <x v="1"/>
    <s v="Travel_Rarely"/>
    <n v="1130"/>
    <x v="1"/>
    <n v="3"/>
    <n v="3"/>
    <s v="Life Sciences"/>
    <n v="1658"/>
    <n v="4"/>
    <s v="Female"/>
    <n v="66"/>
    <n v="3"/>
    <n v="2"/>
    <s v="Research Scientist"/>
    <n v="2"/>
    <s v="Divorced"/>
    <n v="5433"/>
    <n v="19332"/>
    <n v="1"/>
    <s v="No"/>
    <n v="12"/>
    <n v="3"/>
    <n v="3"/>
    <n v="1"/>
    <n v="11"/>
    <n v="2"/>
    <n v="3"/>
    <n v="11"/>
    <n v="8"/>
    <n v="7"/>
    <n v="9"/>
  </r>
  <r>
    <n v="36"/>
    <x v="1"/>
    <s v="Travel_Rarely"/>
    <n v="311"/>
    <x v="1"/>
    <n v="7"/>
    <n v="3"/>
    <s v="Life Sciences"/>
    <n v="1659"/>
    <n v="1"/>
    <s v="Male"/>
    <n v="77"/>
    <n v="3"/>
    <n v="1"/>
    <s v="Laboratory Technician"/>
    <n v="2"/>
    <s v="Single"/>
    <n v="2013"/>
    <n v="10950"/>
    <n v="2"/>
    <s v="No"/>
    <n v="11"/>
    <n v="3"/>
    <n v="3"/>
    <n v="0"/>
    <n v="15"/>
    <n v="4"/>
    <n v="3"/>
    <n v="4"/>
    <n v="3"/>
    <n v="1"/>
    <n v="3"/>
  </r>
  <r>
    <n v="49"/>
    <x v="1"/>
    <s v="Travel_Rarely"/>
    <n v="465"/>
    <x v="1"/>
    <n v="6"/>
    <n v="1"/>
    <s v="Life Sciences"/>
    <n v="1661"/>
    <n v="3"/>
    <s v="Female"/>
    <n v="41"/>
    <n v="2"/>
    <n v="4"/>
    <s v="Healthcare Representative"/>
    <n v="3"/>
    <s v="Married"/>
    <n v="13966"/>
    <n v="11652"/>
    <n v="2"/>
    <s v="Yes"/>
    <n v="19"/>
    <n v="3"/>
    <n v="2"/>
    <n v="1"/>
    <n v="30"/>
    <n v="3"/>
    <n v="3"/>
    <n v="15"/>
    <n v="11"/>
    <n v="2"/>
    <n v="12"/>
  </r>
  <r>
    <n v="36"/>
    <x v="1"/>
    <s v="Non-Travel"/>
    <n v="894"/>
    <x v="1"/>
    <n v="1"/>
    <n v="4"/>
    <s v="Medical"/>
    <n v="1662"/>
    <n v="4"/>
    <s v="Female"/>
    <n v="33"/>
    <n v="2"/>
    <n v="2"/>
    <s v="Manufacturing Director"/>
    <n v="3"/>
    <s v="Married"/>
    <n v="4374"/>
    <n v="15411"/>
    <n v="0"/>
    <s v="No"/>
    <n v="15"/>
    <n v="3"/>
    <n v="3"/>
    <n v="0"/>
    <n v="4"/>
    <n v="6"/>
    <n v="3"/>
    <n v="3"/>
    <n v="2"/>
    <n v="1"/>
    <n v="2"/>
  </r>
  <r>
    <n v="36"/>
    <x v="1"/>
    <s v="Travel_Rarely"/>
    <n v="1040"/>
    <x v="1"/>
    <n v="3"/>
    <n v="2"/>
    <s v="Life Sciences"/>
    <n v="1664"/>
    <n v="4"/>
    <s v="Male"/>
    <n v="79"/>
    <n v="4"/>
    <n v="2"/>
    <s v="Healthcare Representative"/>
    <n v="1"/>
    <s v="Divorced"/>
    <n v="6842"/>
    <n v="26308"/>
    <n v="6"/>
    <s v="No"/>
    <n v="20"/>
    <n v="4"/>
    <n v="1"/>
    <n v="1"/>
    <n v="13"/>
    <n v="3"/>
    <n v="3"/>
    <n v="5"/>
    <n v="4"/>
    <n v="0"/>
    <n v="4"/>
  </r>
  <r>
    <n v="54"/>
    <x v="1"/>
    <s v="Travel_Rarely"/>
    <n v="584"/>
    <x v="1"/>
    <n v="22"/>
    <n v="5"/>
    <s v="Medical"/>
    <n v="1665"/>
    <n v="2"/>
    <s v="Female"/>
    <n v="91"/>
    <n v="3"/>
    <n v="4"/>
    <s v="Manager"/>
    <n v="3"/>
    <s v="Married"/>
    <n v="17426"/>
    <n v="18685"/>
    <n v="3"/>
    <s v="No"/>
    <n v="25"/>
    <n v="4"/>
    <n v="3"/>
    <n v="1"/>
    <n v="36"/>
    <n v="6"/>
    <n v="3"/>
    <n v="10"/>
    <n v="8"/>
    <n v="4"/>
    <n v="7"/>
  </r>
  <r>
    <n v="43"/>
    <x v="1"/>
    <s v="Travel_Rarely"/>
    <n v="1291"/>
    <x v="1"/>
    <n v="15"/>
    <n v="2"/>
    <s v="Life Sciences"/>
    <n v="1666"/>
    <n v="3"/>
    <s v="Male"/>
    <n v="65"/>
    <n v="2"/>
    <n v="4"/>
    <s v="Research Director"/>
    <n v="3"/>
    <s v="Married"/>
    <n v="17603"/>
    <n v="3525"/>
    <n v="1"/>
    <s v="No"/>
    <n v="24"/>
    <n v="4"/>
    <n v="1"/>
    <n v="1"/>
    <n v="14"/>
    <n v="3"/>
    <n v="3"/>
    <n v="14"/>
    <n v="10"/>
    <n v="6"/>
    <n v="11"/>
  </r>
  <r>
    <n v="35"/>
    <x v="0"/>
    <s v="Travel_Frequently"/>
    <n v="880"/>
    <x v="0"/>
    <n v="12"/>
    <n v="4"/>
    <s v="Other"/>
    <n v="1667"/>
    <n v="4"/>
    <s v="Male"/>
    <n v="36"/>
    <n v="3"/>
    <n v="2"/>
    <s v="Sales Executive"/>
    <n v="4"/>
    <s v="Single"/>
    <n v="4581"/>
    <n v="10414"/>
    <n v="3"/>
    <s v="Yes"/>
    <n v="24"/>
    <n v="4"/>
    <n v="1"/>
    <n v="0"/>
    <n v="13"/>
    <n v="2"/>
    <n v="4"/>
    <n v="11"/>
    <n v="9"/>
    <n v="6"/>
    <n v="7"/>
  </r>
  <r>
    <n v="38"/>
    <x v="1"/>
    <s v="Travel_Frequently"/>
    <n v="1189"/>
    <x v="1"/>
    <n v="1"/>
    <n v="3"/>
    <s v="Life Sciences"/>
    <n v="1668"/>
    <n v="4"/>
    <s v="Male"/>
    <n v="90"/>
    <n v="3"/>
    <n v="2"/>
    <s v="Research Scientist"/>
    <n v="4"/>
    <s v="Married"/>
    <n v="4735"/>
    <n v="9867"/>
    <n v="7"/>
    <s v="No"/>
    <n v="15"/>
    <n v="3"/>
    <n v="4"/>
    <n v="2"/>
    <n v="19"/>
    <n v="4"/>
    <n v="4"/>
    <n v="13"/>
    <n v="11"/>
    <n v="2"/>
    <n v="9"/>
  </r>
  <r>
    <n v="29"/>
    <x v="1"/>
    <s v="Travel_Rarely"/>
    <n v="991"/>
    <x v="0"/>
    <n v="5"/>
    <n v="3"/>
    <s v="Medical"/>
    <n v="1669"/>
    <n v="1"/>
    <s v="Male"/>
    <n v="43"/>
    <n v="2"/>
    <n v="2"/>
    <s v="Sales Executive"/>
    <n v="2"/>
    <s v="Divorced"/>
    <n v="4187"/>
    <n v="3356"/>
    <n v="1"/>
    <s v="Yes"/>
    <n v="13"/>
    <n v="3"/>
    <n v="2"/>
    <n v="1"/>
    <n v="10"/>
    <n v="3"/>
    <n v="2"/>
    <n v="10"/>
    <n v="0"/>
    <n v="0"/>
    <n v="9"/>
  </r>
  <r>
    <n v="33"/>
    <x v="1"/>
    <s v="Travel_Rarely"/>
    <n v="392"/>
    <x v="0"/>
    <n v="2"/>
    <n v="4"/>
    <s v="Medical"/>
    <n v="1670"/>
    <n v="4"/>
    <s v="Male"/>
    <n v="93"/>
    <n v="3"/>
    <n v="2"/>
    <s v="Sales Executive"/>
    <n v="4"/>
    <s v="Divorced"/>
    <n v="5505"/>
    <n v="3921"/>
    <n v="1"/>
    <s v="No"/>
    <n v="14"/>
    <n v="3"/>
    <n v="3"/>
    <n v="2"/>
    <n v="6"/>
    <n v="5"/>
    <n v="3"/>
    <n v="6"/>
    <n v="2"/>
    <n v="0"/>
    <n v="4"/>
  </r>
  <r>
    <n v="32"/>
    <x v="1"/>
    <s v="Travel_Rarely"/>
    <n v="977"/>
    <x v="1"/>
    <n v="2"/>
    <n v="3"/>
    <s v="Medical"/>
    <n v="1671"/>
    <n v="4"/>
    <s v="Male"/>
    <n v="45"/>
    <n v="3"/>
    <n v="2"/>
    <s v="Research Scientist"/>
    <n v="2"/>
    <s v="Divorced"/>
    <n v="5470"/>
    <n v="25518"/>
    <n v="0"/>
    <s v="No"/>
    <n v="13"/>
    <n v="3"/>
    <n v="3"/>
    <n v="2"/>
    <n v="10"/>
    <n v="4"/>
    <n v="2"/>
    <n v="9"/>
    <n v="5"/>
    <n v="1"/>
    <n v="6"/>
  </r>
  <r>
    <n v="31"/>
    <x v="1"/>
    <s v="Travel_Rarely"/>
    <n v="1112"/>
    <x v="0"/>
    <n v="5"/>
    <n v="4"/>
    <s v="Life Sciences"/>
    <n v="1673"/>
    <n v="1"/>
    <s v="Female"/>
    <n v="67"/>
    <n v="3"/>
    <n v="2"/>
    <s v="Sales Executive"/>
    <n v="4"/>
    <s v="Married"/>
    <n v="5476"/>
    <n v="22589"/>
    <n v="1"/>
    <s v="No"/>
    <n v="11"/>
    <n v="3"/>
    <n v="1"/>
    <n v="2"/>
    <n v="10"/>
    <n v="2"/>
    <n v="3"/>
    <n v="10"/>
    <n v="0"/>
    <n v="0"/>
    <n v="2"/>
  </r>
  <r>
    <n v="49"/>
    <x v="1"/>
    <s v="Travel_Rarely"/>
    <n v="464"/>
    <x v="1"/>
    <n v="16"/>
    <n v="3"/>
    <s v="Medical"/>
    <n v="1674"/>
    <n v="4"/>
    <s v="Female"/>
    <n v="74"/>
    <n v="3"/>
    <n v="1"/>
    <s v="Laboratory Technician"/>
    <n v="1"/>
    <s v="Divorced"/>
    <n v="2587"/>
    <n v="24941"/>
    <n v="4"/>
    <s v="Yes"/>
    <n v="16"/>
    <n v="3"/>
    <n v="2"/>
    <n v="1"/>
    <n v="17"/>
    <n v="2"/>
    <n v="2"/>
    <n v="2"/>
    <n v="2"/>
    <n v="2"/>
    <n v="2"/>
  </r>
  <r>
    <n v="38"/>
    <x v="1"/>
    <s v="Travel_Frequently"/>
    <n v="148"/>
    <x v="1"/>
    <n v="2"/>
    <n v="3"/>
    <s v="Medical"/>
    <n v="1675"/>
    <n v="4"/>
    <s v="Female"/>
    <n v="42"/>
    <n v="2"/>
    <n v="1"/>
    <s v="Laboratory Technician"/>
    <n v="2"/>
    <s v="Single"/>
    <n v="2440"/>
    <n v="23826"/>
    <n v="1"/>
    <s v="No"/>
    <n v="22"/>
    <n v="4"/>
    <n v="2"/>
    <n v="0"/>
    <n v="4"/>
    <n v="3"/>
    <n v="3"/>
    <n v="4"/>
    <n v="3"/>
    <n v="3"/>
    <n v="3"/>
  </r>
  <r>
    <n v="47"/>
    <x v="1"/>
    <s v="Travel_Rarely"/>
    <n v="1225"/>
    <x v="0"/>
    <n v="2"/>
    <n v="4"/>
    <s v="Life Sciences"/>
    <n v="1676"/>
    <n v="2"/>
    <s v="Female"/>
    <n v="47"/>
    <n v="4"/>
    <n v="4"/>
    <s v="Manager"/>
    <n v="2"/>
    <s v="Divorced"/>
    <n v="15972"/>
    <n v="21086"/>
    <n v="6"/>
    <s v="No"/>
    <n v="14"/>
    <n v="3"/>
    <n v="3"/>
    <n v="3"/>
    <n v="29"/>
    <n v="2"/>
    <n v="3"/>
    <n v="3"/>
    <n v="2"/>
    <n v="1"/>
    <n v="2"/>
  </r>
  <r>
    <n v="49"/>
    <x v="1"/>
    <s v="Travel_Rarely"/>
    <n v="809"/>
    <x v="1"/>
    <n v="1"/>
    <n v="3"/>
    <s v="Life Sciences"/>
    <n v="1677"/>
    <n v="3"/>
    <s v="Male"/>
    <n v="36"/>
    <n v="3"/>
    <n v="4"/>
    <s v="Manager"/>
    <n v="3"/>
    <s v="Single"/>
    <n v="15379"/>
    <n v="22384"/>
    <n v="4"/>
    <s v="No"/>
    <n v="14"/>
    <n v="3"/>
    <n v="1"/>
    <n v="0"/>
    <n v="23"/>
    <n v="2"/>
    <n v="3"/>
    <n v="8"/>
    <n v="7"/>
    <n v="0"/>
    <n v="0"/>
  </r>
  <r>
    <n v="41"/>
    <x v="1"/>
    <s v="Travel_Rarely"/>
    <n v="1206"/>
    <x v="0"/>
    <n v="23"/>
    <n v="2"/>
    <s v="Life Sciences"/>
    <n v="1678"/>
    <n v="4"/>
    <s v="Male"/>
    <n v="80"/>
    <n v="3"/>
    <n v="3"/>
    <s v="Sales Executive"/>
    <n v="3"/>
    <s v="Single"/>
    <n v="7082"/>
    <n v="11591"/>
    <n v="3"/>
    <s v="Yes"/>
    <n v="16"/>
    <n v="3"/>
    <n v="4"/>
    <n v="0"/>
    <n v="21"/>
    <n v="2"/>
    <n v="3"/>
    <n v="2"/>
    <n v="0"/>
    <n v="0"/>
    <n v="2"/>
  </r>
  <r>
    <n v="20"/>
    <x v="1"/>
    <s v="Travel_Rarely"/>
    <n v="727"/>
    <x v="0"/>
    <n v="9"/>
    <n v="1"/>
    <s v="Life Sciences"/>
    <n v="1680"/>
    <n v="4"/>
    <s v="Male"/>
    <n v="54"/>
    <n v="3"/>
    <n v="1"/>
    <s v="Sales Representative"/>
    <n v="1"/>
    <s v="Single"/>
    <n v="2728"/>
    <n v="21082"/>
    <n v="1"/>
    <s v="No"/>
    <n v="11"/>
    <n v="3"/>
    <n v="1"/>
    <n v="0"/>
    <n v="2"/>
    <n v="3"/>
    <n v="3"/>
    <n v="2"/>
    <n v="2"/>
    <n v="0"/>
    <n v="2"/>
  </r>
  <r>
    <n v="33"/>
    <x v="1"/>
    <s v="Non-Travel"/>
    <n v="530"/>
    <x v="0"/>
    <n v="16"/>
    <n v="3"/>
    <s v="Life Sciences"/>
    <n v="1681"/>
    <n v="3"/>
    <s v="Female"/>
    <n v="36"/>
    <n v="3"/>
    <n v="2"/>
    <s v="Sales Executive"/>
    <n v="4"/>
    <s v="Divorced"/>
    <n v="5368"/>
    <n v="16130"/>
    <n v="1"/>
    <s v="Yes"/>
    <n v="25"/>
    <n v="4"/>
    <n v="3"/>
    <n v="1"/>
    <n v="7"/>
    <n v="2"/>
    <n v="3"/>
    <n v="6"/>
    <n v="5"/>
    <n v="1"/>
    <n v="2"/>
  </r>
  <r>
    <n v="36"/>
    <x v="1"/>
    <s v="Travel_Rarely"/>
    <n v="1351"/>
    <x v="1"/>
    <n v="26"/>
    <n v="4"/>
    <s v="Life Sciences"/>
    <n v="1682"/>
    <n v="1"/>
    <s v="Male"/>
    <n v="80"/>
    <n v="3"/>
    <n v="2"/>
    <s v="Healthcare Representative"/>
    <n v="3"/>
    <s v="Married"/>
    <n v="5347"/>
    <n v="7419"/>
    <n v="6"/>
    <s v="No"/>
    <n v="14"/>
    <n v="3"/>
    <n v="2"/>
    <n v="2"/>
    <n v="10"/>
    <n v="2"/>
    <n v="2"/>
    <n v="3"/>
    <n v="2"/>
    <n v="0"/>
    <n v="2"/>
  </r>
  <r>
    <n v="44"/>
    <x v="1"/>
    <s v="Travel_Rarely"/>
    <n v="528"/>
    <x v="2"/>
    <n v="1"/>
    <n v="3"/>
    <s v="Life Sciences"/>
    <n v="1683"/>
    <n v="3"/>
    <s v="Female"/>
    <n v="44"/>
    <n v="3"/>
    <n v="1"/>
    <s v="Human Resources"/>
    <n v="4"/>
    <s v="Divorced"/>
    <n v="3195"/>
    <n v="4167"/>
    <n v="4"/>
    <s v="Yes"/>
    <n v="18"/>
    <n v="3"/>
    <n v="1"/>
    <n v="3"/>
    <n v="8"/>
    <n v="2"/>
    <n v="3"/>
    <n v="2"/>
    <n v="2"/>
    <n v="2"/>
    <n v="2"/>
  </r>
  <r>
    <n v="23"/>
    <x v="0"/>
    <s v="Travel_Rarely"/>
    <n v="1320"/>
    <x v="1"/>
    <n v="8"/>
    <n v="1"/>
    <s v="Medical"/>
    <n v="1684"/>
    <n v="4"/>
    <s v="Male"/>
    <n v="93"/>
    <n v="2"/>
    <n v="1"/>
    <s v="Laboratory Technician"/>
    <n v="3"/>
    <s v="Single"/>
    <n v="3989"/>
    <n v="20586"/>
    <n v="1"/>
    <s v="Yes"/>
    <n v="11"/>
    <n v="3"/>
    <n v="1"/>
    <n v="0"/>
    <n v="5"/>
    <n v="2"/>
    <n v="3"/>
    <n v="5"/>
    <n v="4"/>
    <n v="1"/>
    <n v="2"/>
  </r>
  <r>
    <n v="38"/>
    <x v="1"/>
    <s v="Travel_Rarely"/>
    <n v="1495"/>
    <x v="1"/>
    <n v="4"/>
    <n v="2"/>
    <s v="Medical"/>
    <n v="1687"/>
    <n v="4"/>
    <s v="Female"/>
    <n v="87"/>
    <n v="3"/>
    <n v="1"/>
    <s v="Laboratory Technician"/>
    <n v="3"/>
    <s v="Married"/>
    <n v="3306"/>
    <n v="26176"/>
    <n v="7"/>
    <s v="No"/>
    <n v="19"/>
    <n v="3"/>
    <n v="4"/>
    <n v="1"/>
    <n v="7"/>
    <n v="5"/>
    <n v="2"/>
    <n v="0"/>
    <n v="0"/>
    <n v="0"/>
    <n v="0"/>
  </r>
  <r>
    <n v="53"/>
    <x v="1"/>
    <s v="Travel_Rarely"/>
    <n v="1395"/>
    <x v="1"/>
    <n v="24"/>
    <n v="4"/>
    <s v="Medical"/>
    <n v="1689"/>
    <n v="2"/>
    <s v="Male"/>
    <n v="48"/>
    <n v="4"/>
    <n v="3"/>
    <s v="Healthcare Representative"/>
    <n v="4"/>
    <s v="Married"/>
    <n v="7005"/>
    <n v="3458"/>
    <n v="3"/>
    <s v="No"/>
    <n v="15"/>
    <n v="3"/>
    <n v="3"/>
    <n v="0"/>
    <n v="11"/>
    <n v="2"/>
    <n v="3"/>
    <n v="4"/>
    <n v="3"/>
    <n v="1"/>
    <n v="2"/>
  </r>
  <r>
    <n v="48"/>
    <x v="0"/>
    <s v="Travel_Frequently"/>
    <n v="708"/>
    <x v="0"/>
    <n v="7"/>
    <n v="2"/>
    <s v="Medical"/>
    <n v="1691"/>
    <n v="4"/>
    <s v="Female"/>
    <n v="95"/>
    <n v="3"/>
    <n v="1"/>
    <s v="Sales Representative"/>
    <n v="3"/>
    <s v="Married"/>
    <n v="2655"/>
    <n v="11740"/>
    <n v="2"/>
    <s v="Yes"/>
    <n v="11"/>
    <n v="3"/>
    <n v="3"/>
    <n v="2"/>
    <n v="19"/>
    <n v="3"/>
    <n v="3"/>
    <n v="9"/>
    <n v="7"/>
    <n v="7"/>
    <n v="7"/>
  </r>
  <r>
    <n v="32"/>
    <x v="0"/>
    <s v="Travel_Rarely"/>
    <n v="1259"/>
    <x v="1"/>
    <n v="2"/>
    <n v="4"/>
    <s v="Life Sciences"/>
    <n v="1692"/>
    <n v="4"/>
    <s v="Male"/>
    <n v="95"/>
    <n v="3"/>
    <n v="1"/>
    <s v="Laboratory Technician"/>
    <n v="2"/>
    <s v="Single"/>
    <n v="1393"/>
    <n v="24852"/>
    <n v="1"/>
    <s v="No"/>
    <n v="12"/>
    <n v="3"/>
    <n v="1"/>
    <n v="0"/>
    <n v="1"/>
    <n v="2"/>
    <n v="3"/>
    <n v="1"/>
    <n v="0"/>
    <n v="0"/>
    <n v="0"/>
  </r>
  <r>
    <n v="26"/>
    <x v="1"/>
    <s v="Non-Travel"/>
    <n v="786"/>
    <x v="1"/>
    <n v="7"/>
    <n v="3"/>
    <s v="Medical"/>
    <n v="1693"/>
    <n v="4"/>
    <s v="Male"/>
    <n v="76"/>
    <n v="3"/>
    <n v="1"/>
    <s v="Laboratory Technician"/>
    <n v="4"/>
    <s v="Single"/>
    <n v="2570"/>
    <n v="11925"/>
    <n v="1"/>
    <s v="No"/>
    <n v="20"/>
    <n v="4"/>
    <n v="3"/>
    <n v="0"/>
    <n v="7"/>
    <n v="5"/>
    <n v="3"/>
    <n v="7"/>
    <n v="7"/>
    <n v="5"/>
    <n v="7"/>
  </r>
  <r>
    <n v="55"/>
    <x v="1"/>
    <s v="Travel_Rarely"/>
    <n v="1441"/>
    <x v="1"/>
    <n v="22"/>
    <n v="3"/>
    <s v="Technical Degree"/>
    <n v="1694"/>
    <n v="1"/>
    <s v="Male"/>
    <n v="94"/>
    <n v="2"/>
    <n v="1"/>
    <s v="Research Scientist"/>
    <n v="2"/>
    <s v="Divorced"/>
    <n v="3537"/>
    <n v="23737"/>
    <n v="5"/>
    <s v="No"/>
    <n v="12"/>
    <n v="3"/>
    <n v="4"/>
    <n v="1"/>
    <n v="8"/>
    <n v="1"/>
    <n v="3"/>
    <n v="4"/>
    <n v="2"/>
    <n v="1"/>
    <n v="2"/>
  </r>
  <r>
    <n v="34"/>
    <x v="1"/>
    <s v="Travel_Rarely"/>
    <n v="1157"/>
    <x v="1"/>
    <n v="5"/>
    <n v="2"/>
    <s v="Medical"/>
    <n v="1696"/>
    <n v="2"/>
    <s v="Male"/>
    <n v="57"/>
    <n v="2"/>
    <n v="2"/>
    <s v="Laboratory Technician"/>
    <n v="4"/>
    <s v="Married"/>
    <n v="3986"/>
    <n v="11912"/>
    <n v="1"/>
    <s v="No"/>
    <n v="14"/>
    <n v="3"/>
    <n v="3"/>
    <n v="1"/>
    <n v="15"/>
    <n v="3"/>
    <n v="4"/>
    <n v="15"/>
    <n v="10"/>
    <n v="4"/>
    <n v="13"/>
  </r>
  <r>
    <n v="60"/>
    <x v="1"/>
    <s v="Travel_Rarely"/>
    <n v="370"/>
    <x v="1"/>
    <n v="1"/>
    <n v="4"/>
    <s v="Medical"/>
    <n v="1697"/>
    <n v="3"/>
    <s v="Male"/>
    <n v="92"/>
    <n v="1"/>
    <n v="3"/>
    <s v="Healthcare Representative"/>
    <n v="4"/>
    <s v="Divorced"/>
    <n v="10883"/>
    <n v="20467"/>
    <n v="3"/>
    <s v="No"/>
    <n v="20"/>
    <n v="4"/>
    <n v="3"/>
    <n v="1"/>
    <n v="19"/>
    <n v="2"/>
    <n v="4"/>
    <n v="1"/>
    <n v="0"/>
    <n v="0"/>
    <n v="0"/>
  </r>
  <r>
    <n v="33"/>
    <x v="1"/>
    <s v="Travel_Rarely"/>
    <n v="267"/>
    <x v="1"/>
    <n v="21"/>
    <n v="3"/>
    <s v="Medical"/>
    <n v="1698"/>
    <n v="2"/>
    <s v="Male"/>
    <n v="79"/>
    <n v="4"/>
    <n v="1"/>
    <s v="Laboratory Technician"/>
    <n v="2"/>
    <s v="Married"/>
    <n v="2028"/>
    <n v="13637"/>
    <n v="1"/>
    <s v="No"/>
    <n v="18"/>
    <n v="3"/>
    <n v="4"/>
    <n v="3"/>
    <n v="14"/>
    <n v="6"/>
    <n v="3"/>
    <n v="14"/>
    <n v="11"/>
    <n v="2"/>
    <n v="13"/>
  </r>
  <r>
    <n v="37"/>
    <x v="1"/>
    <s v="Travel_Frequently"/>
    <n v="1278"/>
    <x v="0"/>
    <n v="1"/>
    <n v="4"/>
    <s v="Medical"/>
    <n v="1700"/>
    <n v="3"/>
    <s v="Male"/>
    <n v="31"/>
    <n v="1"/>
    <n v="2"/>
    <s v="Sales Executive"/>
    <n v="4"/>
    <s v="Divorced"/>
    <n v="9525"/>
    <n v="7677"/>
    <n v="1"/>
    <s v="No"/>
    <n v="14"/>
    <n v="3"/>
    <n v="3"/>
    <n v="2"/>
    <n v="6"/>
    <n v="2"/>
    <n v="2"/>
    <n v="6"/>
    <n v="3"/>
    <n v="1"/>
    <n v="3"/>
  </r>
  <r>
    <n v="34"/>
    <x v="1"/>
    <s v="Travel_Rarely"/>
    <n v="678"/>
    <x v="1"/>
    <n v="19"/>
    <n v="3"/>
    <s v="Life Sciences"/>
    <n v="1701"/>
    <n v="2"/>
    <s v="Female"/>
    <n v="35"/>
    <n v="2"/>
    <n v="1"/>
    <s v="Research Scientist"/>
    <n v="4"/>
    <s v="Married"/>
    <n v="2929"/>
    <n v="20338"/>
    <n v="1"/>
    <s v="No"/>
    <n v="12"/>
    <n v="3"/>
    <n v="2"/>
    <n v="0"/>
    <n v="10"/>
    <n v="3"/>
    <n v="3"/>
    <n v="10"/>
    <n v="9"/>
    <n v="8"/>
    <n v="7"/>
  </r>
  <r>
    <n v="23"/>
    <x v="0"/>
    <s v="Travel_Rarely"/>
    <n v="427"/>
    <x v="0"/>
    <n v="7"/>
    <n v="3"/>
    <s v="Life Sciences"/>
    <n v="1702"/>
    <n v="3"/>
    <s v="Male"/>
    <n v="99"/>
    <n v="3"/>
    <n v="1"/>
    <s v="Sales Representative"/>
    <n v="4"/>
    <s v="Divorced"/>
    <n v="2275"/>
    <n v="25103"/>
    <n v="1"/>
    <s v="Yes"/>
    <n v="21"/>
    <n v="4"/>
    <n v="2"/>
    <n v="1"/>
    <n v="3"/>
    <n v="2"/>
    <n v="3"/>
    <n v="3"/>
    <n v="2"/>
    <n v="0"/>
    <n v="2"/>
  </r>
  <r>
    <n v="44"/>
    <x v="1"/>
    <s v="Travel_Rarely"/>
    <n v="921"/>
    <x v="1"/>
    <n v="2"/>
    <n v="3"/>
    <s v="Life Sciences"/>
    <n v="1703"/>
    <n v="3"/>
    <s v="Female"/>
    <n v="96"/>
    <n v="4"/>
    <n v="3"/>
    <s v="Healthcare Representative"/>
    <n v="4"/>
    <s v="Married"/>
    <n v="7879"/>
    <n v="14810"/>
    <n v="1"/>
    <s v="Yes"/>
    <n v="19"/>
    <n v="3"/>
    <n v="2"/>
    <n v="1"/>
    <n v="9"/>
    <n v="2"/>
    <n v="3"/>
    <n v="8"/>
    <n v="7"/>
    <n v="6"/>
    <n v="7"/>
  </r>
  <r>
    <n v="35"/>
    <x v="1"/>
    <s v="Travel_Frequently"/>
    <n v="146"/>
    <x v="1"/>
    <n v="2"/>
    <n v="4"/>
    <s v="Medical"/>
    <n v="1704"/>
    <n v="1"/>
    <s v="Male"/>
    <n v="79"/>
    <n v="2"/>
    <n v="1"/>
    <s v="Research Scientist"/>
    <n v="4"/>
    <s v="Single"/>
    <n v="4930"/>
    <n v="13970"/>
    <n v="0"/>
    <s v="Yes"/>
    <n v="14"/>
    <n v="3"/>
    <n v="3"/>
    <n v="0"/>
    <n v="6"/>
    <n v="2"/>
    <n v="4"/>
    <n v="5"/>
    <n v="4"/>
    <n v="1"/>
    <n v="4"/>
  </r>
  <r>
    <n v="43"/>
    <x v="1"/>
    <s v="Travel_Rarely"/>
    <n v="1179"/>
    <x v="0"/>
    <n v="2"/>
    <n v="3"/>
    <s v="Medical"/>
    <n v="1706"/>
    <n v="4"/>
    <s v="Male"/>
    <n v="73"/>
    <n v="3"/>
    <n v="2"/>
    <s v="Sales Executive"/>
    <n v="4"/>
    <s v="Married"/>
    <n v="7847"/>
    <n v="6069"/>
    <n v="1"/>
    <s v="Yes"/>
    <n v="17"/>
    <n v="3"/>
    <n v="1"/>
    <n v="1"/>
    <n v="10"/>
    <n v="3"/>
    <n v="3"/>
    <n v="10"/>
    <n v="9"/>
    <n v="8"/>
    <n v="8"/>
  </r>
  <r>
    <n v="24"/>
    <x v="1"/>
    <s v="Travel_Rarely"/>
    <n v="581"/>
    <x v="1"/>
    <n v="9"/>
    <n v="3"/>
    <s v="Medical"/>
    <n v="1707"/>
    <n v="3"/>
    <s v="Male"/>
    <n v="62"/>
    <n v="4"/>
    <n v="1"/>
    <s v="Research Scientist"/>
    <n v="3"/>
    <s v="Married"/>
    <n v="4401"/>
    <n v="17616"/>
    <n v="1"/>
    <s v="No"/>
    <n v="16"/>
    <n v="3"/>
    <n v="4"/>
    <n v="1"/>
    <n v="5"/>
    <n v="1"/>
    <n v="3"/>
    <n v="5"/>
    <n v="3"/>
    <n v="0"/>
    <n v="4"/>
  </r>
  <r>
    <n v="41"/>
    <x v="1"/>
    <s v="Travel_Rarely"/>
    <n v="918"/>
    <x v="0"/>
    <n v="6"/>
    <n v="3"/>
    <s v="Marketing"/>
    <n v="1708"/>
    <n v="4"/>
    <s v="Male"/>
    <n v="35"/>
    <n v="3"/>
    <n v="3"/>
    <s v="Sales Executive"/>
    <n v="3"/>
    <s v="Single"/>
    <n v="9241"/>
    <n v="15869"/>
    <n v="1"/>
    <s v="No"/>
    <n v="12"/>
    <n v="3"/>
    <n v="2"/>
    <n v="0"/>
    <n v="10"/>
    <n v="3"/>
    <n v="3"/>
    <n v="10"/>
    <n v="8"/>
    <n v="8"/>
    <n v="7"/>
  </r>
  <r>
    <n v="29"/>
    <x v="1"/>
    <s v="Travel_Rarely"/>
    <n v="1082"/>
    <x v="1"/>
    <n v="9"/>
    <n v="4"/>
    <s v="Medical"/>
    <n v="1709"/>
    <n v="4"/>
    <s v="Female"/>
    <n v="43"/>
    <n v="3"/>
    <n v="1"/>
    <s v="Laboratory Technician"/>
    <n v="3"/>
    <s v="Married"/>
    <n v="2974"/>
    <n v="25412"/>
    <n v="9"/>
    <s v="No"/>
    <n v="17"/>
    <n v="3"/>
    <n v="3"/>
    <n v="1"/>
    <n v="9"/>
    <n v="2"/>
    <n v="3"/>
    <n v="5"/>
    <n v="3"/>
    <n v="1"/>
    <n v="2"/>
  </r>
  <r>
    <n v="36"/>
    <x v="1"/>
    <s v="Travel_Rarely"/>
    <n v="530"/>
    <x v="0"/>
    <n v="2"/>
    <n v="4"/>
    <s v="Life Sciences"/>
    <n v="1710"/>
    <n v="3"/>
    <s v="Female"/>
    <n v="51"/>
    <n v="3"/>
    <n v="2"/>
    <s v="Sales Representative"/>
    <n v="4"/>
    <s v="Single"/>
    <n v="4502"/>
    <n v="7439"/>
    <n v="3"/>
    <s v="No"/>
    <n v="15"/>
    <n v="3"/>
    <n v="3"/>
    <n v="0"/>
    <n v="17"/>
    <n v="2"/>
    <n v="2"/>
    <n v="13"/>
    <n v="7"/>
    <n v="6"/>
    <n v="7"/>
  </r>
  <r>
    <n v="45"/>
    <x v="1"/>
    <s v="Non-Travel"/>
    <n v="1238"/>
    <x v="1"/>
    <n v="1"/>
    <n v="1"/>
    <s v="Life Sciences"/>
    <n v="1712"/>
    <n v="3"/>
    <s v="Male"/>
    <n v="74"/>
    <n v="2"/>
    <n v="3"/>
    <s v="Healthcare Representative"/>
    <n v="3"/>
    <s v="Married"/>
    <n v="10748"/>
    <n v="3395"/>
    <n v="3"/>
    <s v="No"/>
    <n v="23"/>
    <n v="4"/>
    <n v="4"/>
    <n v="1"/>
    <n v="25"/>
    <n v="3"/>
    <n v="2"/>
    <n v="23"/>
    <n v="15"/>
    <n v="14"/>
    <n v="4"/>
  </r>
  <r>
    <n v="24"/>
    <x v="0"/>
    <s v="Travel_Rarely"/>
    <n v="240"/>
    <x v="2"/>
    <n v="22"/>
    <n v="1"/>
    <s v="Human Resources"/>
    <n v="1714"/>
    <n v="4"/>
    <s v="Male"/>
    <n v="58"/>
    <n v="1"/>
    <n v="1"/>
    <s v="Human Resources"/>
    <n v="3"/>
    <s v="Married"/>
    <n v="1555"/>
    <n v="11585"/>
    <n v="1"/>
    <s v="No"/>
    <n v="11"/>
    <n v="3"/>
    <n v="3"/>
    <n v="1"/>
    <n v="1"/>
    <n v="2"/>
    <n v="3"/>
    <n v="1"/>
    <n v="0"/>
    <n v="0"/>
    <n v="0"/>
  </r>
  <r>
    <n v="47"/>
    <x v="0"/>
    <s v="Travel_Frequently"/>
    <n v="1093"/>
    <x v="0"/>
    <n v="9"/>
    <n v="3"/>
    <s v="Life Sciences"/>
    <n v="1716"/>
    <n v="3"/>
    <s v="Male"/>
    <n v="82"/>
    <n v="1"/>
    <n v="4"/>
    <s v="Sales Executive"/>
    <n v="3"/>
    <s v="Married"/>
    <n v="12936"/>
    <n v="24164"/>
    <n v="7"/>
    <s v="No"/>
    <n v="11"/>
    <n v="3"/>
    <n v="3"/>
    <n v="0"/>
    <n v="25"/>
    <n v="3"/>
    <n v="1"/>
    <n v="23"/>
    <n v="5"/>
    <n v="14"/>
    <n v="10"/>
  </r>
  <r>
    <n v="26"/>
    <x v="1"/>
    <s v="Travel_Rarely"/>
    <n v="390"/>
    <x v="1"/>
    <n v="17"/>
    <n v="4"/>
    <s v="Medical"/>
    <n v="1718"/>
    <n v="4"/>
    <s v="Male"/>
    <n v="62"/>
    <n v="1"/>
    <n v="1"/>
    <s v="Laboratory Technician"/>
    <n v="3"/>
    <s v="Married"/>
    <n v="2305"/>
    <n v="6217"/>
    <n v="1"/>
    <s v="No"/>
    <n v="15"/>
    <n v="3"/>
    <n v="3"/>
    <n v="3"/>
    <n v="3"/>
    <n v="3"/>
    <n v="4"/>
    <n v="3"/>
    <n v="2"/>
    <n v="0"/>
    <n v="2"/>
  </r>
  <r>
    <n v="45"/>
    <x v="1"/>
    <s v="Travel_Rarely"/>
    <n v="1005"/>
    <x v="1"/>
    <n v="28"/>
    <n v="2"/>
    <s v="Technical Degree"/>
    <n v="1719"/>
    <n v="4"/>
    <s v="Female"/>
    <n v="48"/>
    <n v="2"/>
    <n v="4"/>
    <s v="Research Director"/>
    <n v="2"/>
    <s v="Single"/>
    <n v="16704"/>
    <n v="17119"/>
    <n v="1"/>
    <s v="No"/>
    <n v="11"/>
    <n v="3"/>
    <n v="3"/>
    <n v="0"/>
    <n v="21"/>
    <n v="2"/>
    <n v="3"/>
    <n v="21"/>
    <n v="6"/>
    <n v="8"/>
    <n v="6"/>
  </r>
  <r>
    <n v="32"/>
    <x v="1"/>
    <s v="Travel_Frequently"/>
    <n v="585"/>
    <x v="1"/>
    <n v="10"/>
    <n v="3"/>
    <s v="Life Sciences"/>
    <n v="1720"/>
    <n v="1"/>
    <s v="Male"/>
    <n v="56"/>
    <n v="3"/>
    <n v="1"/>
    <s v="Research Scientist"/>
    <n v="3"/>
    <s v="Married"/>
    <n v="3433"/>
    <n v="17360"/>
    <n v="6"/>
    <s v="No"/>
    <n v="13"/>
    <n v="3"/>
    <n v="1"/>
    <n v="1"/>
    <n v="10"/>
    <n v="3"/>
    <n v="2"/>
    <n v="5"/>
    <n v="2"/>
    <n v="1"/>
    <n v="3"/>
  </r>
  <r>
    <n v="31"/>
    <x v="1"/>
    <s v="Travel_Rarely"/>
    <n v="741"/>
    <x v="1"/>
    <n v="2"/>
    <n v="4"/>
    <s v="Life Sciences"/>
    <n v="1721"/>
    <n v="2"/>
    <s v="Male"/>
    <n v="69"/>
    <n v="3"/>
    <n v="1"/>
    <s v="Laboratory Technician"/>
    <n v="3"/>
    <s v="Married"/>
    <n v="3477"/>
    <n v="18103"/>
    <n v="1"/>
    <s v="No"/>
    <n v="14"/>
    <n v="3"/>
    <n v="4"/>
    <n v="1"/>
    <n v="6"/>
    <n v="2"/>
    <n v="4"/>
    <n v="5"/>
    <n v="2"/>
    <n v="0"/>
    <n v="3"/>
  </r>
  <r>
    <n v="41"/>
    <x v="1"/>
    <s v="Non-Travel"/>
    <n v="552"/>
    <x v="2"/>
    <n v="4"/>
    <n v="3"/>
    <s v="Human Resources"/>
    <n v="1722"/>
    <n v="3"/>
    <s v="Male"/>
    <n v="60"/>
    <n v="1"/>
    <n v="2"/>
    <s v="Human Resources"/>
    <n v="2"/>
    <s v="Married"/>
    <n v="6430"/>
    <n v="20794"/>
    <n v="6"/>
    <s v="No"/>
    <n v="19"/>
    <n v="3"/>
    <n v="2"/>
    <n v="1"/>
    <n v="10"/>
    <n v="4"/>
    <n v="3"/>
    <n v="3"/>
    <n v="2"/>
    <n v="1"/>
    <n v="2"/>
  </r>
  <r>
    <n v="40"/>
    <x v="1"/>
    <s v="Travel_Rarely"/>
    <n v="369"/>
    <x v="1"/>
    <n v="8"/>
    <n v="2"/>
    <s v="Life Sciences"/>
    <n v="1724"/>
    <n v="2"/>
    <s v="Female"/>
    <n v="92"/>
    <n v="3"/>
    <n v="2"/>
    <s v="Manufacturing Director"/>
    <n v="1"/>
    <s v="Married"/>
    <n v="6516"/>
    <n v="5041"/>
    <n v="2"/>
    <s v="Yes"/>
    <n v="16"/>
    <n v="3"/>
    <n v="2"/>
    <n v="1"/>
    <n v="18"/>
    <n v="3"/>
    <n v="3"/>
    <n v="1"/>
    <n v="0"/>
    <n v="0"/>
    <n v="0"/>
  </r>
  <r>
    <n v="24"/>
    <x v="1"/>
    <s v="Travel_Rarely"/>
    <n v="506"/>
    <x v="1"/>
    <n v="29"/>
    <n v="1"/>
    <s v="Medical"/>
    <n v="1725"/>
    <n v="2"/>
    <s v="Male"/>
    <n v="91"/>
    <n v="3"/>
    <n v="1"/>
    <s v="Laboratory Technician"/>
    <n v="1"/>
    <s v="Divorced"/>
    <n v="3907"/>
    <n v="3622"/>
    <n v="1"/>
    <s v="No"/>
    <n v="13"/>
    <n v="3"/>
    <n v="2"/>
    <n v="3"/>
    <n v="6"/>
    <n v="2"/>
    <n v="4"/>
    <n v="6"/>
    <n v="2"/>
    <n v="1"/>
    <n v="2"/>
  </r>
  <r>
    <n v="46"/>
    <x v="1"/>
    <s v="Travel_Rarely"/>
    <n v="717"/>
    <x v="1"/>
    <n v="13"/>
    <n v="4"/>
    <s v="Life Sciences"/>
    <n v="1727"/>
    <n v="3"/>
    <s v="Male"/>
    <n v="34"/>
    <n v="3"/>
    <n v="2"/>
    <s v="Healthcare Representative"/>
    <n v="2"/>
    <s v="Single"/>
    <n v="5562"/>
    <n v="9697"/>
    <n v="6"/>
    <s v="No"/>
    <n v="14"/>
    <n v="3"/>
    <n v="4"/>
    <n v="0"/>
    <n v="19"/>
    <n v="3"/>
    <n v="3"/>
    <n v="10"/>
    <n v="7"/>
    <n v="0"/>
    <n v="9"/>
  </r>
  <r>
    <n v="35"/>
    <x v="1"/>
    <s v="Travel_Rarely"/>
    <n v="1370"/>
    <x v="1"/>
    <n v="27"/>
    <n v="4"/>
    <s v="Life Sciences"/>
    <n v="1728"/>
    <n v="4"/>
    <s v="Male"/>
    <n v="49"/>
    <n v="3"/>
    <n v="2"/>
    <s v="Manufacturing Director"/>
    <n v="3"/>
    <s v="Married"/>
    <n v="6883"/>
    <n v="5151"/>
    <n v="2"/>
    <s v="No"/>
    <n v="16"/>
    <n v="3"/>
    <n v="2"/>
    <n v="1"/>
    <n v="17"/>
    <n v="3"/>
    <n v="3"/>
    <n v="7"/>
    <n v="7"/>
    <n v="0"/>
    <n v="7"/>
  </r>
  <r>
    <n v="30"/>
    <x v="1"/>
    <s v="Travel_Rarely"/>
    <n v="793"/>
    <x v="1"/>
    <n v="16"/>
    <n v="1"/>
    <s v="Life Sciences"/>
    <n v="1729"/>
    <n v="2"/>
    <s v="Male"/>
    <n v="33"/>
    <n v="3"/>
    <n v="1"/>
    <s v="Research Scientist"/>
    <n v="4"/>
    <s v="Married"/>
    <n v="2862"/>
    <n v="3811"/>
    <n v="1"/>
    <s v="No"/>
    <n v="12"/>
    <n v="3"/>
    <n v="2"/>
    <n v="1"/>
    <n v="10"/>
    <n v="2"/>
    <n v="2"/>
    <n v="10"/>
    <n v="0"/>
    <n v="0"/>
    <n v="8"/>
  </r>
  <r>
    <n v="47"/>
    <x v="1"/>
    <s v="Non-Travel"/>
    <n v="543"/>
    <x v="0"/>
    <n v="2"/>
    <n v="4"/>
    <s v="Marketing"/>
    <n v="1731"/>
    <n v="3"/>
    <s v="Male"/>
    <n v="87"/>
    <n v="3"/>
    <n v="2"/>
    <s v="Sales Executive"/>
    <n v="2"/>
    <s v="Married"/>
    <n v="4978"/>
    <n v="3536"/>
    <n v="7"/>
    <s v="No"/>
    <n v="11"/>
    <n v="3"/>
    <n v="4"/>
    <n v="1"/>
    <n v="4"/>
    <n v="3"/>
    <n v="1"/>
    <n v="1"/>
    <n v="0"/>
    <n v="0"/>
    <n v="0"/>
  </r>
  <r>
    <n v="46"/>
    <x v="1"/>
    <s v="Travel_Rarely"/>
    <n v="1277"/>
    <x v="0"/>
    <n v="2"/>
    <n v="3"/>
    <s v="Life Sciences"/>
    <n v="1732"/>
    <n v="3"/>
    <s v="Male"/>
    <n v="74"/>
    <n v="3"/>
    <n v="3"/>
    <s v="Sales Executive"/>
    <n v="4"/>
    <s v="Divorced"/>
    <n v="10368"/>
    <n v="5596"/>
    <n v="4"/>
    <s v="Yes"/>
    <n v="12"/>
    <n v="3"/>
    <n v="2"/>
    <n v="1"/>
    <n v="13"/>
    <n v="5"/>
    <n v="2"/>
    <n v="10"/>
    <n v="6"/>
    <n v="0"/>
    <n v="3"/>
  </r>
  <r>
    <n v="36"/>
    <x v="0"/>
    <s v="Travel_Rarely"/>
    <n v="1456"/>
    <x v="0"/>
    <n v="13"/>
    <n v="5"/>
    <s v="Marketing"/>
    <n v="1733"/>
    <n v="2"/>
    <s v="Male"/>
    <n v="96"/>
    <n v="2"/>
    <n v="2"/>
    <s v="Sales Executive"/>
    <n v="1"/>
    <s v="Divorced"/>
    <n v="6134"/>
    <n v="8658"/>
    <n v="5"/>
    <s v="Yes"/>
    <n v="13"/>
    <n v="3"/>
    <n v="2"/>
    <n v="3"/>
    <n v="16"/>
    <n v="3"/>
    <n v="3"/>
    <n v="2"/>
    <n v="2"/>
    <n v="2"/>
    <n v="2"/>
  </r>
  <r>
    <n v="32"/>
    <x v="0"/>
    <s v="Travel_Rarely"/>
    <n v="964"/>
    <x v="0"/>
    <n v="1"/>
    <n v="2"/>
    <s v="Life Sciences"/>
    <n v="1734"/>
    <n v="1"/>
    <s v="Male"/>
    <n v="34"/>
    <n v="1"/>
    <n v="2"/>
    <s v="Sales Executive"/>
    <n v="2"/>
    <s v="Single"/>
    <n v="6735"/>
    <n v="12147"/>
    <n v="6"/>
    <s v="No"/>
    <n v="15"/>
    <n v="3"/>
    <n v="2"/>
    <n v="0"/>
    <n v="10"/>
    <n v="2"/>
    <n v="3"/>
    <n v="0"/>
    <n v="0"/>
    <n v="0"/>
    <n v="0"/>
  </r>
  <r>
    <n v="23"/>
    <x v="1"/>
    <s v="Travel_Rarely"/>
    <n v="160"/>
    <x v="1"/>
    <n v="4"/>
    <n v="1"/>
    <s v="Medical"/>
    <n v="1735"/>
    <n v="3"/>
    <s v="Female"/>
    <n v="51"/>
    <n v="3"/>
    <n v="1"/>
    <s v="Laboratory Technician"/>
    <n v="2"/>
    <s v="Single"/>
    <n v="3295"/>
    <n v="12862"/>
    <n v="1"/>
    <s v="No"/>
    <n v="13"/>
    <n v="3"/>
    <n v="3"/>
    <n v="0"/>
    <n v="3"/>
    <n v="3"/>
    <n v="1"/>
    <n v="3"/>
    <n v="2"/>
    <n v="1"/>
    <n v="2"/>
  </r>
  <r>
    <n v="31"/>
    <x v="1"/>
    <s v="Travel_Frequently"/>
    <n v="163"/>
    <x v="1"/>
    <n v="24"/>
    <n v="1"/>
    <s v="Technical Degree"/>
    <n v="1736"/>
    <n v="4"/>
    <s v="Female"/>
    <n v="30"/>
    <n v="3"/>
    <n v="2"/>
    <s v="Manufacturing Director"/>
    <n v="4"/>
    <s v="Single"/>
    <n v="5238"/>
    <n v="6670"/>
    <n v="2"/>
    <s v="No"/>
    <n v="20"/>
    <n v="4"/>
    <n v="4"/>
    <n v="0"/>
    <n v="9"/>
    <n v="3"/>
    <n v="2"/>
    <n v="5"/>
    <n v="4"/>
    <n v="1"/>
    <n v="4"/>
  </r>
  <r>
    <n v="39"/>
    <x v="1"/>
    <s v="Non-Travel"/>
    <n v="792"/>
    <x v="1"/>
    <n v="1"/>
    <n v="3"/>
    <s v="Life Sciences"/>
    <n v="1737"/>
    <n v="4"/>
    <s v="Male"/>
    <n v="77"/>
    <n v="3"/>
    <n v="2"/>
    <s v="Laboratory Technician"/>
    <n v="4"/>
    <s v="Married"/>
    <n v="6472"/>
    <n v="8989"/>
    <n v="1"/>
    <s v="Yes"/>
    <n v="15"/>
    <n v="3"/>
    <n v="4"/>
    <n v="1"/>
    <n v="9"/>
    <n v="2"/>
    <n v="3"/>
    <n v="9"/>
    <n v="8"/>
    <n v="5"/>
    <n v="8"/>
  </r>
  <r>
    <n v="32"/>
    <x v="1"/>
    <s v="Travel_Rarely"/>
    <n v="371"/>
    <x v="0"/>
    <n v="19"/>
    <n v="3"/>
    <s v="Life Sciences"/>
    <n v="1739"/>
    <n v="4"/>
    <s v="Male"/>
    <n v="80"/>
    <n v="1"/>
    <n v="3"/>
    <s v="Sales Executive"/>
    <n v="3"/>
    <s v="Married"/>
    <n v="9610"/>
    <n v="3840"/>
    <n v="3"/>
    <s v="No"/>
    <n v="13"/>
    <n v="3"/>
    <n v="3"/>
    <n v="1"/>
    <n v="10"/>
    <n v="2"/>
    <n v="1"/>
    <n v="4"/>
    <n v="3"/>
    <n v="0"/>
    <n v="2"/>
  </r>
  <r>
    <n v="40"/>
    <x v="1"/>
    <s v="Travel_Rarely"/>
    <n v="611"/>
    <x v="0"/>
    <n v="7"/>
    <n v="4"/>
    <s v="Medical"/>
    <n v="1740"/>
    <n v="2"/>
    <s v="Male"/>
    <n v="88"/>
    <n v="3"/>
    <n v="5"/>
    <s v="Manager"/>
    <n v="2"/>
    <s v="Single"/>
    <n v="19833"/>
    <n v="4349"/>
    <n v="1"/>
    <s v="No"/>
    <n v="14"/>
    <n v="3"/>
    <n v="2"/>
    <n v="0"/>
    <n v="21"/>
    <n v="3"/>
    <n v="2"/>
    <n v="21"/>
    <n v="8"/>
    <n v="12"/>
    <n v="8"/>
  </r>
  <r>
    <n v="45"/>
    <x v="1"/>
    <s v="Travel_Rarely"/>
    <n v="176"/>
    <x v="2"/>
    <n v="4"/>
    <n v="3"/>
    <s v="Life Sciences"/>
    <n v="1744"/>
    <n v="3"/>
    <s v="Female"/>
    <n v="56"/>
    <n v="1"/>
    <n v="3"/>
    <s v="Human Resources"/>
    <n v="3"/>
    <s v="Married"/>
    <n v="9756"/>
    <n v="6595"/>
    <n v="4"/>
    <s v="No"/>
    <n v="21"/>
    <n v="4"/>
    <n v="3"/>
    <n v="2"/>
    <n v="9"/>
    <n v="2"/>
    <n v="4"/>
    <n v="5"/>
    <n v="0"/>
    <n v="0"/>
    <n v="3"/>
  </r>
  <r>
    <n v="30"/>
    <x v="1"/>
    <s v="Travel_Frequently"/>
    <n v="1312"/>
    <x v="1"/>
    <n v="2"/>
    <n v="4"/>
    <s v="Technical Degree"/>
    <n v="1745"/>
    <n v="4"/>
    <s v="Female"/>
    <n v="78"/>
    <n v="2"/>
    <n v="1"/>
    <s v="Research Scientist"/>
    <n v="1"/>
    <s v="Single"/>
    <n v="4968"/>
    <n v="26427"/>
    <n v="0"/>
    <s v="No"/>
    <n v="16"/>
    <n v="3"/>
    <n v="4"/>
    <n v="0"/>
    <n v="10"/>
    <n v="2"/>
    <n v="3"/>
    <n v="9"/>
    <n v="7"/>
    <n v="0"/>
    <n v="7"/>
  </r>
  <r>
    <n v="24"/>
    <x v="1"/>
    <s v="Travel_Frequently"/>
    <n v="897"/>
    <x v="2"/>
    <n v="10"/>
    <n v="3"/>
    <s v="Medical"/>
    <n v="1746"/>
    <n v="1"/>
    <s v="Male"/>
    <n v="59"/>
    <n v="3"/>
    <n v="1"/>
    <s v="Human Resources"/>
    <n v="4"/>
    <s v="Married"/>
    <n v="2145"/>
    <n v="2097"/>
    <n v="0"/>
    <s v="No"/>
    <n v="14"/>
    <n v="3"/>
    <n v="4"/>
    <n v="1"/>
    <n v="3"/>
    <n v="2"/>
    <n v="3"/>
    <n v="2"/>
    <n v="2"/>
    <n v="2"/>
    <n v="1"/>
  </r>
  <r>
    <n v="30"/>
    <x v="0"/>
    <s v="Travel_Frequently"/>
    <n v="600"/>
    <x v="2"/>
    <n v="8"/>
    <n v="3"/>
    <s v="Human Resources"/>
    <n v="1747"/>
    <n v="3"/>
    <s v="Female"/>
    <n v="66"/>
    <n v="2"/>
    <n v="1"/>
    <s v="Human Resources"/>
    <n v="4"/>
    <s v="Divorced"/>
    <n v="2180"/>
    <n v="9732"/>
    <n v="6"/>
    <s v="No"/>
    <n v="11"/>
    <n v="3"/>
    <n v="3"/>
    <n v="1"/>
    <n v="6"/>
    <n v="0"/>
    <n v="2"/>
    <n v="4"/>
    <n v="2"/>
    <n v="1"/>
    <n v="2"/>
  </r>
  <r>
    <n v="31"/>
    <x v="1"/>
    <s v="Travel_Rarely"/>
    <n v="1003"/>
    <x v="0"/>
    <n v="5"/>
    <n v="3"/>
    <s v="Technical Degree"/>
    <n v="1749"/>
    <n v="1"/>
    <s v="Male"/>
    <n v="51"/>
    <n v="3"/>
    <n v="2"/>
    <s v="Sales Executive"/>
    <n v="3"/>
    <s v="Married"/>
    <n v="8346"/>
    <n v="20943"/>
    <n v="1"/>
    <s v="No"/>
    <n v="19"/>
    <n v="3"/>
    <n v="3"/>
    <n v="1"/>
    <n v="6"/>
    <n v="3"/>
    <n v="3"/>
    <n v="5"/>
    <n v="2"/>
    <n v="0"/>
    <n v="2"/>
  </r>
  <r>
    <n v="27"/>
    <x v="1"/>
    <s v="Travel_Rarely"/>
    <n v="1054"/>
    <x v="1"/>
    <n v="8"/>
    <n v="3"/>
    <s v="Medical"/>
    <n v="1751"/>
    <n v="3"/>
    <s v="Female"/>
    <n v="67"/>
    <n v="3"/>
    <n v="1"/>
    <s v="Research Scientist"/>
    <n v="4"/>
    <s v="Single"/>
    <n v="3445"/>
    <n v="6152"/>
    <n v="1"/>
    <s v="No"/>
    <n v="11"/>
    <n v="3"/>
    <n v="3"/>
    <n v="0"/>
    <n v="6"/>
    <n v="5"/>
    <n v="2"/>
    <n v="6"/>
    <n v="2"/>
    <n v="1"/>
    <n v="4"/>
  </r>
  <r>
    <n v="29"/>
    <x v="0"/>
    <s v="Travel_Rarely"/>
    <n v="428"/>
    <x v="0"/>
    <n v="9"/>
    <n v="3"/>
    <s v="Marketing"/>
    <n v="1752"/>
    <n v="2"/>
    <s v="Female"/>
    <n v="52"/>
    <n v="1"/>
    <n v="1"/>
    <s v="Sales Representative"/>
    <n v="2"/>
    <s v="Single"/>
    <n v="2760"/>
    <n v="14630"/>
    <n v="1"/>
    <s v="No"/>
    <n v="13"/>
    <n v="3"/>
    <n v="3"/>
    <n v="0"/>
    <n v="2"/>
    <n v="3"/>
    <n v="3"/>
    <n v="2"/>
    <n v="2"/>
    <n v="2"/>
    <n v="2"/>
  </r>
  <r>
    <n v="29"/>
    <x v="1"/>
    <s v="Travel_Frequently"/>
    <n v="461"/>
    <x v="1"/>
    <n v="1"/>
    <n v="3"/>
    <s v="Life Sciences"/>
    <n v="1753"/>
    <n v="4"/>
    <s v="Male"/>
    <n v="70"/>
    <n v="4"/>
    <n v="2"/>
    <s v="Healthcare Representative"/>
    <n v="3"/>
    <s v="Single"/>
    <n v="6294"/>
    <n v="23060"/>
    <n v="8"/>
    <s v="Yes"/>
    <n v="12"/>
    <n v="3"/>
    <n v="4"/>
    <n v="0"/>
    <n v="10"/>
    <n v="5"/>
    <n v="4"/>
    <n v="3"/>
    <n v="2"/>
    <n v="0"/>
    <n v="2"/>
  </r>
  <r>
    <n v="30"/>
    <x v="1"/>
    <s v="Travel_Rarely"/>
    <n v="979"/>
    <x v="0"/>
    <n v="15"/>
    <n v="2"/>
    <s v="Marketing"/>
    <n v="1754"/>
    <n v="3"/>
    <s v="Male"/>
    <n v="94"/>
    <n v="2"/>
    <n v="3"/>
    <s v="Sales Executive"/>
    <n v="1"/>
    <s v="Divorced"/>
    <n v="7140"/>
    <n v="3088"/>
    <n v="2"/>
    <s v="No"/>
    <n v="11"/>
    <n v="3"/>
    <n v="1"/>
    <n v="1"/>
    <n v="12"/>
    <n v="2"/>
    <n v="3"/>
    <n v="7"/>
    <n v="7"/>
    <n v="1"/>
    <n v="7"/>
  </r>
  <r>
    <n v="34"/>
    <x v="1"/>
    <s v="Travel_Rarely"/>
    <n v="181"/>
    <x v="1"/>
    <n v="2"/>
    <n v="4"/>
    <s v="Medical"/>
    <n v="1755"/>
    <n v="4"/>
    <s v="Male"/>
    <n v="97"/>
    <n v="4"/>
    <n v="1"/>
    <s v="Research Scientist"/>
    <n v="4"/>
    <s v="Married"/>
    <n v="2932"/>
    <n v="5586"/>
    <n v="0"/>
    <s v="Yes"/>
    <n v="14"/>
    <n v="3"/>
    <n v="1"/>
    <n v="3"/>
    <n v="6"/>
    <n v="3"/>
    <n v="3"/>
    <n v="5"/>
    <n v="0"/>
    <n v="1"/>
    <n v="2"/>
  </r>
  <r>
    <n v="33"/>
    <x v="1"/>
    <s v="Non-Travel"/>
    <n v="1283"/>
    <x v="0"/>
    <n v="2"/>
    <n v="3"/>
    <s v="Marketing"/>
    <n v="1756"/>
    <n v="4"/>
    <s v="Female"/>
    <n v="62"/>
    <n v="3"/>
    <n v="2"/>
    <s v="Sales Executive"/>
    <n v="2"/>
    <s v="Single"/>
    <n v="5147"/>
    <n v="10697"/>
    <n v="8"/>
    <s v="No"/>
    <n v="15"/>
    <n v="3"/>
    <n v="4"/>
    <n v="0"/>
    <n v="13"/>
    <n v="2"/>
    <n v="2"/>
    <n v="11"/>
    <n v="7"/>
    <n v="1"/>
    <n v="7"/>
  </r>
  <r>
    <n v="49"/>
    <x v="1"/>
    <s v="Travel_Rarely"/>
    <n v="1313"/>
    <x v="0"/>
    <n v="11"/>
    <n v="4"/>
    <s v="Marketing"/>
    <n v="1757"/>
    <n v="4"/>
    <s v="Female"/>
    <n v="80"/>
    <n v="3"/>
    <n v="2"/>
    <s v="Sales Executive"/>
    <n v="4"/>
    <s v="Single"/>
    <n v="4507"/>
    <n v="8191"/>
    <n v="3"/>
    <s v="No"/>
    <n v="12"/>
    <n v="3"/>
    <n v="3"/>
    <n v="0"/>
    <n v="8"/>
    <n v="1"/>
    <n v="4"/>
    <n v="5"/>
    <n v="1"/>
    <n v="0"/>
    <n v="4"/>
  </r>
  <r>
    <n v="33"/>
    <x v="0"/>
    <s v="Travel_Rarely"/>
    <n v="211"/>
    <x v="0"/>
    <n v="16"/>
    <n v="3"/>
    <s v="Life Sciences"/>
    <n v="1758"/>
    <n v="1"/>
    <s v="Female"/>
    <n v="74"/>
    <n v="3"/>
    <n v="3"/>
    <s v="Sales Executive"/>
    <n v="1"/>
    <s v="Single"/>
    <n v="8564"/>
    <n v="10092"/>
    <n v="2"/>
    <s v="Yes"/>
    <n v="20"/>
    <n v="4"/>
    <n v="3"/>
    <n v="0"/>
    <n v="11"/>
    <n v="2"/>
    <n v="2"/>
    <n v="0"/>
    <n v="0"/>
    <n v="0"/>
    <n v="0"/>
  </r>
  <r>
    <n v="38"/>
    <x v="1"/>
    <s v="Travel_Frequently"/>
    <n v="594"/>
    <x v="1"/>
    <n v="2"/>
    <n v="2"/>
    <s v="Medical"/>
    <n v="1760"/>
    <n v="3"/>
    <s v="Female"/>
    <n v="75"/>
    <n v="2"/>
    <n v="1"/>
    <s v="Laboratory Technician"/>
    <n v="2"/>
    <s v="Married"/>
    <n v="2468"/>
    <n v="15963"/>
    <n v="4"/>
    <s v="No"/>
    <n v="14"/>
    <n v="3"/>
    <n v="2"/>
    <n v="1"/>
    <n v="9"/>
    <n v="4"/>
    <n v="2"/>
    <n v="6"/>
    <n v="1"/>
    <n v="0"/>
    <n v="5"/>
  </r>
  <r>
    <n v="31"/>
    <x v="0"/>
    <s v="Travel_Rarely"/>
    <n v="1079"/>
    <x v="0"/>
    <n v="16"/>
    <n v="4"/>
    <s v="Marketing"/>
    <n v="1761"/>
    <n v="1"/>
    <s v="Male"/>
    <n v="70"/>
    <n v="3"/>
    <n v="3"/>
    <s v="Sales Executive"/>
    <n v="3"/>
    <s v="Married"/>
    <n v="8161"/>
    <n v="19002"/>
    <n v="2"/>
    <s v="No"/>
    <n v="13"/>
    <n v="3"/>
    <n v="1"/>
    <n v="3"/>
    <n v="10"/>
    <n v="2"/>
    <n v="3"/>
    <n v="1"/>
    <n v="0"/>
    <n v="0"/>
    <n v="0"/>
  </r>
  <r>
    <n v="29"/>
    <x v="1"/>
    <s v="Travel_Rarely"/>
    <n v="590"/>
    <x v="1"/>
    <n v="4"/>
    <n v="3"/>
    <s v="Technical Degree"/>
    <n v="1762"/>
    <n v="4"/>
    <s v="Female"/>
    <n v="91"/>
    <n v="2"/>
    <n v="1"/>
    <s v="Research Scientist"/>
    <n v="1"/>
    <s v="Divorced"/>
    <n v="2109"/>
    <n v="10007"/>
    <n v="1"/>
    <s v="No"/>
    <n v="13"/>
    <n v="3"/>
    <n v="3"/>
    <n v="1"/>
    <n v="1"/>
    <n v="2"/>
    <n v="3"/>
    <n v="1"/>
    <n v="0"/>
    <n v="0"/>
    <n v="0"/>
  </r>
  <r>
    <n v="30"/>
    <x v="1"/>
    <s v="Travel_Rarely"/>
    <n v="305"/>
    <x v="1"/>
    <n v="16"/>
    <n v="3"/>
    <s v="Life Sciences"/>
    <n v="1763"/>
    <n v="3"/>
    <s v="Male"/>
    <n v="58"/>
    <n v="4"/>
    <n v="2"/>
    <s v="Healthcare Representative"/>
    <n v="3"/>
    <s v="Married"/>
    <n v="5294"/>
    <n v="9128"/>
    <n v="3"/>
    <s v="No"/>
    <n v="16"/>
    <n v="3"/>
    <n v="3"/>
    <n v="1"/>
    <n v="10"/>
    <n v="3"/>
    <n v="3"/>
    <n v="7"/>
    <n v="0"/>
    <n v="1"/>
    <n v="7"/>
  </r>
  <r>
    <n v="32"/>
    <x v="1"/>
    <s v="Non-Travel"/>
    <n v="953"/>
    <x v="1"/>
    <n v="5"/>
    <n v="4"/>
    <s v="Technical Degree"/>
    <n v="1764"/>
    <n v="2"/>
    <s v="Male"/>
    <n v="65"/>
    <n v="3"/>
    <n v="1"/>
    <s v="Research Scientist"/>
    <n v="2"/>
    <s v="Single"/>
    <n v="2718"/>
    <n v="17674"/>
    <n v="2"/>
    <s v="No"/>
    <n v="14"/>
    <n v="3"/>
    <n v="2"/>
    <n v="0"/>
    <n v="12"/>
    <n v="3"/>
    <n v="3"/>
    <n v="7"/>
    <n v="7"/>
    <n v="0"/>
    <n v="7"/>
  </r>
  <r>
    <n v="38"/>
    <x v="1"/>
    <s v="Travel_Rarely"/>
    <n v="833"/>
    <x v="1"/>
    <n v="18"/>
    <n v="3"/>
    <s v="Medical"/>
    <n v="1766"/>
    <n v="2"/>
    <s v="Male"/>
    <n v="60"/>
    <n v="1"/>
    <n v="2"/>
    <s v="Healthcare Representative"/>
    <n v="4"/>
    <s v="Married"/>
    <n v="5811"/>
    <n v="24539"/>
    <n v="3"/>
    <s v="Yes"/>
    <n v="16"/>
    <n v="3"/>
    <n v="3"/>
    <n v="1"/>
    <n v="15"/>
    <n v="2"/>
    <n v="3"/>
    <n v="1"/>
    <n v="0"/>
    <n v="1"/>
    <n v="0"/>
  </r>
  <r>
    <n v="43"/>
    <x v="0"/>
    <s v="Travel_Frequently"/>
    <n v="807"/>
    <x v="1"/>
    <n v="17"/>
    <n v="3"/>
    <s v="Technical Degree"/>
    <n v="1767"/>
    <n v="3"/>
    <s v="Male"/>
    <n v="38"/>
    <n v="2"/>
    <n v="1"/>
    <s v="Research Scientist"/>
    <n v="3"/>
    <s v="Married"/>
    <n v="2437"/>
    <n v="15587"/>
    <n v="9"/>
    <s v="Yes"/>
    <n v="16"/>
    <n v="3"/>
    <n v="4"/>
    <n v="1"/>
    <n v="6"/>
    <n v="4"/>
    <n v="3"/>
    <n v="1"/>
    <n v="0"/>
    <n v="0"/>
    <n v="0"/>
  </r>
  <r>
    <n v="42"/>
    <x v="1"/>
    <s v="Travel_Rarely"/>
    <n v="855"/>
    <x v="1"/>
    <n v="12"/>
    <n v="3"/>
    <s v="Medical"/>
    <n v="1768"/>
    <n v="2"/>
    <s v="Male"/>
    <n v="57"/>
    <n v="3"/>
    <n v="1"/>
    <s v="Laboratory Technician"/>
    <n v="2"/>
    <s v="Divorced"/>
    <n v="2766"/>
    <n v="8952"/>
    <n v="8"/>
    <s v="No"/>
    <n v="22"/>
    <n v="4"/>
    <n v="2"/>
    <n v="3"/>
    <n v="7"/>
    <n v="6"/>
    <n v="2"/>
    <n v="5"/>
    <n v="3"/>
    <n v="0"/>
    <n v="4"/>
  </r>
  <r>
    <n v="55"/>
    <x v="1"/>
    <s v="Travel_Rarely"/>
    <n v="478"/>
    <x v="1"/>
    <n v="2"/>
    <n v="3"/>
    <s v="Medical"/>
    <n v="1770"/>
    <n v="3"/>
    <s v="Male"/>
    <n v="60"/>
    <n v="2"/>
    <n v="5"/>
    <s v="Research Director"/>
    <n v="1"/>
    <s v="Married"/>
    <n v="19038"/>
    <n v="19805"/>
    <n v="8"/>
    <s v="No"/>
    <n v="12"/>
    <n v="3"/>
    <n v="2"/>
    <n v="3"/>
    <n v="34"/>
    <n v="2"/>
    <n v="3"/>
    <n v="1"/>
    <n v="0"/>
    <n v="0"/>
    <n v="0"/>
  </r>
  <r>
    <n v="33"/>
    <x v="1"/>
    <s v="Non-Travel"/>
    <n v="775"/>
    <x v="1"/>
    <n v="4"/>
    <n v="3"/>
    <s v="Technical Degree"/>
    <n v="1771"/>
    <n v="4"/>
    <s v="Male"/>
    <n v="90"/>
    <n v="3"/>
    <n v="2"/>
    <s v="Research Scientist"/>
    <n v="2"/>
    <s v="Divorced"/>
    <n v="3055"/>
    <n v="6194"/>
    <n v="5"/>
    <s v="No"/>
    <n v="15"/>
    <n v="3"/>
    <n v="4"/>
    <n v="2"/>
    <n v="11"/>
    <n v="2"/>
    <n v="2"/>
    <n v="9"/>
    <n v="8"/>
    <n v="1"/>
    <n v="7"/>
  </r>
  <r>
    <n v="41"/>
    <x v="1"/>
    <s v="Travel_Rarely"/>
    <n v="548"/>
    <x v="1"/>
    <n v="9"/>
    <n v="4"/>
    <s v="Life Sciences"/>
    <n v="1772"/>
    <n v="3"/>
    <s v="Male"/>
    <n v="94"/>
    <n v="3"/>
    <n v="1"/>
    <s v="Laboratory Technician"/>
    <n v="1"/>
    <s v="Divorced"/>
    <n v="2289"/>
    <n v="20520"/>
    <n v="1"/>
    <s v="No"/>
    <n v="20"/>
    <n v="4"/>
    <n v="2"/>
    <n v="2"/>
    <n v="5"/>
    <n v="2"/>
    <n v="3"/>
    <n v="5"/>
    <n v="3"/>
    <n v="0"/>
    <n v="4"/>
  </r>
  <r>
    <n v="34"/>
    <x v="1"/>
    <s v="Non-Travel"/>
    <n v="1375"/>
    <x v="0"/>
    <n v="10"/>
    <n v="3"/>
    <s v="Life Sciences"/>
    <n v="1774"/>
    <n v="4"/>
    <s v="Male"/>
    <n v="87"/>
    <n v="3"/>
    <n v="2"/>
    <s v="Sales Executive"/>
    <n v="3"/>
    <s v="Divorced"/>
    <n v="4001"/>
    <n v="12313"/>
    <n v="1"/>
    <s v="Yes"/>
    <n v="14"/>
    <n v="3"/>
    <n v="3"/>
    <n v="1"/>
    <n v="15"/>
    <n v="3"/>
    <n v="3"/>
    <n v="15"/>
    <n v="14"/>
    <n v="0"/>
    <n v="7"/>
  </r>
  <r>
    <n v="53"/>
    <x v="1"/>
    <s v="Non-Travel"/>
    <n v="661"/>
    <x v="1"/>
    <n v="1"/>
    <n v="4"/>
    <s v="Medical"/>
    <n v="1775"/>
    <n v="1"/>
    <s v="Female"/>
    <n v="60"/>
    <n v="2"/>
    <n v="4"/>
    <s v="Manufacturing Director"/>
    <n v="3"/>
    <s v="Married"/>
    <n v="12965"/>
    <n v="22308"/>
    <n v="4"/>
    <s v="Yes"/>
    <n v="20"/>
    <n v="4"/>
    <n v="4"/>
    <n v="3"/>
    <n v="27"/>
    <n v="2"/>
    <n v="2"/>
    <n v="3"/>
    <n v="2"/>
    <n v="0"/>
    <n v="2"/>
  </r>
  <r>
    <n v="43"/>
    <x v="1"/>
    <s v="Travel_Rarely"/>
    <n v="244"/>
    <x v="2"/>
    <n v="2"/>
    <n v="3"/>
    <s v="Life Sciences"/>
    <n v="1778"/>
    <n v="2"/>
    <s v="Male"/>
    <n v="97"/>
    <n v="3"/>
    <n v="1"/>
    <s v="Human Resources"/>
    <n v="4"/>
    <s v="Single"/>
    <n v="3539"/>
    <n v="5033"/>
    <n v="0"/>
    <s v="No"/>
    <n v="13"/>
    <n v="3"/>
    <n v="2"/>
    <n v="0"/>
    <n v="10"/>
    <n v="5"/>
    <n v="3"/>
    <n v="9"/>
    <n v="7"/>
    <n v="1"/>
    <n v="8"/>
  </r>
  <r>
    <n v="34"/>
    <x v="1"/>
    <s v="Travel_Rarely"/>
    <n v="511"/>
    <x v="0"/>
    <n v="3"/>
    <n v="2"/>
    <s v="Life Sciences"/>
    <n v="1779"/>
    <n v="4"/>
    <s v="Female"/>
    <n v="32"/>
    <n v="1"/>
    <n v="2"/>
    <s v="Sales Executive"/>
    <n v="4"/>
    <s v="Single"/>
    <n v="6029"/>
    <n v="25353"/>
    <n v="5"/>
    <s v="No"/>
    <n v="12"/>
    <n v="3"/>
    <n v="1"/>
    <n v="0"/>
    <n v="6"/>
    <n v="3"/>
    <n v="3"/>
    <n v="2"/>
    <n v="2"/>
    <n v="2"/>
    <n v="2"/>
  </r>
  <r>
    <n v="21"/>
    <x v="0"/>
    <s v="Travel_Rarely"/>
    <n v="337"/>
    <x v="0"/>
    <n v="7"/>
    <n v="1"/>
    <s v="Marketing"/>
    <n v="1780"/>
    <n v="2"/>
    <s v="Male"/>
    <n v="31"/>
    <n v="3"/>
    <n v="1"/>
    <s v="Sales Representative"/>
    <n v="2"/>
    <s v="Single"/>
    <n v="2679"/>
    <n v="4567"/>
    <n v="1"/>
    <s v="No"/>
    <n v="13"/>
    <n v="3"/>
    <n v="2"/>
    <n v="0"/>
    <n v="1"/>
    <n v="3"/>
    <n v="3"/>
    <n v="1"/>
    <n v="0"/>
    <n v="1"/>
    <n v="0"/>
  </r>
  <r>
    <n v="38"/>
    <x v="1"/>
    <s v="Travel_Rarely"/>
    <n v="1153"/>
    <x v="1"/>
    <n v="6"/>
    <n v="2"/>
    <s v="Other"/>
    <n v="1782"/>
    <n v="4"/>
    <s v="Female"/>
    <n v="40"/>
    <n v="2"/>
    <n v="1"/>
    <s v="Laboratory Technician"/>
    <n v="3"/>
    <s v="Married"/>
    <n v="3702"/>
    <n v="16376"/>
    <n v="1"/>
    <s v="No"/>
    <n v="11"/>
    <n v="3"/>
    <n v="2"/>
    <n v="1"/>
    <n v="5"/>
    <n v="3"/>
    <n v="3"/>
    <n v="5"/>
    <n v="4"/>
    <n v="0"/>
    <n v="4"/>
  </r>
  <r>
    <n v="22"/>
    <x v="0"/>
    <s v="Travel_Rarely"/>
    <n v="1294"/>
    <x v="1"/>
    <n v="8"/>
    <n v="1"/>
    <s v="Medical"/>
    <n v="1783"/>
    <n v="3"/>
    <s v="Female"/>
    <n v="79"/>
    <n v="3"/>
    <n v="1"/>
    <s v="Laboratory Technician"/>
    <n v="1"/>
    <s v="Married"/>
    <n v="2398"/>
    <n v="15999"/>
    <n v="1"/>
    <s v="Yes"/>
    <n v="17"/>
    <n v="3"/>
    <n v="3"/>
    <n v="0"/>
    <n v="1"/>
    <n v="6"/>
    <n v="3"/>
    <n v="1"/>
    <n v="0"/>
    <n v="0"/>
    <n v="0"/>
  </r>
  <r>
    <n v="31"/>
    <x v="1"/>
    <s v="Travel_Rarely"/>
    <n v="196"/>
    <x v="0"/>
    <n v="29"/>
    <n v="4"/>
    <s v="Marketing"/>
    <n v="1784"/>
    <n v="1"/>
    <s v="Female"/>
    <n v="91"/>
    <n v="2"/>
    <n v="2"/>
    <s v="Sales Executive"/>
    <n v="4"/>
    <s v="Married"/>
    <n v="5468"/>
    <n v="13402"/>
    <n v="1"/>
    <s v="No"/>
    <n v="14"/>
    <n v="3"/>
    <n v="1"/>
    <n v="2"/>
    <n v="13"/>
    <n v="3"/>
    <n v="3"/>
    <n v="12"/>
    <n v="7"/>
    <n v="5"/>
    <n v="7"/>
  </r>
  <r>
    <n v="51"/>
    <x v="1"/>
    <s v="Travel_Rarely"/>
    <n v="942"/>
    <x v="1"/>
    <n v="3"/>
    <n v="3"/>
    <s v="Technical Degree"/>
    <n v="1786"/>
    <n v="1"/>
    <s v="Female"/>
    <n v="53"/>
    <n v="3"/>
    <n v="3"/>
    <s v="Manager"/>
    <n v="3"/>
    <s v="Married"/>
    <n v="13116"/>
    <n v="22984"/>
    <n v="2"/>
    <s v="No"/>
    <n v="11"/>
    <n v="3"/>
    <n v="4"/>
    <n v="0"/>
    <n v="15"/>
    <n v="2"/>
    <n v="3"/>
    <n v="2"/>
    <n v="2"/>
    <n v="2"/>
    <n v="2"/>
  </r>
  <r>
    <n v="37"/>
    <x v="1"/>
    <s v="Travel_Rarely"/>
    <n v="589"/>
    <x v="0"/>
    <n v="9"/>
    <n v="2"/>
    <s v="Marketing"/>
    <n v="1787"/>
    <n v="2"/>
    <s v="Male"/>
    <n v="46"/>
    <n v="2"/>
    <n v="2"/>
    <s v="Sales Executive"/>
    <n v="2"/>
    <s v="Married"/>
    <n v="4189"/>
    <n v="8800"/>
    <n v="1"/>
    <s v="No"/>
    <n v="14"/>
    <n v="3"/>
    <n v="1"/>
    <n v="2"/>
    <n v="5"/>
    <n v="2"/>
    <n v="3"/>
    <n v="5"/>
    <n v="2"/>
    <n v="0"/>
    <n v="3"/>
  </r>
  <r>
    <n v="46"/>
    <x v="1"/>
    <s v="Travel_Rarely"/>
    <n v="734"/>
    <x v="1"/>
    <n v="2"/>
    <n v="4"/>
    <s v="Medical"/>
    <n v="1789"/>
    <n v="3"/>
    <s v="Male"/>
    <n v="46"/>
    <n v="3"/>
    <n v="5"/>
    <s v="Research Director"/>
    <n v="4"/>
    <s v="Divorced"/>
    <n v="19328"/>
    <n v="14218"/>
    <n v="7"/>
    <s v="Yes"/>
    <n v="17"/>
    <n v="3"/>
    <n v="3"/>
    <n v="1"/>
    <n v="24"/>
    <n v="3"/>
    <n v="3"/>
    <n v="2"/>
    <n v="1"/>
    <n v="2"/>
    <n v="2"/>
  </r>
  <r>
    <n v="36"/>
    <x v="1"/>
    <s v="Travel_Rarely"/>
    <n v="1383"/>
    <x v="1"/>
    <n v="10"/>
    <n v="3"/>
    <s v="Life Sciences"/>
    <n v="1790"/>
    <n v="4"/>
    <s v="Male"/>
    <n v="90"/>
    <n v="3"/>
    <n v="3"/>
    <s v="Healthcare Representative"/>
    <n v="1"/>
    <s v="Married"/>
    <n v="8321"/>
    <n v="25949"/>
    <n v="7"/>
    <s v="Yes"/>
    <n v="13"/>
    <n v="3"/>
    <n v="4"/>
    <n v="1"/>
    <n v="15"/>
    <n v="1"/>
    <n v="3"/>
    <n v="12"/>
    <n v="8"/>
    <n v="5"/>
    <n v="7"/>
  </r>
  <r>
    <n v="44"/>
    <x v="0"/>
    <s v="Travel_Frequently"/>
    <n v="429"/>
    <x v="1"/>
    <n v="1"/>
    <n v="2"/>
    <s v="Medical"/>
    <n v="1792"/>
    <n v="3"/>
    <s v="Male"/>
    <n v="99"/>
    <n v="3"/>
    <n v="1"/>
    <s v="Research Scientist"/>
    <n v="2"/>
    <s v="Divorced"/>
    <n v="2342"/>
    <n v="11092"/>
    <n v="1"/>
    <s v="Yes"/>
    <n v="12"/>
    <n v="3"/>
    <n v="3"/>
    <n v="3"/>
    <n v="6"/>
    <n v="2"/>
    <n v="2"/>
    <n v="5"/>
    <n v="3"/>
    <n v="2"/>
    <n v="3"/>
  </r>
  <r>
    <n v="37"/>
    <x v="1"/>
    <s v="Travel_Rarely"/>
    <n v="1239"/>
    <x v="2"/>
    <n v="8"/>
    <n v="2"/>
    <s v="Other"/>
    <n v="1794"/>
    <n v="3"/>
    <s v="Male"/>
    <n v="89"/>
    <n v="3"/>
    <n v="2"/>
    <s v="Human Resources"/>
    <n v="2"/>
    <s v="Divorced"/>
    <n v="4071"/>
    <n v="12832"/>
    <n v="2"/>
    <s v="No"/>
    <n v="13"/>
    <n v="3"/>
    <n v="3"/>
    <n v="0"/>
    <n v="19"/>
    <n v="4"/>
    <n v="2"/>
    <n v="10"/>
    <n v="0"/>
    <n v="4"/>
    <n v="7"/>
  </r>
  <r>
    <n v="35"/>
    <x v="0"/>
    <s v="Travel_Rarely"/>
    <n v="303"/>
    <x v="0"/>
    <n v="27"/>
    <n v="3"/>
    <s v="Life Sciences"/>
    <n v="1797"/>
    <n v="3"/>
    <s v="Male"/>
    <n v="84"/>
    <n v="3"/>
    <n v="2"/>
    <s v="Sales Executive"/>
    <n v="4"/>
    <s v="Single"/>
    <n v="5813"/>
    <n v="13492"/>
    <n v="1"/>
    <s v="Yes"/>
    <n v="18"/>
    <n v="3"/>
    <n v="4"/>
    <n v="0"/>
    <n v="10"/>
    <n v="2"/>
    <n v="3"/>
    <n v="10"/>
    <n v="7"/>
    <n v="7"/>
    <n v="7"/>
  </r>
  <r>
    <n v="33"/>
    <x v="1"/>
    <s v="Travel_Rarely"/>
    <n v="867"/>
    <x v="1"/>
    <n v="8"/>
    <n v="4"/>
    <s v="Life Sciences"/>
    <n v="1798"/>
    <n v="4"/>
    <s v="Male"/>
    <n v="90"/>
    <n v="4"/>
    <n v="1"/>
    <s v="Research Scientist"/>
    <n v="1"/>
    <s v="Married"/>
    <n v="3143"/>
    <n v="6076"/>
    <n v="6"/>
    <s v="No"/>
    <n v="19"/>
    <n v="3"/>
    <n v="2"/>
    <n v="1"/>
    <n v="14"/>
    <n v="1"/>
    <n v="3"/>
    <n v="10"/>
    <n v="8"/>
    <n v="7"/>
    <n v="6"/>
  </r>
  <r>
    <n v="28"/>
    <x v="1"/>
    <s v="Travel_Rarely"/>
    <n v="1181"/>
    <x v="1"/>
    <n v="1"/>
    <n v="3"/>
    <s v="Life Sciences"/>
    <n v="1799"/>
    <n v="3"/>
    <s v="Male"/>
    <n v="82"/>
    <n v="3"/>
    <n v="1"/>
    <s v="Research Scientist"/>
    <n v="4"/>
    <s v="Married"/>
    <n v="2044"/>
    <n v="5531"/>
    <n v="1"/>
    <s v="No"/>
    <n v="11"/>
    <n v="3"/>
    <n v="3"/>
    <n v="1"/>
    <n v="5"/>
    <n v="6"/>
    <n v="4"/>
    <n v="5"/>
    <n v="3"/>
    <n v="0"/>
    <n v="3"/>
  </r>
  <r>
    <n v="39"/>
    <x v="1"/>
    <s v="Travel_Rarely"/>
    <n v="1253"/>
    <x v="1"/>
    <n v="10"/>
    <n v="1"/>
    <s v="Medical"/>
    <n v="1800"/>
    <n v="3"/>
    <s v="Male"/>
    <n v="65"/>
    <n v="3"/>
    <n v="3"/>
    <s v="Research Director"/>
    <n v="3"/>
    <s v="Single"/>
    <n v="13464"/>
    <n v="7914"/>
    <n v="7"/>
    <s v="No"/>
    <n v="21"/>
    <n v="4"/>
    <n v="3"/>
    <n v="0"/>
    <n v="9"/>
    <n v="3"/>
    <n v="3"/>
    <n v="4"/>
    <n v="3"/>
    <n v="2"/>
    <n v="2"/>
  </r>
  <r>
    <n v="46"/>
    <x v="1"/>
    <s v="Non-Travel"/>
    <n v="849"/>
    <x v="0"/>
    <n v="26"/>
    <n v="2"/>
    <s v="Life Sciences"/>
    <n v="1801"/>
    <n v="2"/>
    <s v="Male"/>
    <n v="98"/>
    <n v="2"/>
    <n v="2"/>
    <s v="Sales Executive"/>
    <n v="2"/>
    <s v="Single"/>
    <n v="7991"/>
    <n v="25166"/>
    <n v="8"/>
    <s v="No"/>
    <n v="15"/>
    <n v="3"/>
    <n v="3"/>
    <n v="0"/>
    <n v="6"/>
    <n v="3"/>
    <n v="3"/>
    <n v="2"/>
    <n v="2"/>
    <n v="2"/>
    <n v="2"/>
  </r>
  <r>
    <n v="40"/>
    <x v="1"/>
    <s v="Travel_Rarely"/>
    <n v="616"/>
    <x v="1"/>
    <n v="2"/>
    <n v="2"/>
    <s v="Life Sciences"/>
    <n v="1802"/>
    <n v="3"/>
    <s v="Female"/>
    <n v="99"/>
    <n v="3"/>
    <n v="1"/>
    <s v="Laboratory Technician"/>
    <n v="1"/>
    <s v="Married"/>
    <n v="3377"/>
    <n v="25605"/>
    <n v="4"/>
    <s v="No"/>
    <n v="17"/>
    <n v="3"/>
    <n v="4"/>
    <n v="1"/>
    <n v="7"/>
    <n v="5"/>
    <n v="2"/>
    <n v="4"/>
    <n v="3"/>
    <n v="0"/>
    <n v="2"/>
  </r>
  <r>
    <n v="42"/>
    <x v="1"/>
    <s v="Travel_Rarely"/>
    <n v="1128"/>
    <x v="1"/>
    <n v="13"/>
    <n v="3"/>
    <s v="Medical"/>
    <n v="1803"/>
    <n v="2"/>
    <s v="Male"/>
    <n v="95"/>
    <n v="4"/>
    <n v="2"/>
    <s v="Healthcare Representative"/>
    <n v="1"/>
    <s v="Married"/>
    <n v="5538"/>
    <n v="5696"/>
    <n v="5"/>
    <s v="No"/>
    <n v="18"/>
    <n v="3"/>
    <n v="3"/>
    <n v="2"/>
    <n v="10"/>
    <n v="2"/>
    <n v="2"/>
    <n v="0"/>
    <n v="0"/>
    <n v="0"/>
    <n v="0"/>
  </r>
  <r>
    <n v="35"/>
    <x v="1"/>
    <s v="Non-Travel"/>
    <n v="1180"/>
    <x v="1"/>
    <n v="2"/>
    <n v="2"/>
    <s v="Medical"/>
    <n v="1804"/>
    <n v="2"/>
    <s v="Male"/>
    <n v="90"/>
    <n v="3"/>
    <n v="2"/>
    <s v="Manufacturing Director"/>
    <n v="4"/>
    <s v="Divorced"/>
    <n v="5762"/>
    <n v="24442"/>
    <n v="2"/>
    <s v="No"/>
    <n v="14"/>
    <n v="3"/>
    <n v="3"/>
    <n v="1"/>
    <n v="15"/>
    <n v="6"/>
    <n v="3"/>
    <n v="7"/>
    <n v="7"/>
    <n v="1"/>
    <n v="7"/>
  </r>
  <r>
    <n v="38"/>
    <x v="1"/>
    <s v="Non-Travel"/>
    <n v="1336"/>
    <x v="2"/>
    <n v="2"/>
    <n v="3"/>
    <s v="Human Resources"/>
    <n v="1805"/>
    <n v="1"/>
    <s v="Male"/>
    <n v="100"/>
    <n v="3"/>
    <n v="1"/>
    <s v="Human Resources"/>
    <n v="2"/>
    <s v="Divorced"/>
    <n v="2592"/>
    <n v="7129"/>
    <n v="5"/>
    <s v="No"/>
    <n v="13"/>
    <n v="3"/>
    <n v="4"/>
    <n v="3"/>
    <n v="13"/>
    <n v="3"/>
    <n v="3"/>
    <n v="11"/>
    <n v="10"/>
    <n v="3"/>
    <n v="8"/>
  </r>
  <r>
    <n v="34"/>
    <x v="0"/>
    <s v="Travel_Frequently"/>
    <n v="234"/>
    <x v="1"/>
    <n v="9"/>
    <n v="4"/>
    <s v="Life Sciences"/>
    <n v="1807"/>
    <n v="4"/>
    <s v="Male"/>
    <n v="93"/>
    <n v="3"/>
    <n v="2"/>
    <s v="Laboratory Technician"/>
    <n v="1"/>
    <s v="Married"/>
    <n v="5346"/>
    <n v="6208"/>
    <n v="4"/>
    <s v="No"/>
    <n v="17"/>
    <n v="3"/>
    <n v="3"/>
    <n v="1"/>
    <n v="11"/>
    <n v="3"/>
    <n v="2"/>
    <n v="7"/>
    <n v="1"/>
    <n v="0"/>
    <n v="7"/>
  </r>
  <r>
    <n v="37"/>
    <x v="0"/>
    <s v="Travel_Rarely"/>
    <n v="370"/>
    <x v="1"/>
    <n v="10"/>
    <n v="4"/>
    <s v="Medical"/>
    <n v="1809"/>
    <n v="4"/>
    <s v="Male"/>
    <n v="58"/>
    <n v="3"/>
    <n v="2"/>
    <s v="Manufacturing Director"/>
    <n v="1"/>
    <s v="Single"/>
    <n v="4213"/>
    <n v="4992"/>
    <n v="1"/>
    <s v="No"/>
    <n v="15"/>
    <n v="3"/>
    <n v="2"/>
    <n v="0"/>
    <n v="10"/>
    <n v="4"/>
    <n v="1"/>
    <n v="10"/>
    <n v="3"/>
    <n v="0"/>
    <n v="8"/>
  </r>
  <r>
    <n v="39"/>
    <x v="1"/>
    <s v="Travel_Frequently"/>
    <n v="766"/>
    <x v="0"/>
    <n v="20"/>
    <n v="3"/>
    <s v="Life Sciences"/>
    <n v="1812"/>
    <n v="3"/>
    <s v="Male"/>
    <n v="83"/>
    <n v="3"/>
    <n v="2"/>
    <s v="Sales Executive"/>
    <n v="4"/>
    <s v="Divorced"/>
    <n v="4127"/>
    <n v="19188"/>
    <n v="2"/>
    <s v="No"/>
    <n v="18"/>
    <n v="3"/>
    <n v="4"/>
    <n v="1"/>
    <n v="7"/>
    <n v="6"/>
    <n v="3"/>
    <n v="2"/>
    <n v="1"/>
    <n v="2"/>
    <n v="2"/>
  </r>
  <r>
    <n v="43"/>
    <x v="1"/>
    <s v="Non-Travel"/>
    <n v="343"/>
    <x v="1"/>
    <n v="9"/>
    <n v="3"/>
    <s v="Life Sciences"/>
    <n v="1813"/>
    <n v="1"/>
    <s v="Male"/>
    <n v="52"/>
    <n v="3"/>
    <n v="1"/>
    <s v="Research Scientist"/>
    <n v="3"/>
    <s v="Single"/>
    <n v="2438"/>
    <n v="24978"/>
    <n v="4"/>
    <s v="No"/>
    <n v="13"/>
    <n v="3"/>
    <n v="3"/>
    <n v="0"/>
    <n v="7"/>
    <n v="2"/>
    <n v="2"/>
    <n v="3"/>
    <n v="2"/>
    <n v="1"/>
    <n v="2"/>
  </r>
  <r>
    <n v="41"/>
    <x v="1"/>
    <s v="Travel_Rarely"/>
    <n v="447"/>
    <x v="1"/>
    <n v="5"/>
    <n v="3"/>
    <s v="Life Sciences"/>
    <n v="1814"/>
    <n v="2"/>
    <s v="Male"/>
    <n v="85"/>
    <n v="4"/>
    <n v="2"/>
    <s v="Healthcare Representative"/>
    <n v="2"/>
    <s v="Single"/>
    <n v="6870"/>
    <n v="15530"/>
    <n v="3"/>
    <s v="No"/>
    <n v="12"/>
    <n v="3"/>
    <n v="1"/>
    <n v="0"/>
    <n v="11"/>
    <n v="3"/>
    <n v="1"/>
    <n v="3"/>
    <n v="2"/>
    <n v="1"/>
    <n v="2"/>
  </r>
  <r>
    <n v="41"/>
    <x v="1"/>
    <s v="Travel_Rarely"/>
    <n v="796"/>
    <x v="0"/>
    <n v="4"/>
    <n v="1"/>
    <s v="Marketing"/>
    <n v="1815"/>
    <n v="3"/>
    <s v="Female"/>
    <n v="81"/>
    <n v="3"/>
    <n v="3"/>
    <s v="Sales Executive"/>
    <n v="3"/>
    <s v="Divorced"/>
    <n v="10447"/>
    <n v="26458"/>
    <n v="0"/>
    <s v="Yes"/>
    <n v="13"/>
    <n v="3"/>
    <n v="4"/>
    <n v="1"/>
    <n v="23"/>
    <n v="3"/>
    <n v="4"/>
    <n v="22"/>
    <n v="14"/>
    <n v="13"/>
    <n v="5"/>
  </r>
  <r>
    <n v="30"/>
    <x v="1"/>
    <s v="Travel_Rarely"/>
    <n v="1092"/>
    <x v="1"/>
    <n v="10"/>
    <n v="3"/>
    <s v="Medical"/>
    <n v="1816"/>
    <n v="1"/>
    <s v="Female"/>
    <n v="64"/>
    <n v="3"/>
    <n v="3"/>
    <s v="Manufacturing Director"/>
    <n v="3"/>
    <s v="Single"/>
    <n v="9667"/>
    <n v="2739"/>
    <n v="9"/>
    <s v="No"/>
    <n v="14"/>
    <n v="3"/>
    <n v="2"/>
    <n v="0"/>
    <n v="9"/>
    <n v="3"/>
    <n v="3"/>
    <n v="7"/>
    <n v="7"/>
    <n v="0"/>
    <n v="2"/>
  </r>
  <r>
    <n v="26"/>
    <x v="0"/>
    <s v="Travel_Rarely"/>
    <n v="920"/>
    <x v="2"/>
    <n v="20"/>
    <n v="2"/>
    <s v="Medical"/>
    <n v="1818"/>
    <n v="4"/>
    <s v="Female"/>
    <n v="69"/>
    <n v="3"/>
    <n v="1"/>
    <s v="Human Resources"/>
    <n v="2"/>
    <s v="Married"/>
    <n v="2148"/>
    <n v="6889"/>
    <n v="0"/>
    <s v="Yes"/>
    <n v="11"/>
    <n v="3"/>
    <n v="3"/>
    <n v="0"/>
    <n v="6"/>
    <n v="3"/>
    <n v="3"/>
    <n v="5"/>
    <n v="1"/>
    <n v="1"/>
    <n v="4"/>
  </r>
  <r>
    <n v="46"/>
    <x v="0"/>
    <s v="Travel_Rarely"/>
    <n v="261"/>
    <x v="1"/>
    <n v="21"/>
    <n v="2"/>
    <s v="Medical"/>
    <n v="1821"/>
    <n v="4"/>
    <s v="Female"/>
    <n v="66"/>
    <n v="3"/>
    <n v="2"/>
    <s v="Healthcare Representative"/>
    <n v="2"/>
    <s v="Married"/>
    <n v="8926"/>
    <n v="10842"/>
    <n v="4"/>
    <s v="No"/>
    <n v="22"/>
    <n v="4"/>
    <n v="4"/>
    <n v="1"/>
    <n v="13"/>
    <n v="2"/>
    <n v="4"/>
    <n v="9"/>
    <n v="7"/>
    <n v="3"/>
    <n v="7"/>
  </r>
  <r>
    <n v="40"/>
    <x v="1"/>
    <s v="Travel_Rarely"/>
    <n v="1194"/>
    <x v="1"/>
    <n v="1"/>
    <n v="3"/>
    <s v="Life Sciences"/>
    <n v="1822"/>
    <n v="3"/>
    <s v="Female"/>
    <n v="52"/>
    <n v="3"/>
    <n v="2"/>
    <s v="Healthcare Representative"/>
    <n v="4"/>
    <s v="Divorced"/>
    <n v="6513"/>
    <n v="9060"/>
    <n v="4"/>
    <s v="No"/>
    <n v="17"/>
    <n v="3"/>
    <n v="4"/>
    <n v="1"/>
    <n v="12"/>
    <n v="3"/>
    <n v="3"/>
    <n v="5"/>
    <n v="3"/>
    <n v="0"/>
    <n v="3"/>
  </r>
  <r>
    <n v="34"/>
    <x v="1"/>
    <s v="Travel_Rarely"/>
    <n v="810"/>
    <x v="0"/>
    <n v="8"/>
    <n v="2"/>
    <s v="Technical Degree"/>
    <n v="1823"/>
    <n v="2"/>
    <s v="Male"/>
    <n v="92"/>
    <n v="4"/>
    <n v="2"/>
    <s v="Sales Executive"/>
    <n v="3"/>
    <s v="Married"/>
    <n v="6799"/>
    <n v="22128"/>
    <n v="1"/>
    <s v="No"/>
    <n v="21"/>
    <n v="4"/>
    <n v="3"/>
    <n v="2"/>
    <n v="10"/>
    <n v="5"/>
    <n v="3"/>
    <n v="10"/>
    <n v="8"/>
    <n v="4"/>
    <n v="8"/>
  </r>
  <r>
    <n v="58"/>
    <x v="1"/>
    <s v="Non-Travel"/>
    <n v="350"/>
    <x v="0"/>
    <n v="2"/>
    <n v="3"/>
    <s v="Medical"/>
    <n v="1824"/>
    <n v="2"/>
    <s v="Male"/>
    <n v="52"/>
    <n v="3"/>
    <n v="4"/>
    <s v="Manager"/>
    <n v="2"/>
    <s v="Divorced"/>
    <n v="16291"/>
    <n v="22577"/>
    <n v="4"/>
    <s v="No"/>
    <n v="22"/>
    <n v="4"/>
    <n v="4"/>
    <n v="1"/>
    <n v="37"/>
    <n v="0"/>
    <n v="2"/>
    <n v="16"/>
    <n v="9"/>
    <n v="14"/>
    <n v="14"/>
  </r>
  <r>
    <n v="35"/>
    <x v="1"/>
    <s v="Travel_Rarely"/>
    <n v="185"/>
    <x v="1"/>
    <n v="23"/>
    <n v="4"/>
    <s v="Medical"/>
    <n v="1826"/>
    <n v="2"/>
    <s v="Male"/>
    <n v="91"/>
    <n v="1"/>
    <n v="1"/>
    <s v="Laboratory Technician"/>
    <n v="3"/>
    <s v="Married"/>
    <n v="2705"/>
    <n v="9696"/>
    <n v="0"/>
    <s v="No"/>
    <n v="16"/>
    <n v="3"/>
    <n v="2"/>
    <n v="1"/>
    <n v="6"/>
    <n v="2"/>
    <n v="4"/>
    <n v="5"/>
    <n v="4"/>
    <n v="0"/>
    <n v="3"/>
  </r>
  <r>
    <n v="47"/>
    <x v="1"/>
    <s v="Travel_Rarely"/>
    <n v="1001"/>
    <x v="1"/>
    <n v="4"/>
    <n v="3"/>
    <s v="Life Sciences"/>
    <n v="1827"/>
    <n v="3"/>
    <s v="Female"/>
    <n v="92"/>
    <n v="2"/>
    <n v="3"/>
    <s v="Manufacturing Director"/>
    <n v="2"/>
    <s v="Divorced"/>
    <n v="10333"/>
    <n v="19271"/>
    <n v="8"/>
    <s v="Yes"/>
    <n v="12"/>
    <n v="3"/>
    <n v="3"/>
    <n v="1"/>
    <n v="28"/>
    <n v="4"/>
    <n v="3"/>
    <n v="22"/>
    <n v="11"/>
    <n v="14"/>
    <n v="10"/>
  </r>
  <r>
    <n v="40"/>
    <x v="1"/>
    <s v="Travel_Rarely"/>
    <n v="750"/>
    <x v="1"/>
    <n v="12"/>
    <n v="3"/>
    <s v="Life Sciences"/>
    <n v="1829"/>
    <n v="2"/>
    <s v="Female"/>
    <n v="47"/>
    <n v="3"/>
    <n v="2"/>
    <s v="Healthcare Representative"/>
    <n v="1"/>
    <s v="Divorced"/>
    <n v="4448"/>
    <n v="10748"/>
    <n v="2"/>
    <s v="No"/>
    <n v="12"/>
    <n v="3"/>
    <n v="2"/>
    <n v="1"/>
    <n v="15"/>
    <n v="3"/>
    <n v="3"/>
    <n v="7"/>
    <n v="4"/>
    <n v="7"/>
    <n v="7"/>
  </r>
  <r>
    <n v="54"/>
    <x v="1"/>
    <s v="Travel_Rarely"/>
    <n v="431"/>
    <x v="1"/>
    <n v="7"/>
    <n v="4"/>
    <s v="Medical"/>
    <n v="1830"/>
    <n v="4"/>
    <s v="Female"/>
    <n v="68"/>
    <n v="3"/>
    <n v="2"/>
    <s v="Research Scientist"/>
    <n v="4"/>
    <s v="Married"/>
    <n v="6854"/>
    <n v="15696"/>
    <n v="4"/>
    <s v="No"/>
    <n v="15"/>
    <n v="3"/>
    <n v="2"/>
    <n v="1"/>
    <n v="14"/>
    <n v="2"/>
    <n v="2"/>
    <n v="7"/>
    <n v="1"/>
    <n v="1"/>
    <n v="7"/>
  </r>
  <r>
    <n v="31"/>
    <x v="1"/>
    <s v="Travel_Frequently"/>
    <n v="1125"/>
    <x v="0"/>
    <n v="7"/>
    <n v="4"/>
    <s v="Marketing"/>
    <n v="1833"/>
    <n v="1"/>
    <s v="Female"/>
    <n v="68"/>
    <n v="3"/>
    <n v="3"/>
    <s v="Sales Executive"/>
    <n v="1"/>
    <s v="Married"/>
    <n v="9637"/>
    <n v="8277"/>
    <n v="2"/>
    <s v="No"/>
    <n v="14"/>
    <n v="3"/>
    <n v="4"/>
    <n v="2"/>
    <n v="9"/>
    <n v="3"/>
    <n v="3"/>
    <n v="3"/>
    <n v="2"/>
    <n v="2"/>
    <n v="2"/>
  </r>
  <r>
    <n v="28"/>
    <x v="1"/>
    <s v="Travel_Rarely"/>
    <n v="1217"/>
    <x v="1"/>
    <n v="1"/>
    <n v="3"/>
    <s v="Medical"/>
    <n v="1834"/>
    <n v="3"/>
    <s v="Female"/>
    <n v="67"/>
    <n v="3"/>
    <n v="1"/>
    <s v="Research Scientist"/>
    <n v="1"/>
    <s v="Married"/>
    <n v="3591"/>
    <n v="12719"/>
    <n v="1"/>
    <s v="No"/>
    <n v="25"/>
    <n v="4"/>
    <n v="3"/>
    <n v="1"/>
    <n v="3"/>
    <n v="3"/>
    <n v="3"/>
    <n v="3"/>
    <n v="2"/>
    <n v="1"/>
    <n v="2"/>
  </r>
  <r>
    <n v="38"/>
    <x v="1"/>
    <s v="Travel_Rarely"/>
    <n v="723"/>
    <x v="0"/>
    <n v="2"/>
    <n v="4"/>
    <s v="Marketing"/>
    <n v="1835"/>
    <n v="2"/>
    <s v="Female"/>
    <n v="77"/>
    <n v="1"/>
    <n v="2"/>
    <s v="Sales Representative"/>
    <n v="4"/>
    <s v="Married"/>
    <n v="5405"/>
    <n v="4244"/>
    <n v="2"/>
    <s v="Yes"/>
    <n v="20"/>
    <n v="4"/>
    <n v="1"/>
    <n v="2"/>
    <n v="20"/>
    <n v="4"/>
    <n v="2"/>
    <n v="4"/>
    <n v="2"/>
    <n v="0"/>
    <n v="3"/>
  </r>
  <r>
    <n v="26"/>
    <x v="1"/>
    <s v="Travel_Rarely"/>
    <n v="572"/>
    <x v="0"/>
    <n v="10"/>
    <n v="3"/>
    <s v="Medical"/>
    <n v="1836"/>
    <n v="3"/>
    <s v="Male"/>
    <n v="46"/>
    <n v="3"/>
    <n v="2"/>
    <s v="Sales Executive"/>
    <n v="4"/>
    <s v="Single"/>
    <n v="4684"/>
    <n v="9125"/>
    <n v="1"/>
    <s v="No"/>
    <n v="13"/>
    <n v="3"/>
    <n v="1"/>
    <n v="0"/>
    <n v="5"/>
    <n v="4"/>
    <n v="3"/>
    <n v="5"/>
    <n v="3"/>
    <n v="1"/>
    <n v="2"/>
  </r>
  <r>
    <n v="58"/>
    <x v="1"/>
    <s v="Travel_Frequently"/>
    <n v="1216"/>
    <x v="1"/>
    <n v="15"/>
    <n v="4"/>
    <s v="Life Sciences"/>
    <n v="1837"/>
    <n v="1"/>
    <s v="Male"/>
    <n v="87"/>
    <n v="3"/>
    <n v="4"/>
    <s v="Research Director"/>
    <n v="3"/>
    <s v="Married"/>
    <n v="15787"/>
    <n v="21624"/>
    <n v="2"/>
    <s v="Yes"/>
    <n v="14"/>
    <n v="3"/>
    <n v="2"/>
    <n v="0"/>
    <n v="23"/>
    <n v="3"/>
    <n v="3"/>
    <n v="2"/>
    <n v="2"/>
    <n v="2"/>
    <n v="2"/>
  </r>
  <r>
    <n v="18"/>
    <x v="1"/>
    <s v="Non-Travel"/>
    <n v="1431"/>
    <x v="1"/>
    <n v="14"/>
    <n v="3"/>
    <s v="Medical"/>
    <n v="1839"/>
    <n v="2"/>
    <s v="Female"/>
    <n v="33"/>
    <n v="3"/>
    <n v="1"/>
    <s v="Research Scientist"/>
    <n v="3"/>
    <s v="Single"/>
    <n v="1514"/>
    <n v="8018"/>
    <n v="1"/>
    <s v="No"/>
    <n v="16"/>
    <n v="3"/>
    <n v="3"/>
    <n v="0"/>
    <n v="0"/>
    <n v="4"/>
    <n v="1"/>
    <n v="0"/>
    <n v="0"/>
    <n v="0"/>
    <n v="0"/>
  </r>
  <r>
    <n v="31"/>
    <x v="0"/>
    <s v="Travel_Rarely"/>
    <n v="359"/>
    <x v="2"/>
    <n v="18"/>
    <n v="5"/>
    <s v="Human Resources"/>
    <n v="1842"/>
    <n v="4"/>
    <s v="Male"/>
    <n v="89"/>
    <n v="4"/>
    <n v="1"/>
    <s v="Human Resources"/>
    <n v="1"/>
    <s v="Married"/>
    <n v="2956"/>
    <n v="21495"/>
    <n v="0"/>
    <s v="No"/>
    <n v="17"/>
    <n v="3"/>
    <n v="3"/>
    <n v="0"/>
    <n v="2"/>
    <n v="4"/>
    <n v="3"/>
    <n v="1"/>
    <n v="0"/>
    <n v="0"/>
    <n v="0"/>
  </r>
  <r>
    <n v="29"/>
    <x v="0"/>
    <s v="Travel_Rarely"/>
    <n v="350"/>
    <x v="2"/>
    <n v="13"/>
    <n v="3"/>
    <s v="Human Resources"/>
    <n v="1844"/>
    <n v="1"/>
    <s v="Male"/>
    <n v="56"/>
    <n v="2"/>
    <n v="1"/>
    <s v="Human Resources"/>
    <n v="1"/>
    <s v="Divorced"/>
    <n v="2335"/>
    <n v="3157"/>
    <n v="4"/>
    <s v="Yes"/>
    <n v="15"/>
    <n v="3"/>
    <n v="4"/>
    <n v="3"/>
    <n v="4"/>
    <n v="3"/>
    <n v="3"/>
    <n v="2"/>
    <n v="2"/>
    <n v="2"/>
    <n v="0"/>
  </r>
  <r>
    <n v="45"/>
    <x v="1"/>
    <s v="Non-Travel"/>
    <n v="589"/>
    <x v="0"/>
    <n v="2"/>
    <n v="4"/>
    <s v="Life Sciences"/>
    <n v="1845"/>
    <n v="3"/>
    <s v="Female"/>
    <n v="67"/>
    <n v="3"/>
    <n v="2"/>
    <s v="Sales Executive"/>
    <n v="3"/>
    <s v="Married"/>
    <n v="5154"/>
    <n v="19665"/>
    <n v="4"/>
    <s v="No"/>
    <n v="22"/>
    <n v="4"/>
    <n v="2"/>
    <n v="2"/>
    <n v="10"/>
    <n v="3"/>
    <n v="4"/>
    <n v="8"/>
    <n v="7"/>
    <n v="5"/>
    <n v="7"/>
  </r>
  <r>
    <n v="36"/>
    <x v="1"/>
    <s v="Travel_Rarely"/>
    <n v="430"/>
    <x v="1"/>
    <n v="2"/>
    <n v="4"/>
    <s v="Other"/>
    <n v="1847"/>
    <n v="4"/>
    <s v="Female"/>
    <n v="73"/>
    <n v="3"/>
    <n v="2"/>
    <s v="Research Scientist"/>
    <n v="2"/>
    <s v="Married"/>
    <n v="6962"/>
    <n v="19573"/>
    <n v="4"/>
    <s v="Yes"/>
    <n v="22"/>
    <n v="4"/>
    <n v="4"/>
    <n v="1"/>
    <n v="15"/>
    <n v="2"/>
    <n v="3"/>
    <n v="1"/>
    <n v="0"/>
    <n v="0"/>
    <n v="0"/>
  </r>
  <r>
    <n v="43"/>
    <x v="1"/>
    <s v="Travel_Frequently"/>
    <n v="1422"/>
    <x v="0"/>
    <n v="2"/>
    <n v="4"/>
    <s v="Life Sciences"/>
    <n v="1849"/>
    <n v="1"/>
    <s v="Male"/>
    <n v="92"/>
    <n v="3"/>
    <n v="2"/>
    <s v="Sales Executive"/>
    <n v="4"/>
    <s v="Married"/>
    <n v="5675"/>
    <n v="19246"/>
    <n v="1"/>
    <s v="No"/>
    <n v="20"/>
    <n v="4"/>
    <n v="3"/>
    <n v="1"/>
    <n v="7"/>
    <n v="5"/>
    <n v="3"/>
    <n v="7"/>
    <n v="7"/>
    <n v="7"/>
    <n v="7"/>
  </r>
  <r>
    <n v="27"/>
    <x v="1"/>
    <s v="Travel_Frequently"/>
    <n v="1297"/>
    <x v="1"/>
    <n v="5"/>
    <n v="2"/>
    <s v="Life Sciences"/>
    <n v="1850"/>
    <n v="4"/>
    <s v="Female"/>
    <n v="53"/>
    <n v="3"/>
    <n v="1"/>
    <s v="Laboratory Technician"/>
    <n v="4"/>
    <s v="Single"/>
    <n v="2379"/>
    <n v="19826"/>
    <n v="0"/>
    <s v="Yes"/>
    <n v="14"/>
    <n v="3"/>
    <n v="3"/>
    <n v="0"/>
    <n v="6"/>
    <n v="3"/>
    <n v="2"/>
    <n v="5"/>
    <n v="4"/>
    <n v="0"/>
    <n v="2"/>
  </r>
  <r>
    <n v="29"/>
    <x v="1"/>
    <s v="Travel_Frequently"/>
    <n v="574"/>
    <x v="1"/>
    <n v="20"/>
    <n v="1"/>
    <s v="Medical"/>
    <n v="1852"/>
    <n v="4"/>
    <s v="Male"/>
    <n v="40"/>
    <n v="3"/>
    <n v="1"/>
    <s v="Laboratory Technician"/>
    <n v="4"/>
    <s v="Married"/>
    <n v="3812"/>
    <n v="7003"/>
    <n v="1"/>
    <s v="No"/>
    <n v="13"/>
    <n v="3"/>
    <n v="2"/>
    <n v="0"/>
    <n v="11"/>
    <n v="3"/>
    <n v="4"/>
    <n v="11"/>
    <n v="8"/>
    <n v="3"/>
    <n v="10"/>
  </r>
  <r>
    <n v="32"/>
    <x v="1"/>
    <s v="Travel_Frequently"/>
    <n v="1318"/>
    <x v="0"/>
    <n v="10"/>
    <n v="4"/>
    <s v="Marketing"/>
    <n v="1853"/>
    <n v="4"/>
    <s v="Male"/>
    <n v="79"/>
    <n v="3"/>
    <n v="2"/>
    <s v="Sales Executive"/>
    <n v="4"/>
    <s v="Single"/>
    <n v="4648"/>
    <n v="26075"/>
    <n v="8"/>
    <s v="No"/>
    <n v="13"/>
    <n v="3"/>
    <n v="3"/>
    <n v="0"/>
    <n v="4"/>
    <n v="2"/>
    <n v="4"/>
    <n v="0"/>
    <n v="0"/>
    <n v="0"/>
    <n v="0"/>
  </r>
  <r>
    <n v="42"/>
    <x v="1"/>
    <s v="Non-Travel"/>
    <n v="355"/>
    <x v="1"/>
    <n v="10"/>
    <n v="4"/>
    <s v="Technical Degree"/>
    <n v="1854"/>
    <n v="3"/>
    <s v="Male"/>
    <n v="38"/>
    <n v="3"/>
    <n v="1"/>
    <s v="Research Scientist"/>
    <n v="3"/>
    <s v="Married"/>
    <n v="2936"/>
    <n v="6161"/>
    <n v="3"/>
    <s v="No"/>
    <n v="22"/>
    <n v="4"/>
    <n v="2"/>
    <n v="2"/>
    <n v="10"/>
    <n v="1"/>
    <n v="2"/>
    <n v="6"/>
    <n v="3"/>
    <n v="3"/>
    <n v="3"/>
  </r>
  <r>
    <n v="47"/>
    <x v="1"/>
    <s v="Travel_Rarely"/>
    <n v="207"/>
    <x v="1"/>
    <n v="9"/>
    <n v="4"/>
    <s v="Life Sciences"/>
    <n v="1856"/>
    <n v="2"/>
    <s v="Female"/>
    <n v="64"/>
    <n v="3"/>
    <n v="1"/>
    <s v="Laboratory Technician"/>
    <n v="3"/>
    <s v="Single"/>
    <n v="2105"/>
    <n v="5411"/>
    <n v="4"/>
    <s v="No"/>
    <n v="12"/>
    <n v="3"/>
    <n v="3"/>
    <n v="0"/>
    <n v="7"/>
    <n v="2"/>
    <n v="3"/>
    <n v="2"/>
    <n v="2"/>
    <n v="2"/>
    <n v="0"/>
  </r>
  <r>
    <n v="46"/>
    <x v="1"/>
    <s v="Travel_Rarely"/>
    <n v="706"/>
    <x v="1"/>
    <n v="2"/>
    <n v="2"/>
    <s v="Life Sciences"/>
    <n v="1857"/>
    <n v="4"/>
    <s v="Male"/>
    <n v="82"/>
    <n v="3"/>
    <n v="3"/>
    <s v="Manufacturing Director"/>
    <n v="4"/>
    <s v="Divorced"/>
    <n v="8578"/>
    <n v="19989"/>
    <n v="3"/>
    <s v="No"/>
    <n v="14"/>
    <n v="3"/>
    <n v="3"/>
    <n v="1"/>
    <n v="12"/>
    <n v="4"/>
    <n v="2"/>
    <n v="9"/>
    <n v="8"/>
    <n v="4"/>
    <n v="7"/>
  </r>
  <r>
    <n v="28"/>
    <x v="1"/>
    <s v="Non-Travel"/>
    <n v="280"/>
    <x v="2"/>
    <n v="1"/>
    <n v="2"/>
    <s v="Life Sciences"/>
    <n v="1858"/>
    <n v="3"/>
    <s v="Male"/>
    <n v="43"/>
    <n v="3"/>
    <n v="1"/>
    <s v="Human Resources"/>
    <n v="4"/>
    <s v="Divorced"/>
    <n v="2706"/>
    <n v="10494"/>
    <n v="1"/>
    <s v="No"/>
    <n v="15"/>
    <n v="3"/>
    <n v="2"/>
    <n v="1"/>
    <n v="3"/>
    <n v="2"/>
    <n v="3"/>
    <n v="3"/>
    <n v="2"/>
    <n v="2"/>
    <n v="2"/>
  </r>
  <r>
    <n v="29"/>
    <x v="1"/>
    <s v="Travel_Rarely"/>
    <n v="726"/>
    <x v="1"/>
    <n v="29"/>
    <n v="1"/>
    <s v="Life Sciences"/>
    <n v="1859"/>
    <n v="4"/>
    <s v="Male"/>
    <n v="93"/>
    <n v="1"/>
    <n v="2"/>
    <s v="Healthcare Representative"/>
    <n v="3"/>
    <s v="Divorced"/>
    <n v="6384"/>
    <n v="21143"/>
    <n v="8"/>
    <s v="No"/>
    <n v="17"/>
    <n v="3"/>
    <n v="4"/>
    <n v="2"/>
    <n v="11"/>
    <n v="3"/>
    <n v="3"/>
    <n v="7"/>
    <n v="0"/>
    <n v="1"/>
    <n v="6"/>
  </r>
  <r>
    <n v="42"/>
    <x v="1"/>
    <s v="Travel_Rarely"/>
    <n v="1142"/>
    <x v="1"/>
    <n v="8"/>
    <n v="3"/>
    <s v="Life Sciences"/>
    <n v="1860"/>
    <n v="4"/>
    <s v="Male"/>
    <n v="81"/>
    <n v="3"/>
    <n v="1"/>
    <s v="Laboratory Technician"/>
    <n v="3"/>
    <s v="Single"/>
    <n v="3968"/>
    <n v="13624"/>
    <n v="4"/>
    <s v="No"/>
    <n v="13"/>
    <n v="3"/>
    <n v="4"/>
    <n v="0"/>
    <n v="8"/>
    <n v="3"/>
    <n v="3"/>
    <n v="0"/>
    <n v="0"/>
    <n v="0"/>
    <n v="0"/>
  </r>
  <r>
    <n v="32"/>
    <x v="0"/>
    <s v="Travel_Rarely"/>
    <n v="414"/>
    <x v="0"/>
    <n v="2"/>
    <n v="4"/>
    <s v="Marketing"/>
    <n v="1862"/>
    <n v="3"/>
    <s v="Male"/>
    <n v="82"/>
    <n v="2"/>
    <n v="2"/>
    <s v="Sales Executive"/>
    <n v="2"/>
    <s v="Single"/>
    <n v="9907"/>
    <n v="26186"/>
    <n v="7"/>
    <s v="Yes"/>
    <n v="12"/>
    <n v="3"/>
    <n v="3"/>
    <n v="0"/>
    <n v="7"/>
    <n v="3"/>
    <n v="2"/>
    <n v="2"/>
    <n v="2"/>
    <n v="2"/>
    <n v="2"/>
  </r>
  <r>
    <n v="46"/>
    <x v="1"/>
    <s v="Travel_Rarely"/>
    <n v="1319"/>
    <x v="0"/>
    <n v="3"/>
    <n v="3"/>
    <s v="Technical Degree"/>
    <n v="1863"/>
    <n v="1"/>
    <s v="Female"/>
    <n v="45"/>
    <n v="4"/>
    <n v="4"/>
    <s v="Sales Executive"/>
    <n v="1"/>
    <s v="Divorced"/>
    <n v="13225"/>
    <n v="7739"/>
    <n v="2"/>
    <s v="No"/>
    <n v="12"/>
    <n v="3"/>
    <n v="4"/>
    <n v="1"/>
    <n v="25"/>
    <n v="5"/>
    <n v="3"/>
    <n v="19"/>
    <n v="17"/>
    <n v="2"/>
    <n v="8"/>
  </r>
  <r>
    <n v="27"/>
    <x v="1"/>
    <s v="Travel_Rarely"/>
    <n v="728"/>
    <x v="0"/>
    <n v="23"/>
    <n v="1"/>
    <s v="Medical"/>
    <n v="1864"/>
    <n v="2"/>
    <s v="Female"/>
    <n v="36"/>
    <n v="2"/>
    <n v="2"/>
    <s v="Sales Representative"/>
    <n v="3"/>
    <s v="Married"/>
    <n v="3540"/>
    <n v="7018"/>
    <n v="1"/>
    <s v="No"/>
    <n v="21"/>
    <n v="4"/>
    <n v="4"/>
    <n v="1"/>
    <n v="9"/>
    <n v="5"/>
    <n v="3"/>
    <n v="9"/>
    <n v="8"/>
    <n v="5"/>
    <n v="8"/>
  </r>
  <r>
    <n v="29"/>
    <x v="1"/>
    <s v="Travel_Rarely"/>
    <n v="352"/>
    <x v="2"/>
    <n v="6"/>
    <n v="1"/>
    <s v="Medical"/>
    <n v="1865"/>
    <n v="4"/>
    <s v="Male"/>
    <n v="87"/>
    <n v="2"/>
    <n v="1"/>
    <s v="Human Resources"/>
    <n v="2"/>
    <s v="Married"/>
    <n v="2804"/>
    <n v="15434"/>
    <n v="1"/>
    <s v="No"/>
    <n v="11"/>
    <n v="3"/>
    <n v="4"/>
    <n v="0"/>
    <n v="1"/>
    <n v="3"/>
    <n v="3"/>
    <n v="1"/>
    <n v="0"/>
    <n v="0"/>
    <n v="0"/>
  </r>
  <r>
    <n v="43"/>
    <x v="1"/>
    <s v="Travel_Rarely"/>
    <n v="823"/>
    <x v="1"/>
    <n v="6"/>
    <n v="3"/>
    <s v="Medical"/>
    <n v="1866"/>
    <n v="1"/>
    <s v="Female"/>
    <n v="81"/>
    <n v="2"/>
    <n v="5"/>
    <s v="Manager"/>
    <n v="3"/>
    <s v="Married"/>
    <n v="19392"/>
    <n v="22539"/>
    <n v="7"/>
    <s v="No"/>
    <n v="13"/>
    <n v="3"/>
    <n v="4"/>
    <n v="0"/>
    <n v="21"/>
    <n v="2"/>
    <n v="3"/>
    <n v="16"/>
    <n v="12"/>
    <n v="6"/>
    <n v="14"/>
  </r>
  <r>
    <n v="48"/>
    <x v="1"/>
    <s v="Travel_Rarely"/>
    <n v="1224"/>
    <x v="1"/>
    <n v="10"/>
    <n v="3"/>
    <s v="Life Sciences"/>
    <n v="1867"/>
    <n v="4"/>
    <s v="Male"/>
    <n v="91"/>
    <n v="2"/>
    <n v="5"/>
    <s v="Research Director"/>
    <n v="2"/>
    <s v="Married"/>
    <n v="19665"/>
    <n v="13583"/>
    <n v="4"/>
    <s v="No"/>
    <n v="12"/>
    <n v="3"/>
    <n v="4"/>
    <n v="0"/>
    <n v="29"/>
    <n v="3"/>
    <n v="3"/>
    <n v="22"/>
    <n v="10"/>
    <n v="12"/>
    <n v="9"/>
  </r>
  <r>
    <n v="29"/>
    <x v="0"/>
    <s v="Travel_Frequently"/>
    <n v="459"/>
    <x v="1"/>
    <n v="24"/>
    <n v="2"/>
    <s v="Life Sciences"/>
    <n v="1868"/>
    <n v="4"/>
    <s v="Male"/>
    <n v="73"/>
    <n v="2"/>
    <n v="1"/>
    <s v="Research Scientist"/>
    <n v="4"/>
    <s v="Single"/>
    <n v="2439"/>
    <n v="14753"/>
    <n v="1"/>
    <s v="Yes"/>
    <n v="24"/>
    <n v="4"/>
    <n v="2"/>
    <n v="0"/>
    <n v="1"/>
    <n v="3"/>
    <n v="2"/>
    <n v="1"/>
    <n v="0"/>
    <n v="1"/>
    <n v="0"/>
  </r>
  <r>
    <n v="46"/>
    <x v="0"/>
    <s v="Travel_Rarely"/>
    <n v="1254"/>
    <x v="0"/>
    <n v="10"/>
    <n v="3"/>
    <s v="Life Sciences"/>
    <n v="1869"/>
    <n v="3"/>
    <s v="Female"/>
    <n v="64"/>
    <n v="3"/>
    <n v="3"/>
    <s v="Sales Executive"/>
    <n v="2"/>
    <s v="Married"/>
    <n v="7314"/>
    <n v="14011"/>
    <n v="5"/>
    <s v="No"/>
    <n v="21"/>
    <n v="4"/>
    <n v="3"/>
    <n v="3"/>
    <n v="14"/>
    <n v="2"/>
    <n v="3"/>
    <n v="8"/>
    <n v="7"/>
    <n v="0"/>
    <n v="7"/>
  </r>
  <r>
    <n v="27"/>
    <x v="1"/>
    <s v="Travel_Frequently"/>
    <n v="1131"/>
    <x v="1"/>
    <n v="15"/>
    <n v="3"/>
    <s v="Life Sciences"/>
    <n v="1870"/>
    <n v="4"/>
    <s v="Female"/>
    <n v="77"/>
    <n v="2"/>
    <n v="1"/>
    <s v="Research Scientist"/>
    <n v="1"/>
    <s v="Married"/>
    <n v="4774"/>
    <n v="23844"/>
    <n v="0"/>
    <s v="No"/>
    <n v="19"/>
    <n v="3"/>
    <n v="4"/>
    <n v="1"/>
    <n v="8"/>
    <n v="2"/>
    <n v="2"/>
    <n v="7"/>
    <n v="6"/>
    <n v="7"/>
    <n v="3"/>
  </r>
  <r>
    <n v="39"/>
    <x v="1"/>
    <s v="Travel_Rarely"/>
    <n v="835"/>
    <x v="1"/>
    <n v="19"/>
    <n v="4"/>
    <s v="Other"/>
    <n v="1871"/>
    <n v="4"/>
    <s v="Male"/>
    <n v="41"/>
    <n v="3"/>
    <n v="2"/>
    <s v="Research Scientist"/>
    <n v="4"/>
    <s v="Divorced"/>
    <n v="3902"/>
    <n v="5141"/>
    <n v="8"/>
    <s v="No"/>
    <n v="14"/>
    <n v="3"/>
    <n v="2"/>
    <n v="3"/>
    <n v="7"/>
    <n v="2"/>
    <n v="3"/>
    <n v="2"/>
    <n v="2"/>
    <n v="2"/>
    <n v="2"/>
  </r>
  <r>
    <n v="55"/>
    <x v="1"/>
    <s v="Travel_Rarely"/>
    <n v="836"/>
    <x v="1"/>
    <n v="2"/>
    <n v="4"/>
    <s v="Technical Degree"/>
    <n v="1873"/>
    <n v="2"/>
    <s v="Male"/>
    <n v="98"/>
    <n v="2"/>
    <n v="1"/>
    <s v="Research Scientist"/>
    <n v="4"/>
    <s v="Married"/>
    <n v="2662"/>
    <n v="7975"/>
    <n v="8"/>
    <s v="No"/>
    <n v="20"/>
    <n v="4"/>
    <n v="2"/>
    <n v="1"/>
    <n v="19"/>
    <n v="2"/>
    <n v="4"/>
    <n v="5"/>
    <n v="2"/>
    <n v="0"/>
    <n v="4"/>
  </r>
  <r>
    <n v="28"/>
    <x v="1"/>
    <s v="Travel_Rarely"/>
    <n v="1172"/>
    <x v="0"/>
    <n v="3"/>
    <n v="3"/>
    <s v="Medical"/>
    <n v="1875"/>
    <n v="2"/>
    <s v="Female"/>
    <n v="78"/>
    <n v="3"/>
    <n v="1"/>
    <s v="Sales Representative"/>
    <n v="2"/>
    <s v="Married"/>
    <n v="2856"/>
    <n v="3692"/>
    <n v="1"/>
    <s v="No"/>
    <n v="19"/>
    <n v="3"/>
    <n v="4"/>
    <n v="1"/>
    <n v="1"/>
    <n v="3"/>
    <n v="3"/>
    <n v="1"/>
    <n v="0"/>
    <n v="0"/>
    <n v="0"/>
  </r>
  <r>
    <n v="30"/>
    <x v="0"/>
    <s v="Travel_Rarely"/>
    <n v="945"/>
    <x v="0"/>
    <n v="9"/>
    <n v="3"/>
    <s v="Medical"/>
    <n v="1876"/>
    <n v="2"/>
    <s v="Male"/>
    <n v="89"/>
    <n v="3"/>
    <n v="1"/>
    <s v="Sales Representative"/>
    <n v="4"/>
    <s v="Single"/>
    <n v="1081"/>
    <n v="16019"/>
    <n v="1"/>
    <s v="No"/>
    <n v="13"/>
    <n v="3"/>
    <n v="3"/>
    <n v="0"/>
    <n v="1"/>
    <n v="3"/>
    <n v="2"/>
    <n v="1"/>
    <n v="0"/>
    <n v="0"/>
    <n v="0"/>
  </r>
  <r>
    <n v="22"/>
    <x v="0"/>
    <s v="Travel_Rarely"/>
    <n v="391"/>
    <x v="1"/>
    <n v="7"/>
    <n v="1"/>
    <s v="Life Sciences"/>
    <n v="1878"/>
    <n v="4"/>
    <s v="Male"/>
    <n v="75"/>
    <n v="3"/>
    <n v="1"/>
    <s v="Research Scientist"/>
    <n v="2"/>
    <s v="Single"/>
    <n v="2472"/>
    <n v="26092"/>
    <n v="1"/>
    <s v="Yes"/>
    <n v="23"/>
    <n v="4"/>
    <n v="1"/>
    <n v="0"/>
    <n v="1"/>
    <n v="2"/>
    <n v="3"/>
    <n v="1"/>
    <n v="0"/>
    <n v="0"/>
    <n v="0"/>
  </r>
  <r>
    <n v="36"/>
    <x v="1"/>
    <s v="Travel_Rarely"/>
    <n v="1266"/>
    <x v="0"/>
    <n v="10"/>
    <n v="4"/>
    <s v="Technical Degree"/>
    <n v="1880"/>
    <n v="2"/>
    <s v="Female"/>
    <n v="63"/>
    <n v="2"/>
    <n v="2"/>
    <s v="Sales Executive"/>
    <n v="3"/>
    <s v="Married"/>
    <n v="5673"/>
    <n v="6060"/>
    <n v="1"/>
    <s v="Yes"/>
    <n v="13"/>
    <n v="3"/>
    <n v="1"/>
    <n v="1"/>
    <n v="10"/>
    <n v="4"/>
    <n v="3"/>
    <n v="10"/>
    <n v="9"/>
    <n v="1"/>
    <n v="7"/>
  </r>
  <r>
    <n v="31"/>
    <x v="1"/>
    <s v="Travel_Rarely"/>
    <n v="311"/>
    <x v="1"/>
    <n v="20"/>
    <n v="3"/>
    <s v="Life Sciences"/>
    <n v="1881"/>
    <n v="2"/>
    <s v="Male"/>
    <n v="89"/>
    <n v="3"/>
    <n v="2"/>
    <s v="Laboratory Technician"/>
    <n v="3"/>
    <s v="Divorced"/>
    <n v="4197"/>
    <n v="18624"/>
    <n v="1"/>
    <s v="No"/>
    <n v="11"/>
    <n v="3"/>
    <n v="1"/>
    <n v="1"/>
    <n v="10"/>
    <n v="2"/>
    <n v="3"/>
    <n v="10"/>
    <n v="8"/>
    <n v="0"/>
    <n v="2"/>
  </r>
  <r>
    <n v="34"/>
    <x v="1"/>
    <s v="Travel_Rarely"/>
    <n v="1480"/>
    <x v="0"/>
    <n v="4"/>
    <n v="3"/>
    <s v="Life Sciences"/>
    <n v="1882"/>
    <n v="3"/>
    <s v="Male"/>
    <n v="64"/>
    <n v="3"/>
    <n v="3"/>
    <s v="Sales Executive"/>
    <n v="4"/>
    <s v="Married"/>
    <n v="9713"/>
    <n v="24444"/>
    <n v="2"/>
    <s v="Yes"/>
    <n v="13"/>
    <n v="3"/>
    <n v="4"/>
    <n v="3"/>
    <n v="9"/>
    <n v="3"/>
    <n v="3"/>
    <n v="5"/>
    <n v="3"/>
    <n v="1"/>
    <n v="0"/>
  </r>
  <r>
    <n v="29"/>
    <x v="1"/>
    <s v="Travel_Rarely"/>
    <n v="592"/>
    <x v="1"/>
    <n v="7"/>
    <n v="3"/>
    <s v="Life Sciences"/>
    <n v="1883"/>
    <n v="4"/>
    <s v="Male"/>
    <n v="59"/>
    <n v="3"/>
    <n v="1"/>
    <s v="Laboratory Technician"/>
    <n v="1"/>
    <s v="Single"/>
    <n v="2062"/>
    <n v="19384"/>
    <n v="3"/>
    <s v="No"/>
    <n v="14"/>
    <n v="3"/>
    <n v="2"/>
    <n v="0"/>
    <n v="11"/>
    <n v="2"/>
    <n v="3"/>
    <n v="3"/>
    <n v="2"/>
    <n v="1"/>
    <n v="2"/>
  </r>
  <r>
    <n v="37"/>
    <x v="1"/>
    <s v="Travel_Rarely"/>
    <n v="783"/>
    <x v="1"/>
    <n v="7"/>
    <n v="4"/>
    <s v="Medical"/>
    <n v="1885"/>
    <n v="4"/>
    <s v="Male"/>
    <n v="78"/>
    <n v="3"/>
    <n v="2"/>
    <s v="Research Scientist"/>
    <n v="1"/>
    <s v="Married"/>
    <n v="4284"/>
    <n v="13588"/>
    <n v="5"/>
    <s v="Yes"/>
    <n v="22"/>
    <n v="4"/>
    <n v="3"/>
    <n v="1"/>
    <n v="16"/>
    <n v="2"/>
    <n v="3"/>
    <n v="5"/>
    <n v="3"/>
    <n v="0"/>
    <n v="4"/>
  </r>
  <r>
    <n v="35"/>
    <x v="1"/>
    <s v="Travel_Rarely"/>
    <n v="219"/>
    <x v="1"/>
    <n v="16"/>
    <n v="2"/>
    <s v="Other"/>
    <n v="1886"/>
    <n v="4"/>
    <s v="Female"/>
    <n v="44"/>
    <n v="2"/>
    <n v="2"/>
    <s v="Manufacturing Director"/>
    <n v="2"/>
    <s v="Married"/>
    <n v="4788"/>
    <n v="25388"/>
    <n v="0"/>
    <s v="Yes"/>
    <n v="11"/>
    <n v="3"/>
    <n v="4"/>
    <n v="0"/>
    <n v="4"/>
    <n v="2"/>
    <n v="3"/>
    <n v="3"/>
    <n v="2"/>
    <n v="0"/>
    <n v="2"/>
  </r>
  <r>
    <n v="45"/>
    <x v="1"/>
    <s v="Travel_Rarely"/>
    <n v="556"/>
    <x v="1"/>
    <n v="25"/>
    <n v="2"/>
    <s v="Life Sciences"/>
    <n v="1888"/>
    <n v="2"/>
    <s v="Female"/>
    <n v="93"/>
    <n v="2"/>
    <n v="2"/>
    <s v="Manufacturing Director"/>
    <n v="4"/>
    <s v="Married"/>
    <n v="5906"/>
    <n v="23888"/>
    <n v="0"/>
    <s v="No"/>
    <n v="13"/>
    <n v="3"/>
    <n v="4"/>
    <n v="2"/>
    <n v="10"/>
    <n v="2"/>
    <n v="2"/>
    <n v="9"/>
    <n v="8"/>
    <n v="3"/>
    <n v="8"/>
  </r>
  <r>
    <n v="36"/>
    <x v="1"/>
    <s v="Travel_Frequently"/>
    <n v="1213"/>
    <x v="2"/>
    <n v="2"/>
    <n v="1"/>
    <s v="Human Resources"/>
    <n v="1890"/>
    <n v="2"/>
    <s v="Male"/>
    <n v="94"/>
    <n v="2"/>
    <n v="2"/>
    <s v="Human Resources"/>
    <n v="4"/>
    <s v="Single"/>
    <n v="3886"/>
    <n v="4223"/>
    <n v="1"/>
    <s v="No"/>
    <n v="21"/>
    <n v="4"/>
    <n v="4"/>
    <n v="0"/>
    <n v="10"/>
    <n v="2"/>
    <n v="2"/>
    <n v="10"/>
    <n v="1"/>
    <n v="0"/>
    <n v="8"/>
  </r>
  <r>
    <n v="40"/>
    <x v="1"/>
    <s v="Travel_Rarely"/>
    <n v="1137"/>
    <x v="1"/>
    <n v="1"/>
    <n v="4"/>
    <s v="Life Sciences"/>
    <n v="1892"/>
    <n v="1"/>
    <s v="Male"/>
    <n v="98"/>
    <n v="3"/>
    <n v="4"/>
    <s v="Manager"/>
    <n v="1"/>
    <s v="Divorced"/>
    <n v="16823"/>
    <n v="18991"/>
    <n v="2"/>
    <s v="No"/>
    <n v="11"/>
    <n v="3"/>
    <n v="1"/>
    <n v="1"/>
    <n v="22"/>
    <n v="3"/>
    <n v="3"/>
    <n v="19"/>
    <n v="7"/>
    <n v="11"/>
    <n v="16"/>
  </r>
  <r>
    <n v="26"/>
    <x v="1"/>
    <s v="Travel_Rarely"/>
    <n v="482"/>
    <x v="1"/>
    <n v="1"/>
    <n v="2"/>
    <s v="Life Sciences"/>
    <n v="1893"/>
    <n v="2"/>
    <s v="Female"/>
    <n v="90"/>
    <n v="2"/>
    <n v="1"/>
    <s v="Research Scientist"/>
    <n v="3"/>
    <s v="Married"/>
    <n v="2933"/>
    <n v="14908"/>
    <n v="1"/>
    <s v="Yes"/>
    <n v="13"/>
    <n v="3"/>
    <n v="3"/>
    <n v="1"/>
    <n v="1"/>
    <n v="3"/>
    <n v="2"/>
    <n v="1"/>
    <n v="0"/>
    <n v="1"/>
    <n v="0"/>
  </r>
  <r>
    <n v="27"/>
    <x v="1"/>
    <s v="Travel_Rarely"/>
    <n v="511"/>
    <x v="0"/>
    <n v="2"/>
    <n v="2"/>
    <s v="Medical"/>
    <n v="1898"/>
    <n v="1"/>
    <s v="Female"/>
    <n v="89"/>
    <n v="4"/>
    <n v="2"/>
    <s v="Sales Executive"/>
    <n v="3"/>
    <s v="Single"/>
    <n v="6500"/>
    <n v="26997"/>
    <n v="0"/>
    <s v="No"/>
    <n v="14"/>
    <n v="3"/>
    <n v="2"/>
    <n v="0"/>
    <n v="9"/>
    <n v="5"/>
    <n v="2"/>
    <n v="8"/>
    <n v="7"/>
    <n v="0"/>
    <n v="7"/>
  </r>
  <r>
    <n v="48"/>
    <x v="1"/>
    <s v="Travel_Frequently"/>
    <n v="117"/>
    <x v="1"/>
    <n v="22"/>
    <n v="3"/>
    <s v="Medical"/>
    <n v="1900"/>
    <n v="4"/>
    <s v="Female"/>
    <n v="58"/>
    <n v="3"/>
    <n v="4"/>
    <s v="Manager"/>
    <n v="4"/>
    <s v="Divorced"/>
    <n v="17174"/>
    <n v="2437"/>
    <n v="3"/>
    <s v="No"/>
    <n v="11"/>
    <n v="3"/>
    <n v="2"/>
    <n v="1"/>
    <n v="24"/>
    <n v="3"/>
    <n v="3"/>
    <n v="22"/>
    <n v="17"/>
    <n v="4"/>
    <n v="7"/>
  </r>
  <r>
    <n v="44"/>
    <x v="1"/>
    <s v="Travel_Rarely"/>
    <n v="170"/>
    <x v="1"/>
    <n v="1"/>
    <n v="4"/>
    <s v="Life Sciences"/>
    <n v="1903"/>
    <n v="2"/>
    <s v="Male"/>
    <n v="78"/>
    <n v="4"/>
    <n v="2"/>
    <s v="Healthcare Representative"/>
    <n v="1"/>
    <s v="Married"/>
    <n v="5033"/>
    <n v="9364"/>
    <n v="2"/>
    <s v="No"/>
    <n v="15"/>
    <n v="3"/>
    <n v="4"/>
    <n v="1"/>
    <n v="10"/>
    <n v="5"/>
    <n v="3"/>
    <n v="2"/>
    <n v="0"/>
    <n v="2"/>
    <n v="2"/>
  </r>
  <r>
    <n v="34"/>
    <x v="0"/>
    <s v="Non-Travel"/>
    <n v="967"/>
    <x v="1"/>
    <n v="16"/>
    <n v="4"/>
    <s v="Technical Degree"/>
    <n v="1905"/>
    <n v="4"/>
    <s v="Male"/>
    <n v="85"/>
    <n v="1"/>
    <n v="1"/>
    <s v="Research Scientist"/>
    <n v="1"/>
    <s v="Married"/>
    <n v="2307"/>
    <n v="14460"/>
    <n v="1"/>
    <s v="Yes"/>
    <n v="23"/>
    <n v="4"/>
    <n v="2"/>
    <n v="1"/>
    <n v="5"/>
    <n v="2"/>
    <n v="3"/>
    <n v="5"/>
    <n v="2"/>
    <n v="3"/>
    <n v="0"/>
  </r>
  <r>
    <n v="56"/>
    <x v="0"/>
    <s v="Travel_Rarely"/>
    <n v="1162"/>
    <x v="1"/>
    <n v="24"/>
    <n v="2"/>
    <s v="Life Sciences"/>
    <n v="1907"/>
    <n v="1"/>
    <s v="Male"/>
    <n v="97"/>
    <n v="3"/>
    <n v="1"/>
    <s v="Laboratory Technician"/>
    <n v="4"/>
    <s v="Single"/>
    <n v="2587"/>
    <n v="10261"/>
    <n v="1"/>
    <s v="No"/>
    <n v="16"/>
    <n v="3"/>
    <n v="4"/>
    <n v="0"/>
    <n v="5"/>
    <n v="3"/>
    <n v="3"/>
    <n v="4"/>
    <n v="2"/>
    <n v="1"/>
    <n v="0"/>
  </r>
  <r>
    <n v="36"/>
    <x v="1"/>
    <s v="Travel_Rarely"/>
    <n v="335"/>
    <x v="0"/>
    <n v="17"/>
    <n v="2"/>
    <s v="Marketing"/>
    <n v="1908"/>
    <n v="3"/>
    <s v="Male"/>
    <n v="33"/>
    <n v="2"/>
    <n v="2"/>
    <s v="Sales Executive"/>
    <n v="2"/>
    <s v="Married"/>
    <n v="5507"/>
    <n v="16822"/>
    <n v="2"/>
    <s v="No"/>
    <n v="16"/>
    <n v="3"/>
    <n v="3"/>
    <n v="2"/>
    <n v="12"/>
    <n v="1"/>
    <n v="1"/>
    <n v="4"/>
    <n v="2"/>
    <n v="1"/>
    <n v="3"/>
  </r>
  <r>
    <n v="41"/>
    <x v="1"/>
    <s v="Travel_Rarely"/>
    <n v="337"/>
    <x v="0"/>
    <n v="8"/>
    <n v="3"/>
    <s v="Marketing"/>
    <n v="1909"/>
    <n v="3"/>
    <s v="Female"/>
    <n v="54"/>
    <n v="3"/>
    <n v="2"/>
    <s v="Sales Executive"/>
    <n v="2"/>
    <s v="Married"/>
    <n v="4393"/>
    <n v="26841"/>
    <n v="5"/>
    <s v="No"/>
    <n v="21"/>
    <n v="4"/>
    <n v="3"/>
    <n v="1"/>
    <n v="14"/>
    <n v="3"/>
    <n v="3"/>
    <n v="5"/>
    <n v="4"/>
    <n v="1"/>
    <n v="4"/>
  </r>
  <r>
    <n v="42"/>
    <x v="1"/>
    <s v="Travel_Rarely"/>
    <n v="1396"/>
    <x v="1"/>
    <n v="6"/>
    <n v="3"/>
    <s v="Medical"/>
    <n v="1911"/>
    <n v="3"/>
    <s v="Male"/>
    <n v="83"/>
    <n v="3"/>
    <n v="3"/>
    <s v="Research Director"/>
    <n v="1"/>
    <s v="Married"/>
    <n v="13348"/>
    <n v="14842"/>
    <n v="9"/>
    <s v="No"/>
    <n v="13"/>
    <n v="3"/>
    <n v="2"/>
    <n v="1"/>
    <n v="18"/>
    <n v="3"/>
    <n v="4"/>
    <n v="13"/>
    <n v="7"/>
    <n v="5"/>
    <n v="7"/>
  </r>
  <r>
    <n v="31"/>
    <x v="1"/>
    <s v="Travel_Rarely"/>
    <n v="1079"/>
    <x v="0"/>
    <n v="10"/>
    <n v="2"/>
    <s v="Medical"/>
    <n v="1912"/>
    <n v="3"/>
    <s v="Female"/>
    <n v="86"/>
    <n v="3"/>
    <n v="2"/>
    <s v="Sales Executive"/>
    <n v="4"/>
    <s v="Divorced"/>
    <n v="6583"/>
    <n v="20115"/>
    <n v="2"/>
    <s v="Yes"/>
    <n v="11"/>
    <n v="3"/>
    <n v="4"/>
    <n v="1"/>
    <n v="8"/>
    <n v="2"/>
    <n v="3"/>
    <n v="5"/>
    <n v="2"/>
    <n v="1"/>
    <n v="4"/>
  </r>
  <r>
    <n v="34"/>
    <x v="1"/>
    <s v="Travel_Rarely"/>
    <n v="735"/>
    <x v="0"/>
    <n v="3"/>
    <n v="1"/>
    <s v="Medical"/>
    <n v="1915"/>
    <n v="4"/>
    <s v="Female"/>
    <n v="75"/>
    <n v="2"/>
    <n v="2"/>
    <s v="Sales Executive"/>
    <n v="4"/>
    <s v="Married"/>
    <n v="8103"/>
    <n v="16495"/>
    <n v="3"/>
    <s v="Yes"/>
    <n v="12"/>
    <n v="3"/>
    <n v="3"/>
    <n v="0"/>
    <n v="9"/>
    <n v="3"/>
    <n v="2"/>
    <n v="4"/>
    <n v="2"/>
    <n v="0"/>
    <n v="1"/>
  </r>
  <r>
    <n v="31"/>
    <x v="1"/>
    <s v="Travel_Rarely"/>
    <n v="471"/>
    <x v="1"/>
    <n v="4"/>
    <n v="3"/>
    <s v="Medical"/>
    <n v="1916"/>
    <n v="1"/>
    <s v="Female"/>
    <n v="62"/>
    <n v="4"/>
    <n v="1"/>
    <s v="Laboratory Technician"/>
    <n v="3"/>
    <s v="Divorced"/>
    <n v="3978"/>
    <n v="16031"/>
    <n v="8"/>
    <s v="No"/>
    <n v="12"/>
    <n v="3"/>
    <n v="2"/>
    <n v="1"/>
    <n v="4"/>
    <n v="0"/>
    <n v="2"/>
    <n v="2"/>
    <n v="2"/>
    <n v="2"/>
    <n v="2"/>
  </r>
  <r>
    <n v="26"/>
    <x v="1"/>
    <s v="Travel_Frequently"/>
    <n v="1096"/>
    <x v="1"/>
    <n v="6"/>
    <n v="3"/>
    <s v="Other"/>
    <n v="1918"/>
    <n v="3"/>
    <s v="Male"/>
    <n v="61"/>
    <n v="4"/>
    <n v="1"/>
    <s v="Laboratory Technician"/>
    <n v="4"/>
    <s v="Married"/>
    <n v="2544"/>
    <n v="7102"/>
    <n v="0"/>
    <s v="No"/>
    <n v="18"/>
    <n v="3"/>
    <n v="1"/>
    <n v="1"/>
    <n v="8"/>
    <n v="3"/>
    <n v="3"/>
    <n v="7"/>
    <n v="7"/>
    <n v="7"/>
    <n v="7"/>
  </r>
  <r>
    <n v="45"/>
    <x v="1"/>
    <s v="Travel_Frequently"/>
    <n v="1297"/>
    <x v="1"/>
    <n v="1"/>
    <n v="4"/>
    <s v="Medical"/>
    <n v="1922"/>
    <n v="2"/>
    <s v="Male"/>
    <n v="44"/>
    <n v="3"/>
    <n v="2"/>
    <s v="Healthcare Representative"/>
    <n v="3"/>
    <s v="Single"/>
    <n v="5399"/>
    <n v="14511"/>
    <n v="4"/>
    <s v="No"/>
    <n v="12"/>
    <n v="3"/>
    <n v="3"/>
    <n v="0"/>
    <n v="12"/>
    <n v="3"/>
    <n v="3"/>
    <n v="4"/>
    <n v="2"/>
    <n v="0"/>
    <n v="3"/>
  </r>
  <r>
    <n v="33"/>
    <x v="1"/>
    <s v="Travel_Rarely"/>
    <n v="217"/>
    <x v="0"/>
    <n v="10"/>
    <n v="4"/>
    <s v="Marketing"/>
    <n v="1924"/>
    <n v="2"/>
    <s v="Male"/>
    <n v="43"/>
    <n v="3"/>
    <n v="2"/>
    <s v="Sales Executive"/>
    <n v="3"/>
    <s v="Single"/>
    <n v="5487"/>
    <n v="10410"/>
    <n v="1"/>
    <s v="No"/>
    <n v="14"/>
    <n v="3"/>
    <n v="2"/>
    <n v="0"/>
    <n v="10"/>
    <n v="2"/>
    <n v="2"/>
    <n v="10"/>
    <n v="4"/>
    <n v="0"/>
    <n v="9"/>
  </r>
  <r>
    <n v="28"/>
    <x v="1"/>
    <s v="Travel_Frequently"/>
    <n v="783"/>
    <x v="0"/>
    <n v="1"/>
    <n v="2"/>
    <s v="Life Sciences"/>
    <n v="1927"/>
    <n v="3"/>
    <s v="Male"/>
    <n v="42"/>
    <n v="2"/>
    <n v="2"/>
    <s v="Sales Executive"/>
    <n v="4"/>
    <s v="Married"/>
    <n v="6834"/>
    <n v="19255"/>
    <n v="1"/>
    <s v="Yes"/>
    <n v="12"/>
    <n v="3"/>
    <n v="3"/>
    <n v="1"/>
    <n v="7"/>
    <n v="2"/>
    <n v="3"/>
    <n v="7"/>
    <n v="7"/>
    <n v="0"/>
    <n v="7"/>
  </r>
  <r>
    <n v="29"/>
    <x v="0"/>
    <s v="Travel_Frequently"/>
    <n v="746"/>
    <x v="0"/>
    <n v="24"/>
    <n v="3"/>
    <s v="Technical Degree"/>
    <n v="1928"/>
    <n v="3"/>
    <s v="Male"/>
    <n v="45"/>
    <n v="4"/>
    <n v="1"/>
    <s v="Sales Representative"/>
    <n v="1"/>
    <s v="Single"/>
    <n v="1091"/>
    <n v="10642"/>
    <n v="1"/>
    <s v="No"/>
    <n v="17"/>
    <n v="3"/>
    <n v="4"/>
    <n v="0"/>
    <n v="1"/>
    <n v="3"/>
    <n v="3"/>
    <n v="1"/>
    <n v="0"/>
    <n v="0"/>
    <n v="0"/>
  </r>
  <r>
    <n v="39"/>
    <x v="1"/>
    <s v="Non-Travel"/>
    <n v="1251"/>
    <x v="0"/>
    <n v="21"/>
    <n v="4"/>
    <s v="Life Sciences"/>
    <n v="1929"/>
    <n v="1"/>
    <s v="Female"/>
    <n v="32"/>
    <n v="1"/>
    <n v="2"/>
    <s v="Sales Executive"/>
    <n v="3"/>
    <s v="Married"/>
    <n v="5736"/>
    <n v="3987"/>
    <n v="6"/>
    <s v="No"/>
    <n v="19"/>
    <n v="3"/>
    <n v="3"/>
    <n v="1"/>
    <n v="10"/>
    <n v="1"/>
    <n v="3"/>
    <n v="3"/>
    <n v="2"/>
    <n v="1"/>
    <n v="2"/>
  </r>
  <r>
    <n v="27"/>
    <x v="1"/>
    <s v="Travel_Rarely"/>
    <n v="1354"/>
    <x v="1"/>
    <n v="2"/>
    <n v="4"/>
    <s v="Technical Degree"/>
    <n v="1931"/>
    <n v="2"/>
    <s v="Male"/>
    <n v="41"/>
    <n v="3"/>
    <n v="1"/>
    <s v="Research Scientist"/>
    <n v="2"/>
    <s v="Married"/>
    <n v="2226"/>
    <n v="6073"/>
    <n v="1"/>
    <s v="No"/>
    <n v="11"/>
    <n v="3"/>
    <n v="3"/>
    <n v="1"/>
    <n v="6"/>
    <n v="3"/>
    <n v="2"/>
    <n v="5"/>
    <n v="3"/>
    <n v="1"/>
    <n v="2"/>
  </r>
  <r>
    <n v="34"/>
    <x v="1"/>
    <s v="Travel_Frequently"/>
    <n v="735"/>
    <x v="1"/>
    <n v="22"/>
    <n v="4"/>
    <s v="Other"/>
    <n v="1932"/>
    <n v="3"/>
    <s v="Male"/>
    <n v="86"/>
    <n v="2"/>
    <n v="2"/>
    <s v="Research Scientist"/>
    <n v="4"/>
    <s v="Married"/>
    <n v="5747"/>
    <n v="26496"/>
    <n v="1"/>
    <s v="Yes"/>
    <n v="15"/>
    <n v="3"/>
    <n v="2"/>
    <n v="0"/>
    <n v="16"/>
    <n v="3"/>
    <n v="3"/>
    <n v="15"/>
    <n v="10"/>
    <n v="6"/>
    <n v="11"/>
  </r>
  <r>
    <n v="28"/>
    <x v="0"/>
    <s v="Travel_Rarely"/>
    <n v="1475"/>
    <x v="0"/>
    <n v="13"/>
    <n v="2"/>
    <s v="Marketing"/>
    <n v="1933"/>
    <n v="4"/>
    <s v="Female"/>
    <n v="84"/>
    <n v="3"/>
    <n v="2"/>
    <s v="Sales Executive"/>
    <n v="3"/>
    <s v="Single"/>
    <n v="9854"/>
    <n v="23352"/>
    <n v="3"/>
    <s v="Yes"/>
    <n v="11"/>
    <n v="3"/>
    <n v="4"/>
    <n v="0"/>
    <n v="6"/>
    <n v="0"/>
    <n v="3"/>
    <n v="2"/>
    <n v="0"/>
    <n v="2"/>
    <n v="2"/>
  </r>
  <r>
    <n v="47"/>
    <x v="1"/>
    <s v="Non-Travel"/>
    <n v="1169"/>
    <x v="1"/>
    <n v="14"/>
    <n v="4"/>
    <s v="Technical Degree"/>
    <n v="1934"/>
    <n v="3"/>
    <s v="Male"/>
    <n v="64"/>
    <n v="3"/>
    <n v="2"/>
    <s v="Research Scientist"/>
    <n v="2"/>
    <s v="Married"/>
    <n v="5467"/>
    <n v="2125"/>
    <n v="8"/>
    <s v="No"/>
    <n v="18"/>
    <n v="3"/>
    <n v="3"/>
    <n v="1"/>
    <n v="16"/>
    <n v="4"/>
    <n v="4"/>
    <n v="8"/>
    <n v="7"/>
    <n v="1"/>
    <n v="7"/>
  </r>
  <r>
    <n v="56"/>
    <x v="1"/>
    <s v="Travel_Rarely"/>
    <n v="1443"/>
    <x v="0"/>
    <n v="11"/>
    <n v="5"/>
    <s v="Marketing"/>
    <n v="1935"/>
    <n v="4"/>
    <s v="Female"/>
    <n v="89"/>
    <n v="2"/>
    <n v="2"/>
    <s v="Sales Executive"/>
    <n v="1"/>
    <s v="Married"/>
    <n v="5380"/>
    <n v="20328"/>
    <n v="4"/>
    <s v="No"/>
    <n v="16"/>
    <n v="3"/>
    <n v="3"/>
    <n v="1"/>
    <n v="6"/>
    <n v="3"/>
    <n v="3"/>
    <n v="0"/>
    <n v="0"/>
    <n v="0"/>
    <n v="0"/>
  </r>
  <r>
    <n v="39"/>
    <x v="1"/>
    <s v="Travel_Rarely"/>
    <n v="867"/>
    <x v="1"/>
    <n v="9"/>
    <n v="2"/>
    <s v="Medical"/>
    <n v="1936"/>
    <n v="1"/>
    <s v="Male"/>
    <n v="87"/>
    <n v="3"/>
    <n v="2"/>
    <s v="Manufacturing Director"/>
    <n v="1"/>
    <s v="Married"/>
    <n v="5151"/>
    <n v="12315"/>
    <n v="1"/>
    <s v="No"/>
    <n v="25"/>
    <n v="4"/>
    <n v="4"/>
    <n v="1"/>
    <n v="10"/>
    <n v="3"/>
    <n v="3"/>
    <n v="10"/>
    <n v="0"/>
    <n v="7"/>
    <n v="9"/>
  </r>
  <r>
    <n v="38"/>
    <x v="1"/>
    <s v="Travel_Frequently"/>
    <n v="1394"/>
    <x v="1"/>
    <n v="8"/>
    <n v="3"/>
    <s v="Medical"/>
    <n v="1937"/>
    <n v="4"/>
    <s v="Female"/>
    <n v="58"/>
    <n v="2"/>
    <n v="2"/>
    <s v="Research Scientist"/>
    <n v="2"/>
    <s v="Divorced"/>
    <n v="2133"/>
    <n v="18115"/>
    <n v="1"/>
    <s v="Yes"/>
    <n v="16"/>
    <n v="3"/>
    <n v="3"/>
    <n v="1"/>
    <n v="20"/>
    <n v="3"/>
    <n v="3"/>
    <n v="20"/>
    <n v="11"/>
    <n v="0"/>
    <n v="7"/>
  </r>
  <r>
    <n v="58"/>
    <x v="1"/>
    <s v="Travel_Rarely"/>
    <n v="605"/>
    <x v="0"/>
    <n v="21"/>
    <n v="3"/>
    <s v="Life Sciences"/>
    <n v="1938"/>
    <n v="4"/>
    <s v="Female"/>
    <n v="72"/>
    <n v="3"/>
    <n v="4"/>
    <s v="Manager"/>
    <n v="4"/>
    <s v="Married"/>
    <n v="17875"/>
    <n v="11761"/>
    <n v="4"/>
    <s v="Yes"/>
    <n v="13"/>
    <n v="3"/>
    <n v="3"/>
    <n v="1"/>
    <n v="29"/>
    <n v="2"/>
    <n v="2"/>
    <n v="1"/>
    <n v="0"/>
    <n v="0"/>
    <n v="0"/>
  </r>
  <r>
    <n v="32"/>
    <x v="0"/>
    <s v="Travel_Frequently"/>
    <n v="238"/>
    <x v="1"/>
    <n v="5"/>
    <n v="2"/>
    <s v="Life Sciences"/>
    <n v="1939"/>
    <n v="1"/>
    <s v="Female"/>
    <n v="47"/>
    <n v="4"/>
    <n v="1"/>
    <s v="Research Scientist"/>
    <n v="3"/>
    <s v="Single"/>
    <n v="2432"/>
    <n v="15318"/>
    <n v="3"/>
    <s v="Yes"/>
    <n v="14"/>
    <n v="3"/>
    <n v="1"/>
    <n v="0"/>
    <n v="8"/>
    <n v="2"/>
    <n v="3"/>
    <n v="4"/>
    <n v="1"/>
    <n v="0"/>
    <n v="3"/>
  </r>
  <r>
    <n v="38"/>
    <x v="1"/>
    <s v="Travel_Rarely"/>
    <n v="1206"/>
    <x v="1"/>
    <n v="9"/>
    <n v="2"/>
    <s v="Life Sciences"/>
    <n v="1940"/>
    <n v="2"/>
    <s v="Male"/>
    <n v="71"/>
    <n v="3"/>
    <n v="1"/>
    <s v="Research Scientist"/>
    <n v="4"/>
    <s v="Divorced"/>
    <n v="4771"/>
    <n v="14293"/>
    <n v="2"/>
    <s v="No"/>
    <n v="19"/>
    <n v="3"/>
    <n v="4"/>
    <n v="2"/>
    <n v="10"/>
    <n v="0"/>
    <n v="4"/>
    <n v="5"/>
    <n v="2"/>
    <n v="0"/>
    <n v="3"/>
  </r>
  <r>
    <n v="49"/>
    <x v="1"/>
    <s v="Travel_Frequently"/>
    <n v="1064"/>
    <x v="1"/>
    <n v="2"/>
    <n v="1"/>
    <s v="Life Sciences"/>
    <n v="1941"/>
    <n v="2"/>
    <s v="Male"/>
    <n v="42"/>
    <n v="3"/>
    <n v="5"/>
    <s v="Research Director"/>
    <n v="4"/>
    <s v="Married"/>
    <n v="19161"/>
    <n v="13738"/>
    <n v="3"/>
    <s v="No"/>
    <n v="15"/>
    <n v="3"/>
    <n v="4"/>
    <n v="0"/>
    <n v="28"/>
    <n v="3"/>
    <n v="3"/>
    <n v="5"/>
    <n v="4"/>
    <n v="4"/>
    <n v="3"/>
  </r>
  <r>
    <n v="42"/>
    <x v="1"/>
    <s v="Travel_Rarely"/>
    <n v="419"/>
    <x v="0"/>
    <n v="12"/>
    <n v="4"/>
    <s v="Marketing"/>
    <n v="1943"/>
    <n v="2"/>
    <s v="Male"/>
    <n v="77"/>
    <n v="3"/>
    <n v="2"/>
    <s v="Sales Executive"/>
    <n v="4"/>
    <s v="Divorced"/>
    <n v="5087"/>
    <n v="2900"/>
    <n v="3"/>
    <s v="Yes"/>
    <n v="12"/>
    <n v="3"/>
    <n v="3"/>
    <n v="2"/>
    <n v="14"/>
    <n v="4"/>
    <n v="3"/>
    <n v="0"/>
    <n v="0"/>
    <n v="0"/>
    <n v="0"/>
  </r>
  <r>
    <n v="27"/>
    <x v="0"/>
    <s v="Travel_Frequently"/>
    <n v="1337"/>
    <x v="2"/>
    <n v="22"/>
    <n v="3"/>
    <s v="Human Resources"/>
    <n v="1944"/>
    <n v="1"/>
    <s v="Female"/>
    <n v="58"/>
    <n v="2"/>
    <n v="1"/>
    <s v="Human Resources"/>
    <n v="2"/>
    <s v="Married"/>
    <n v="2863"/>
    <n v="19555"/>
    <n v="1"/>
    <s v="No"/>
    <n v="12"/>
    <n v="3"/>
    <n v="1"/>
    <n v="0"/>
    <n v="1"/>
    <n v="2"/>
    <n v="3"/>
    <n v="1"/>
    <n v="0"/>
    <n v="0"/>
    <n v="0"/>
  </r>
  <r>
    <n v="35"/>
    <x v="1"/>
    <s v="Travel_Rarely"/>
    <n v="682"/>
    <x v="0"/>
    <n v="18"/>
    <n v="4"/>
    <s v="Medical"/>
    <n v="1945"/>
    <n v="2"/>
    <s v="Male"/>
    <n v="71"/>
    <n v="3"/>
    <n v="2"/>
    <s v="Sales Executive"/>
    <n v="1"/>
    <s v="Married"/>
    <n v="5561"/>
    <n v="15975"/>
    <n v="0"/>
    <s v="No"/>
    <n v="16"/>
    <n v="3"/>
    <n v="4"/>
    <n v="1"/>
    <n v="6"/>
    <n v="2"/>
    <n v="1"/>
    <n v="5"/>
    <n v="3"/>
    <n v="0"/>
    <n v="4"/>
  </r>
  <r>
    <n v="28"/>
    <x v="1"/>
    <s v="Non-Travel"/>
    <n v="1103"/>
    <x v="1"/>
    <n v="16"/>
    <n v="3"/>
    <s v="Medical"/>
    <n v="1947"/>
    <n v="3"/>
    <s v="Male"/>
    <n v="49"/>
    <n v="3"/>
    <n v="1"/>
    <s v="Research Scientist"/>
    <n v="3"/>
    <s v="Single"/>
    <n v="2144"/>
    <n v="2122"/>
    <n v="1"/>
    <s v="No"/>
    <n v="14"/>
    <n v="3"/>
    <n v="3"/>
    <n v="0"/>
    <n v="5"/>
    <n v="3"/>
    <n v="2"/>
    <n v="5"/>
    <n v="3"/>
    <n v="1"/>
    <n v="4"/>
  </r>
  <r>
    <n v="31"/>
    <x v="1"/>
    <s v="Non-Travel"/>
    <n v="976"/>
    <x v="1"/>
    <n v="3"/>
    <n v="2"/>
    <s v="Medical"/>
    <n v="1948"/>
    <n v="3"/>
    <s v="Male"/>
    <n v="48"/>
    <n v="3"/>
    <n v="1"/>
    <s v="Research Scientist"/>
    <n v="1"/>
    <s v="Divorced"/>
    <n v="3065"/>
    <n v="3995"/>
    <n v="1"/>
    <s v="Yes"/>
    <n v="13"/>
    <n v="3"/>
    <n v="4"/>
    <n v="1"/>
    <n v="4"/>
    <n v="3"/>
    <n v="4"/>
    <n v="4"/>
    <n v="2"/>
    <n v="2"/>
    <n v="3"/>
  </r>
  <r>
    <n v="36"/>
    <x v="1"/>
    <s v="Non-Travel"/>
    <n v="1351"/>
    <x v="1"/>
    <n v="9"/>
    <n v="4"/>
    <s v="Life Sciences"/>
    <n v="1949"/>
    <n v="1"/>
    <s v="Male"/>
    <n v="66"/>
    <n v="4"/>
    <n v="1"/>
    <s v="Laboratory Technician"/>
    <n v="2"/>
    <s v="Married"/>
    <n v="2810"/>
    <n v="9238"/>
    <n v="1"/>
    <s v="No"/>
    <n v="22"/>
    <n v="4"/>
    <n v="2"/>
    <n v="0"/>
    <n v="5"/>
    <n v="3"/>
    <n v="3"/>
    <n v="5"/>
    <n v="4"/>
    <n v="0"/>
    <n v="2"/>
  </r>
  <r>
    <n v="34"/>
    <x v="1"/>
    <s v="Travel_Rarely"/>
    <n v="937"/>
    <x v="0"/>
    <n v="1"/>
    <n v="3"/>
    <s v="Marketing"/>
    <n v="1950"/>
    <n v="1"/>
    <s v="Male"/>
    <n v="32"/>
    <n v="3"/>
    <n v="3"/>
    <s v="Sales Executive"/>
    <n v="4"/>
    <s v="Single"/>
    <n v="9888"/>
    <n v="6770"/>
    <n v="1"/>
    <s v="No"/>
    <n v="21"/>
    <n v="4"/>
    <n v="1"/>
    <n v="0"/>
    <n v="14"/>
    <n v="3"/>
    <n v="2"/>
    <n v="14"/>
    <n v="8"/>
    <n v="2"/>
    <n v="1"/>
  </r>
  <r>
    <n v="34"/>
    <x v="1"/>
    <s v="Travel_Rarely"/>
    <n v="1239"/>
    <x v="0"/>
    <n v="13"/>
    <n v="4"/>
    <s v="Medical"/>
    <n v="1951"/>
    <n v="4"/>
    <s v="Male"/>
    <n v="39"/>
    <n v="3"/>
    <n v="3"/>
    <s v="Sales Executive"/>
    <n v="3"/>
    <s v="Divorced"/>
    <n v="8628"/>
    <n v="22914"/>
    <n v="1"/>
    <s v="No"/>
    <n v="18"/>
    <n v="3"/>
    <n v="3"/>
    <n v="1"/>
    <n v="9"/>
    <n v="2"/>
    <n v="2"/>
    <n v="8"/>
    <n v="7"/>
    <n v="1"/>
    <n v="1"/>
  </r>
  <r>
    <n v="26"/>
    <x v="1"/>
    <s v="Travel_Rarely"/>
    <n v="157"/>
    <x v="1"/>
    <n v="1"/>
    <n v="3"/>
    <s v="Medical"/>
    <n v="1952"/>
    <n v="3"/>
    <s v="Male"/>
    <n v="95"/>
    <n v="3"/>
    <n v="1"/>
    <s v="Laboratory Technician"/>
    <n v="1"/>
    <s v="Single"/>
    <n v="2867"/>
    <n v="20006"/>
    <n v="0"/>
    <s v="No"/>
    <n v="13"/>
    <n v="3"/>
    <n v="4"/>
    <n v="0"/>
    <n v="8"/>
    <n v="6"/>
    <n v="2"/>
    <n v="7"/>
    <n v="7"/>
    <n v="7"/>
    <n v="6"/>
  </r>
  <r>
    <n v="29"/>
    <x v="1"/>
    <s v="Travel_Rarely"/>
    <n v="136"/>
    <x v="1"/>
    <n v="1"/>
    <n v="3"/>
    <s v="Life Sciences"/>
    <n v="1954"/>
    <n v="1"/>
    <s v="Male"/>
    <n v="89"/>
    <n v="3"/>
    <n v="2"/>
    <s v="Healthcare Representative"/>
    <n v="1"/>
    <s v="Married"/>
    <n v="5373"/>
    <n v="6225"/>
    <n v="0"/>
    <s v="No"/>
    <n v="12"/>
    <n v="3"/>
    <n v="1"/>
    <n v="1"/>
    <n v="6"/>
    <n v="5"/>
    <n v="2"/>
    <n v="5"/>
    <n v="3"/>
    <n v="0"/>
    <n v="2"/>
  </r>
  <r>
    <n v="32"/>
    <x v="1"/>
    <s v="Non-Travel"/>
    <n v="1146"/>
    <x v="1"/>
    <n v="15"/>
    <n v="4"/>
    <s v="Medical"/>
    <n v="1955"/>
    <n v="3"/>
    <s v="Female"/>
    <n v="34"/>
    <n v="3"/>
    <n v="2"/>
    <s v="Healthcare Representative"/>
    <n v="4"/>
    <s v="Divorced"/>
    <n v="6667"/>
    <n v="16542"/>
    <n v="5"/>
    <s v="No"/>
    <n v="18"/>
    <n v="3"/>
    <n v="2"/>
    <n v="1"/>
    <n v="9"/>
    <n v="6"/>
    <n v="3"/>
    <n v="5"/>
    <n v="1"/>
    <n v="1"/>
    <n v="2"/>
  </r>
  <r>
    <n v="31"/>
    <x v="1"/>
    <s v="Travel_Frequently"/>
    <n v="1125"/>
    <x v="1"/>
    <n v="1"/>
    <n v="3"/>
    <s v="Life Sciences"/>
    <n v="1956"/>
    <n v="4"/>
    <s v="Male"/>
    <n v="48"/>
    <n v="1"/>
    <n v="2"/>
    <s v="Research Scientist"/>
    <n v="1"/>
    <s v="Married"/>
    <n v="5003"/>
    <n v="5771"/>
    <n v="1"/>
    <s v="No"/>
    <n v="21"/>
    <n v="4"/>
    <n v="2"/>
    <n v="0"/>
    <n v="10"/>
    <n v="6"/>
    <n v="3"/>
    <n v="10"/>
    <n v="8"/>
    <n v="8"/>
    <n v="7"/>
  </r>
  <r>
    <n v="28"/>
    <x v="0"/>
    <s v="Travel_Rarely"/>
    <n v="1404"/>
    <x v="1"/>
    <n v="17"/>
    <n v="3"/>
    <s v="Technical Degree"/>
    <n v="1960"/>
    <n v="3"/>
    <s v="Male"/>
    <n v="32"/>
    <n v="2"/>
    <n v="1"/>
    <s v="Laboratory Technician"/>
    <n v="4"/>
    <s v="Divorced"/>
    <n v="2367"/>
    <n v="18779"/>
    <n v="5"/>
    <s v="No"/>
    <n v="12"/>
    <n v="3"/>
    <n v="1"/>
    <n v="1"/>
    <n v="6"/>
    <n v="2"/>
    <n v="2"/>
    <n v="4"/>
    <n v="1"/>
    <n v="0"/>
    <n v="3"/>
  </r>
  <r>
    <n v="38"/>
    <x v="1"/>
    <s v="Travel_Rarely"/>
    <n v="1404"/>
    <x v="0"/>
    <n v="1"/>
    <n v="3"/>
    <s v="Life Sciences"/>
    <n v="1961"/>
    <n v="1"/>
    <s v="Male"/>
    <n v="59"/>
    <n v="2"/>
    <n v="1"/>
    <s v="Sales Representative"/>
    <n v="1"/>
    <s v="Single"/>
    <n v="2858"/>
    <n v="11473"/>
    <n v="4"/>
    <s v="No"/>
    <n v="14"/>
    <n v="3"/>
    <n v="1"/>
    <n v="0"/>
    <n v="20"/>
    <n v="3"/>
    <n v="2"/>
    <n v="1"/>
    <n v="0"/>
    <n v="0"/>
    <n v="0"/>
  </r>
  <r>
    <n v="35"/>
    <x v="1"/>
    <s v="Travel_Rarely"/>
    <n v="1224"/>
    <x v="0"/>
    <n v="7"/>
    <n v="4"/>
    <s v="Life Sciences"/>
    <n v="1962"/>
    <n v="3"/>
    <s v="Female"/>
    <n v="55"/>
    <n v="3"/>
    <n v="2"/>
    <s v="Sales Executive"/>
    <n v="4"/>
    <s v="Married"/>
    <n v="5204"/>
    <n v="13586"/>
    <n v="1"/>
    <s v="Yes"/>
    <n v="11"/>
    <n v="3"/>
    <n v="4"/>
    <n v="0"/>
    <n v="10"/>
    <n v="2"/>
    <n v="3"/>
    <n v="10"/>
    <n v="8"/>
    <n v="0"/>
    <n v="9"/>
  </r>
  <r>
    <n v="27"/>
    <x v="1"/>
    <s v="Travel_Rarely"/>
    <n v="954"/>
    <x v="0"/>
    <n v="9"/>
    <n v="3"/>
    <s v="Marketing"/>
    <n v="1965"/>
    <n v="4"/>
    <s v="Male"/>
    <n v="44"/>
    <n v="3"/>
    <n v="2"/>
    <s v="Sales Executive"/>
    <n v="4"/>
    <s v="Single"/>
    <n v="4105"/>
    <n v="5099"/>
    <n v="1"/>
    <s v="No"/>
    <n v="14"/>
    <n v="3"/>
    <n v="1"/>
    <n v="0"/>
    <n v="7"/>
    <n v="5"/>
    <n v="3"/>
    <n v="7"/>
    <n v="7"/>
    <n v="0"/>
    <n v="7"/>
  </r>
  <r>
    <n v="32"/>
    <x v="1"/>
    <s v="Travel_Rarely"/>
    <n v="1373"/>
    <x v="1"/>
    <n v="5"/>
    <n v="4"/>
    <s v="Life Sciences"/>
    <n v="1966"/>
    <n v="4"/>
    <s v="Male"/>
    <n v="56"/>
    <n v="2"/>
    <n v="2"/>
    <s v="Manufacturing Director"/>
    <n v="4"/>
    <s v="Single"/>
    <n v="9679"/>
    <n v="10138"/>
    <n v="8"/>
    <s v="No"/>
    <n v="24"/>
    <n v="4"/>
    <n v="2"/>
    <n v="0"/>
    <n v="8"/>
    <n v="1"/>
    <n v="3"/>
    <n v="1"/>
    <n v="0"/>
    <n v="0"/>
    <n v="0"/>
  </r>
  <r>
    <n v="31"/>
    <x v="0"/>
    <s v="Travel_Frequently"/>
    <n v="754"/>
    <x v="0"/>
    <n v="26"/>
    <n v="4"/>
    <s v="Marketing"/>
    <n v="1967"/>
    <n v="1"/>
    <s v="Male"/>
    <n v="63"/>
    <n v="3"/>
    <n v="2"/>
    <s v="Sales Executive"/>
    <n v="4"/>
    <s v="Married"/>
    <n v="5617"/>
    <n v="21075"/>
    <n v="1"/>
    <s v="Yes"/>
    <n v="11"/>
    <n v="3"/>
    <n v="3"/>
    <n v="0"/>
    <n v="10"/>
    <n v="4"/>
    <n v="3"/>
    <n v="10"/>
    <n v="7"/>
    <n v="0"/>
    <n v="8"/>
  </r>
  <r>
    <n v="53"/>
    <x v="0"/>
    <s v="Travel_Rarely"/>
    <n v="1168"/>
    <x v="0"/>
    <n v="24"/>
    <n v="4"/>
    <s v="Life Sciences"/>
    <n v="1968"/>
    <n v="1"/>
    <s v="Male"/>
    <n v="66"/>
    <n v="3"/>
    <n v="3"/>
    <s v="Sales Executive"/>
    <n v="1"/>
    <s v="Single"/>
    <n v="10448"/>
    <n v="5843"/>
    <n v="6"/>
    <s v="Yes"/>
    <n v="13"/>
    <n v="3"/>
    <n v="2"/>
    <n v="0"/>
    <n v="15"/>
    <n v="2"/>
    <n v="2"/>
    <n v="2"/>
    <n v="2"/>
    <n v="2"/>
    <n v="2"/>
  </r>
  <r>
    <n v="54"/>
    <x v="1"/>
    <s v="Travel_Rarely"/>
    <n v="155"/>
    <x v="1"/>
    <n v="9"/>
    <n v="2"/>
    <s v="Life Sciences"/>
    <n v="1969"/>
    <n v="1"/>
    <s v="Female"/>
    <n v="67"/>
    <n v="3"/>
    <n v="2"/>
    <s v="Research Scientist"/>
    <n v="3"/>
    <s v="Married"/>
    <n v="2897"/>
    <n v="22474"/>
    <n v="3"/>
    <s v="No"/>
    <n v="11"/>
    <n v="3"/>
    <n v="3"/>
    <n v="2"/>
    <n v="9"/>
    <n v="6"/>
    <n v="2"/>
    <n v="4"/>
    <n v="3"/>
    <n v="2"/>
    <n v="3"/>
  </r>
  <r>
    <n v="33"/>
    <x v="1"/>
    <s v="Travel_Frequently"/>
    <n v="1303"/>
    <x v="1"/>
    <n v="7"/>
    <n v="2"/>
    <s v="Life Sciences"/>
    <n v="1970"/>
    <n v="4"/>
    <s v="Male"/>
    <n v="36"/>
    <n v="3"/>
    <n v="2"/>
    <s v="Healthcare Representative"/>
    <n v="3"/>
    <s v="Divorced"/>
    <n v="5968"/>
    <n v="18079"/>
    <n v="1"/>
    <s v="No"/>
    <n v="20"/>
    <n v="4"/>
    <n v="3"/>
    <n v="3"/>
    <n v="9"/>
    <n v="2"/>
    <n v="3"/>
    <n v="9"/>
    <n v="7"/>
    <n v="2"/>
    <n v="8"/>
  </r>
  <r>
    <n v="43"/>
    <x v="1"/>
    <s v="Travel_Rarely"/>
    <n v="574"/>
    <x v="1"/>
    <n v="11"/>
    <n v="3"/>
    <s v="Life Sciences"/>
    <n v="1971"/>
    <n v="1"/>
    <s v="Male"/>
    <n v="30"/>
    <n v="3"/>
    <n v="3"/>
    <s v="Healthcare Representative"/>
    <n v="3"/>
    <s v="Married"/>
    <n v="7510"/>
    <n v="16873"/>
    <n v="1"/>
    <s v="No"/>
    <n v="17"/>
    <n v="3"/>
    <n v="2"/>
    <n v="1"/>
    <n v="10"/>
    <n v="1"/>
    <n v="3"/>
    <n v="10"/>
    <n v="9"/>
    <n v="0"/>
    <n v="9"/>
  </r>
  <r>
    <n v="38"/>
    <x v="1"/>
    <s v="Travel_Frequently"/>
    <n v="1444"/>
    <x v="2"/>
    <n v="1"/>
    <n v="4"/>
    <s v="Other"/>
    <n v="1972"/>
    <n v="4"/>
    <s v="Male"/>
    <n v="88"/>
    <n v="3"/>
    <n v="1"/>
    <s v="Human Resources"/>
    <n v="2"/>
    <s v="Married"/>
    <n v="2991"/>
    <n v="5224"/>
    <n v="0"/>
    <s v="Yes"/>
    <n v="11"/>
    <n v="3"/>
    <n v="2"/>
    <n v="1"/>
    <n v="7"/>
    <n v="2"/>
    <n v="3"/>
    <n v="6"/>
    <n v="2"/>
    <n v="1"/>
    <n v="2"/>
  </r>
  <r>
    <n v="55"/>
    <x v="1"/>
    <s v="Travel_Rarely"/>
    <n v="189"/>
    <x v="2"/>
    <n v="26"/>
    <n v="4"/>
    <s v="Human Resources"/>
    <n v="1973"/>
    <n v="3"/>
    <s v="Male"/>
    <n v="71"/>
    <n v="4"/>
    <n v="5"/>
    <s v="Manager"/>
    <n v="2"/>
    <s v="Married"/>
    <n v="19636"/>
    <n v="25811"/>
    <n v="4"/>
    <s v="Yes"/>
    <n v="18"/>
    <n v="3"/>
    <n v="1"/>
    <n v="1"/>
    <n v="35"/>
    <n v="0"/>
    <n v="3"/>
    <n v="10"/>
    <n v="9"/>
    <n v="1"/>
    <n v="4"/>
  </r>
  <r>
    <n v="31"/>
    <x v="1"/>
    <s v="Travel_Rarely"/>
    <n v="1276"/>
    <x v="1"/>
    <n v="2"/>
    <n v="1"/>
    <s v="Medical"/>
    <n v="1974"/>
    <n v="4"/>
    <s v="Female"/>
    <n v="59"/>
    <n v="1"/>
    <n v="1"/>
    <s v="Laboratory Technician"/>
    <n v="4"/>
    <s v="Divorced"/>
    <n v="1129"/>
    <n v="17536"/>
    <n v="1"/>
    <s v="Yes"/>
    <n v="11"/>
    <n v="3"/>
    <n v="3"/>
    <n v="3"/>
    <n v="1"/>
    <n v="4"/>
    <n v="3"/>
    <n v="1"/>
    <n v="0"/>
    <n v="0"/>
    <n v="0"/>
  </r>
  <r>
    <n v="39"/>
    <x v="1"/>
    <s v="Travel_Rarely"/>
    <n v="119"/>
    <x v="0"/>
    <n v="15"/>
    <n v="4"/>
    <s v="Marketing"/>
    <n v="1975"/>
    <n v="2"/>
    <s v="Male"/>
    <n v="77"/>
    <n v="3"/>
    <n v="4"/>
    <s v="Sales Executive"/>
    <n v="1"/>
    <s v="Single"/>
    <n v="13341"/>
    <n v="25098"/>
    <n v="0"/>
    <s v="No"/>
    <n v="12"/>
    <n v="3"/>
    <n v="1"/>
    <n v="0"/>
    <n v="21"/>
    <n v="3"/>
    <n v="3"/>
    <n v="20"/>
    <n v="8"/>
    <n v="11"/>
    <n v="10"/>
  </r>
  <r>
    <n v="42"/>
    <x v="1"/>
    <s v="Non-Travel"/>
    <n v="335"/>
    <x v="1"/>
    <n v="23"/>
    <n v="2"/>
    <s v="Life Sciences"/>
    <n v="1976"/>
    <n v="4"/>
    <s v="Male"/>
    <n v="37"/>
    <n v="2"/>
    <n v="2"/>
    <s v="Research Scientist"/>
    <n v="3"/>
    <s v="Single"/>
    <n v="4332"/>
    <n v="14811"/>
    <n v="1"/>
    <s v="No"/>
    <n v="12"/>
    <n v="3"/>
    <n v="4"/>
    <n v="0"/>
    <n v="20"/>
    <n v="2"/>
    <n v="3"/>
    <n v="20"/>
    <n v="9"/>
    <n v="3"/>
    <n v="7"/>
  </r>
  <r>
    <n v="31"/>
    <x v="1"/>
    <s v="Non-Travel"/>
    <n v="697"/>
    <x v="1"/>
    <n v="10"/>
    <n v="3"/>
    <s v="Medical"/>
    <n v="1979"/>
    <n v="3"/>
    <s v="Female"/>
    <n v="40"/>
    <n v="3"/>
    <n v="3"/>
    <s v="Research Director"/>
    <n v="3"/>
    <s v="Married"/>
    <n v="11031"/>
    <n v="26862"/>
    <n v="4"/>
    <s v="No"/>
    <n v="20"/>
    <n v="4"/>
    <n v="3"/>
    <n v="1"/>
    <n v="13"/>
    <n v="2"/>
    <n v="4"/>
    <n v="11"/>
    <n v="7"/>
    <n v="4"/>
    <n v="8"/>
  </r>
  <r>
    <n v="54"/>
    <x v="1"/>
    <s v="Travel_Rarely"/>
    <n v="157"/>
    <x v="1"/>
    <n v="10"/>
    <n v="3"/>
    <s v="Medical"/>
    <n v="1980"/>
    <n v="3"/>
    <s v="Female"/>
    <n v="77"/>
    <n v="3"/>
    <n v="2"/>
    <s v="Manufacturing Director"/>
    <n v="1"/>
    <s v="Single"/>
    <n v="4440"/>
    <n v="25198"/>
    <n v="6"/>
    <s v="Yes"/>
    <n v="19"/>
    <n v="3"/>
    <n v="4"/>
    <n v="0"/>
    <n v="9"/>
    <n v="3"/>
    <n v="3"/>
    <n v="5"/>
    <n v="2"/>
    <n v="1"/>
    <n v="4"/>
  </r>
  <r>
    <n v="24"/>
    <x v="1"/>
    <s v="Travel_Rarely"/>
    <n v="771"/>
    <x v="1"/>
    <n v="1"/>
    <n v="2"/>
    <s v="Life Sciences"/>
    <n v="1981"/>
    <n v="2"/>
    <s v="Male"/>
    <n v="45"/>
    <n v="2"/>
    <n v="2"/>
    <s v="Healthcare Representative"/>
    <n v="3"/>
    <s v="Single"/>
    <n v="4617"/>
    <n v="14120"/>
    <n v="1"/>
    <s v="No"/>
    <n v="12"/>
    <n v="3"/>
    <n v="2"/>
    <n v="0"/>
    <n v="4"/>
    <n v="2"/>
    <n v="2"/>
    <n v="4"/>
    <n v="3"/>
    <n v="1"/>
    <n v="2"/>
  </r>
  <r>
    <n v="23"/>
    <x v="1"/>
    <s v="Travel_Rarely"/>
    <n v="571"/>
    <x v="1"/>
    <n v="12"/>
    <n v="2"/>
    <s v="Other"/>
    <n v="1982"/>
    <n v="4"/>
    <s v="Male"/>
    <n v="78"/>
    <n v="3"/>
    <n v="1"/>
    <s v="Laboratory Technician"/>
    <n v="4"/>
    <s v="Single"/>
    <n v="2647"/>
    <n v="13672"/>
    <n v="1"/>
    <s v="No"/>
    <n v="13"/>
    <n v="3"/>
    <n v="3"/>
    <n v="0"/>
    <n v="5"/>
    <n v="6"/>
    <n v="4"/>
    <n v="5"/>
    <n v="2"/>
    <n v="1"/>
    <n v="4"/>
  </r>
  <r>
    <n v="40"/>
    <x v="1"/>
    <s v="Travel_Frequently"/>
    <n v="692"/>
    <x v="1"/>
    <n v="11"/>
    <n v="3"/>
    <s v="Technical Degree"/>
    <n v="1985"/>
    <n v="4"/>
    <s v="Female"/>
    <n v="73"/>
    <n v="3"/>
    <n v="2"/>
    <s v="Laboratory Technician"/>
    <n v="3"/>
    <s v="Married"/>
    <n v="6323"/>
    <n v="26849"/>
    <n v="1"/>
    <s v="No"/>
    <n v="11"/>
    <n v="3"/>
    <n v="1"/>
    <n v="1"/>
    <n v="10"/>
    <n v="2"/>
    <n v="4"/>
    <n v="10"/>
    <n v="9"/>
    <n v="9"/>
    <n v="4"/>
  </r>
  <r>
    <n v="40"/>
    <x v="1"/>
    <s v="Travel_Rarely"/>
    <n v="444"/>
    <x v="0"/>
    <n v="2"/>
    <n v="2"/>
    <s v="Marketing"/>
    <n v="1986"/>
    <n v="2"/>
    <s v="Female"/>
    <n v="92"/>
    <n v="3"/>
    <n v="2"/>
    <s v="Sales Executive"/>
    <n v="2"/>
    <s v="Married"/>
    <n v="5677"/>
    <n v="4258"/>
    <n v="3"/>
    <s v="No"/>
    <n v="14"/>
    <n v="3"/>
    <n v="3"/>
    <n v="1"/>
    <n v="15"/>
    <n v="4"/>
    <n v="3"/>
    <n v="11"/>
    <n v="8"/>
    <n v="5"/>
    <n v="10"/>
  </r>
  <r>
    <n v="25"/>
    <x v="1"/>
    <s v="Travel_Rarely"/>
    <n v="309"/>
    <x v="2"/>
    <n v="2"/>
    <n v="3"/>
    <s v="Human Resources"/>
    <n v="1987"/>
    <n v="3"/>
    <s v="Female"/>
    <n v="82"/>
    <n v="3"/>
    <n v="1"/>
    <s v="Human Resources"/>
    <n v="2"/>
    <s v="Married"/>
    <n v="2187"/>
    <n v="19655"/>
    <n v="4"/>
    <s v="No"/>
    <n v="14"/>
    <n v="3"/>
    <n v="3"/>
    <n v="0"/>
    <n v="6"/>
    <n v="3"/>
    <n v="3"/>
    <n v="2"/>
    <n v="0"/>
    <n v="1"/>
    <n v="2"/>
  </r>
  <r>
    <n v="30"/>
    <x v="1"/>
    <s v="Travel_Rarely"/>
    <n v="911"/>
    <x v="1"/>
    <n v="1"/>
    <n v="2"/>
    <s v="Medical"/>
    <n v="1989"/>
    <n v="4"/>
    <s v="Male"/>
    <n v="76"/>
    <n v="3"/>
    <n v="1"/>
    <s v="Laboratory Technician"/>
    <n v="2"/>
    <s v="Married"/>
    <n v="3748"/>
    <n v="4077"/>
    <n v="1"/>
    <s v="No"/>
    <n v="13"/>
    <n v="3"/>
    <n v="3"/>
    <n v="0"/>
    <n v="12"/>
    <n v="6"/>
    <n v="2"/>
    <n v="12"/>
    <n v="8"/>
    <n v="1"/>
    <n v="7"/>
  </r>
  <r>
    <n v="25"/>
    <x v="1"/>
    <s v="Travel_Rarely"/>
    <n v="977"/>
    <x v="1"/>
    <n v="2"/>
    <n v="1"/>
    <s v="Other"/>
    <n v="1992"/>
    <n v="4"/>
    <s v="Male"/>
    <n v="57"/>
    <n v="3"/>
    <n v="1"/>
    <s v="Laboratory Technician"/>
    <n v="3"/>
    <s v="Divorced"/>
    <n v="3977"/>
    <n v="7298"/>
    <n v="6"/>
    <s v="Yes"/>
    <n v="19"/>
    <n v="3"/>
    <n v="3"/>
    <n v="1"/>
    <n v="7"/>
    <n v="2"/>
    <n v="2"/>
    <n v="2"/>
    <n v="2"/>
    <n v="0"/>
    <n v="2"/>
  </r>
  <r>
    <n v="47"/>
    <x v="1"/>
    <s v="Travel_Rarely"/>
    <n v="1180"/>
    <x v="1"/>
    <n v="25"/>
    <n v="3"/>
    <s v="Medical"/>
    <n v="1993"/>
    <n v="1"/>
    <s v="Male"/>
    <n v="84"/>
    <n v="3"/>
    <n v="3"/>
    <s v="Healthcare Representative"/>
    <n v="3"/>
    <s v="Single"/>
    <n v="8633"/>
    <n v="13084"/>
    <n v="2"/>
    <s v="No"/>
    <n v="23"/>
    <n v="4"/>
    <n v="2"/>
    <n v="0"/>
    <n v="25"/>
    <n v="3"/>
    <n v="3"/>
    <n v="17"/>
    <n v="14"/>
    <n v="12"/>
    <n v="11"/>
  </r>
  <r>
    <n v="33"/>
    <x v="1"/>
    <s v="Non-Travel"/>
    <n v="1313"/>
    <x v="1"/>
    <n v="1"/>
    <n v="2"/>
    <s v="Medical"/>
    <n v="1994"/>
    <n v="2"/>
    <s v="Male"/>
    <n v="59"/>
    <n v="2"/>
    <n v="1"/>
    <s v="Laboratory Technician"/>
    <n v="3"/>
    <s v="Divorced"/>
    <n v="2008"/>
    <n v="20439"/>
    <n v="1"/>
    <s v="No"/>
    <n v="12"/>
    <n v="3"/>
    <n v="3"/>
    <n v="3"/>
    <n v="1"/>
    <n v="2"/>
    <n v="2"/>
    <n v="1"/>
    <n v="1"/>
    <n v="0"/>
    <n v="0"/>
  </r>
  <r>
    <n v="38"/>
    <x v="1"/>
    <s v="Travel_Rarely"/>
    <n v="1321"/>
    <x v="0"/>
    <n v="1"/>
    <n v="4"/>
    <s v="Life Sciences"/>
    <n v="1995"/>
    <n v="4"/>
    <s v="Male"/>
    <n v="86"/>
    <n v="3"/>
    <n v="2"/>
    <s v="Sales Executive"/>
    <n v="2"/>
    <s v="Married"/>
    <n v="4440"/>
    <n v="7636"/>
    <n v="0"/>
    <s v="No"/>
    <n v="15"/>
    <n v="3"/>
    <n v="1"/>
    <n v="2"/>
    <n v="16"/>
    <n v="3"/>
    <n v="3"/>
    <n v="15"/>
    <n v="13"/>
    <n v="5"/>
    <n v="8"/>
  </r>
  <r>
    <n v="31"/>
    <x v="1"/>
    <s v="Travel_Rarely"/>
    <n v="1154"/>
    <x v="0"/>
    <n v="2"/>
    <n v="2"/>
    <s v="Life Sciences"/>
    <n v="1996"/>
    <n v="1"/>
    <s v="Male"/>
    <n v="54"/>
    <n v="3"/>
    <n v="1"/>
    <s v="Sales Representative"/>
    <n v="3"/>
    <s v="Married"/>
    <n v="3067"/>
    <n v="6393"/>
    <n v="0"/>
    <s v="No"/>
    <n v="19"/>
    <n v="3"/>
    <n v="3"/>
    <n v="1"/>
    <n v="3"/>
    <n v="1"/>
    <n v="3"/>
    <n v="2"/>
    <n v="2"/>
    <n v="1"/>
    <n v="2"/>
  </r>
  <r>
    <n v="38"/>
    <x v="1"/>
    <s v="Travel_Frequently"/>
    <n v="508"/>
    <x v="1"/>
    <n v="6"/>
    <n v="4"/>
    <s v="Life Sciences"/>
    <n v="1997"/>
    <n v="1"/>
    <s v="Male"/>
    <n v="72"/>
    <n v="2"/>
    <n v="2"/>
    <s v="Manufacturing Director"/>
    <n v="3"/>
    <s v="Married"/>
    <n v="5321"/>
    <n v="14284"/>
    <n v="2"/>
    <s v="No"/>
    <n v="11"/>
    <n v="3"/>
    <n v="4"/>
    <n v="1"/>
    <n v="10"/>
    <n v="1"/>
    <n v="3"/>
    <n v="8"/>
    <n v="3"/>
    <n v="7"/>
    <n v="7"/>
  </r>
  <r>
    <n v="42"/>
    <x v="1"/>
    <s v="Travel_Rarely"/>
    <n v="557"/>
    <x v="1"/>
    <n v="18"/>
    <n v="4"/>
    <s v="Life Sciences"/>
    <n v="1998"/>
    <n v="4"/>
    <s v="Male"/>
    <n v="35"/>
    <n v="3"/>
    <n v="2"/>
    <s v="Research Scientist"/>
    <n v="1"/>
    <s v="Divorced"/>
    <n v="5410"/>
    <n v="11189"/>
    <n v="6"/>
    <s v="Yes"/>
    <n v="17"/>
    <n v="3"/>
    <n v="3"/>
    <n v="1"/>
    <n v="9"/>
    <n v="3"/>
    <n v="2"/>
    <n v="4"/>
    <n v="3"/>
    <n v="1"/>
    <n v="2"/>
  </r>
  <r>
    <n v="41"/>
    <x v="1"/>
    <s v="Travel_Rarely"/>
    <n v="642"/>
    <x v="1"/>
    <n v="1"/>
    <n v="3"/>
    <s v="Life Sciences"/>
    <n v="1999"/>
    <n v="4"/>
    <s v="Male"/>
    <n v="76"/>
    <n v="3"/>
    <n v="1"/>
    <s v="Research Scientist"/>
    <n v="4"/>
    <s v="Married"/>
    <n v="2782"/>
    <n v="21412"/>
    <n v="3"/>
    <s v="No"/>
    <n v="22"/>
    <n v="4"/>
    <n v="1"/>
    <n v="1"/>
    <n v="12"/>
    <n v="3"/>
    <n v="3"/>
    <n v="5"/>
    <n v="3"/>
    <n v="1"/>
    <n v="0"/>
  </r>
  <r>
    <n v="47"/>
    <x v="1"/>
    <s v="Non-Travel"/>
    <n v="1162"/>
    <x v="1"/>
    <n v="1"/>
    <n v="1"/>
    <s v="Medical"/>
    <n v="2000"/>
    <n v="3"/>
    <s v="Female"/>
    <n v="98"/>
    <n v="3"/>
    <n v="3"/>
    <s v="Research Director"/>
    <n v="2"/>
    <s v="Married"/>
    <n v="11957"/>
    <n v="17231"/>
    <n v="0"/>
    <s v="No"/>
    <n v="18"/>
    <n v="3"/>
    <n v="1"/>
    <n v="2"/>
    <n v="14"/>
    <n v="3"/>
    <n v="1"/>
    <n v="13"/>
    <n v="8"/>
    <n v="5"/>
    <n v="12"/>
  </r>
  <r>
    <n v="35"/>
    <x v="1"/>
    <s v="Travel_Rarely"/>
    <n v="1490"/>
    <x v="1"/>
    <n v="11"/>
    <n v="4"/>
    <s v="Medical"/>
    <n v="2003"/>
    <n v="4"/>
    <s v="Male"/>
    <n v="43"/>
    <n v="3"/>
    <n v="1"/>
    <s v="Laboratory Technician"/>
    <n v="3"/>
    <s v="Married"/>
    <n v="2660"/>
    <n v="20232"/>
    <n v="7"/>
    <s v="Yes"/>
    <n v="11"/>
    <n v="3"/>
    <n v="3"/>
    <n v="1"/>
    <n v="5"/>
    <n v="3"/>
    <n v="3"/>
    <n v="2"/>
    <n v="2"/>
    <n v="2"/>
    <n v="2"/>
  </r>
  <r>
    <n v="22"/>
    <x v="1"/>
    <s v="Travel_Rarely"/>
    <n v="581"/>
    <x v="1"/>
    <n v="1"/>
    <n v="2"/>
    <s v="Life Sciences"/>
    <n v="2007"/>
    <n v="4"/>
    <s v="Male"/>
    <n v="63"/>
    <n v="3"/>
    <n v="1"/>
    <s v="Research Scientist"/>
    <n v="3"/>
    <s v="Single"/>
    <n v="3375"/>
    <n v="17624"/>
    <n v="0"/>
    <s v="No"/>
    <n v="12"/>
    <n v="3"/>
    <n v="4"/>
    <n v="0"/>
    <n v="4"/>
    <n v="2"/>
    <n v="4"/>
    <n v="3"/>
    <n v="2"/>
    <n v="1"/>
    <n v="2"/>
  </r>
  <r>
    <n v="35"/>
    <x v="1"/>
    <s v="Travel_Rarely"/>
    <n v="1395"/>
    <x v="1"/>
    <n v="9"/>
    <n v="4"/>
    <s v="Medical"/>
    <n v="2008"/>
    <n v="2"/>
    <s v="Male"/>
    <n v="48"/>
    <n v="3"/>
    <n v="2"/>
    <s v="Research Scientist"/>
    <n v="3"/>
    <s v="Single"/>
    <n v="5098"/>
    <n v="18698"/>
    <n v="1"/>
    <s v="No"/>
    <n v="19"/>
    <n v="3"/>
    <n v="2"/>
    <n v="0"/>
    <n v="10"/>
    <n v="5"/>
    <n v="3"/>
    <n v="10"/>
    <n v="7"/>
    <n v="0"/>
    <n v="8"/>
  </r>
  <r>
    <n v="33"/>
    <x v="1"/>
    <s v="Travel_Rarely"/>
    <n v="501"/>
    <x v="1"/>
    <n v="15"/>
    <n v="2"/>
    <s v="Medical"/>
    <n v="2009"/>
    <n v="2"/>
    <s v="Female"/>
    <n v="95"/>
    <n v="3"/>
    <n v="2"/>
    <s v="Healthcare Representative"/>
    <n v="4"/>
    <s v="Married"/>
    <n v="4878"/>
    <n v="21653"/>
    <n v="0"/>
    <s v="Yes"/>
    <n v="13"/>
    <n v="3"/>
    <n v="1"/>
    <n v="1"/>
    <n v="10"/>
    <n v="6"/>
    <n v="3"/>
    <n v="9"/>
    <n v="7"/>
    <n v="8"/>
    <n v="1"/>
  </r>
  <r>
    <n v="32"/>
    <x v="1"/>
    <s v="Travel_Rarely"/>
    <n v="267"/>
    <x v="1"/>
    <n v="29"/>
    <n v="4"/>
    <s v="Life Sciences"/>
    <n v="2010"/>
    <n v="3"/>
    <s v="Female"/>
    <n v="49"/>
    <n v="2"/>
    <n v="1"/>
    <s v="Laboratory Technician"/>
    <n v="2"/>
    <s v="Single"/>
    <n v="2837"/>
    <n v="15919"/>
    <n v="1"/>
    <s v="No"/>
    <n v="13"/>
    <n v="3"/>
    <n v="3"/>
    <n v="0"/>
    <n v="6"/>
    <n v="3"/>
    <n v="3"/>
    <n v="6"/>
    <n v="2"/>
    <n v="4"/>
    <n v="1"/>
  </r>
  <r>
    <n v="40"/>
    <x v="1"/>
    <s v="Travel_Rarely"/>
    <n v="543"/>
    <x v="1"/>
    <n v="1"/>
    <n v="4"/>
    <s v="Life Sciences"/>
    <n v="2012"/>
    <n v="1"/>
    <s v="Male"/>
    <n v="83"/>
    <n v="3"/>
    <n v="1"/>
    <s v="Laboratory Technician"/>
    <n v="4"/>
    <s v="Married"/>
    <n v="2406"/>
    <n v="4060"/>
    <n v="8"/>
    <s v="No"/>
    <n v="19"/>
    <n v="3"/>
    <n v="3"/>
    <n v="2"/>
    <n v="8"/>
    <n v="3"/>
    <n v="2"/>
    <n v="1"/>
    <n v="0"/>
    <n v="0"/>
    <n v="0"/>
  </r>
  <r>
    <n v="32"/>
    <x v="1"/>
    <s v="Travel_Rarely"/>
    <n v="234"/>
    <x v="0"/>
    <n v="1"/>
    <n v="4"/>
    <s v="Medical"/>
    <n v="2013"/>
    <n v="2"/>
    <s v="Male"/>
    <n v="68"/>
    <n v="2"/>
    <n v="1"/>
    <s v="Sales Representative"/>
    <n v="2"/>
    <s v="Married"/>
    <n v="2269"/>
    <n v="18024"/>
    <n v="0"/>
    <s v="No"/>
    <n v="14"/>
    <n v="3"/>
    <n v="2"/>
    <n v="1"/>
    <n v="3"/>
    <n v="2"/>
    <n v="3"/>
    <n v="2"/>
    <n v="2"/>
    <n v="2"/>
    <n v="2"/>
  </r>
  <r>
    <n v="39"/>
    <x v="1"/>
    <s v="Travel_Rarely"/>
    <n v="116"/>
    <x v="1"/>
    <n v="24"/>
    <n v="1"/>
    <s v="Life Sciences"/>
    <n v="2014"/>
    <n v="1"/>
    <s v="Male"/>
    <n v="52"/>
    <n v="3"/>
    <n v="2"/>
    <s v="Research Scientist"/>
    <n v="4"/>
    <s v="Single"/>
    <n v="4108"/>
    <n v="5340"/>
    <n v="7"/>
    <s v="No"/>
    <n v="13"/>
    <n v="3"/>
    <n v="1"/>
    <n v="0"/>
    <n v="18"/>
    <n v="2"/>
    <n v="3"/>
    <n v="7"/>
    <n v="7"/>
    <n v="1"/>
    <n v="7"/>
  </r>
  <r>
    <n v="38"/>
    <x v="1"/>
    <s v="Travel_Rarely"/>
    <n v="201"/>
    <x v="1"/>
    <n v="10"/>
    <n v="3"/>
    <s v="Medical"/>
    <n v="2015"/>
    <n v="2"/>
    <s v="Female"/>
    <n v="99"/>
    <n v="1"/>
    <n v="3"/>
    <s v="Research Director"/>
    <n v="3"/>
    <s v="Married"/>
    <n v="13206"/>
    <n v="3376"/>
    <n v="3"/>
    <s v="No"/>
    <n v="12"/>
    <n v="3"/>
    <n v="1"/>
    <n v="1"/>
    <n v="20"/>
    <n v="3"/>
    <n v="3"/>
    <n v="18"/>
    <n v="16"/>
    <n v="1"/>
    <n v="11"/>
  </r>
  <r>
    <n v="32"/>
    <x v="1"/>
    <s v="Travel_Rarely"/>
    <n v="801"/>
    <x v="0"/>
    <n v="1"/>
    <n v="4"/>
    <s v="Marketing"/>
    <n v="2016"/>
    <n v="3"/>
    <s v="Female"/>
    <n v="48"/>
    <n v="3"/>
    <n v="3"/>
    <s v="Sales Executive"/>
    <n v="4"/>
    <s v="Married"/>
    <n v="10422"/>
    <n v="24032"/>
    <n v="1"/>
    <s v="No"/>
    <n v="19"/>
    <n v="3"/>
    <n v="3"/>
    <n v="2"/>
    <n v="14"/>
    <n v="3"/>
    <n v="3"/>
    <n v="14"/>
    <n v="10"/>
    <n v="5"/>
    <n v="7"/>
  </r>
  <r>
    <n v="37"/>
    <x v="1"/>
    <s v="Travel_Rarely"/>
    <n v="161"/>
    <x v="1"/>
    <n v="10"/>
    <n v="3"/>
    <s v="Life Sciences"/>
    <n v="2017"/>
    <n v="3"/>
    <s v="Female"/>
    <n v="42"/>
    <n v="4"/>
    <n v="3"/>
    <s v="Research Director"/>
    <n v="4"/>
    <s v="Married"/>
    <n v="13744"/>
    <n v="15471"/>
    <n v="1"/>
    <s v="Yes"/>
    <n v="25"/>
    <n v="4"/>
    <n v="1"/>
    <n v="1"/>
    <n v="16"/>
    <n v="2"/>
    <n v="3"/>
    <n v="16"/>
    <n v="11"/>
    <n v="6"/>
    <n v="8"/>
  </r>
  <r>
    <n v="25"/>
    <x v="1"/>
    <s v="Travel_Rarely"/>
    <n v="1382"/>
    <x v="0"/>
    <n v="8"/>
    <n v="2"/>
    <s v="Other"/>
    <n v="2018"/>
    <n v="1"/>
    <s v="Female"/>
    <n v="85"/>
    <n v="3"/>
    <n v="2"/>
    <s v="Sales Executive"/>
    <n v="3"/>
    <s v="Divorced"/>
    <n v="4907"/>
    <n v="13684"/>
    <n v="0"/>
    <s v="Yes"/>
    <n v="22"/>
    <n v="4"/>
    <n v="2"/>
    <n v="1"/>
    <n v="6"/>
    <n v="3"/>
    <n v="2"/>
    <n v="5"/>
    <n v="3"/>
    <n v="0"/>
    <n v="4"/>
  </r>
  <r>
    <n v="52"/>
    <x v="1"/>
    <s v="Non-Travel"/>
    <n v="585"/>
    <x v="0"/>
    <n v="29"/>
    <n v="4"/>
    <s v="Life Sciences"/>
    <n v="2019"/>
    <n v="1"/>
    <s v="Male"/>
    <n v="40"/>
    <n v="3"/>
    <n v="1"/>
    <s v="Sales Representative"/>
    <n v="4"/>
    <s v="Divorced"/>
    <n v="3482"/>
    <n v="19788"/>
    <n v="2"/>
    <s v="No"/>
    <n v="15"/>
    <n v="3"/>
    <n v="2"/>
    <n v="2"/>
    <n v="16"/>
    <n v="3"/>
    <n v="2"/>
    <n v="9"/>
    <n v="8"/>
    <n v="0"/>
    <n v="0"/>
  </r>
  <r>
    <n v="44"/>
    <x v="1"/>
    <s v="Travel_Rarely"/>
    <n v="1037"/>
    <x v="1"/>
    <n v="1"/>
    <n v="3"/>
    <s v="Medical"/>
    <n v="2020"/>
    <n v="2"/>
    <s v="Male"/>
    <n v="42"/>
    <n v="3"/>
    <n v="1"/>
    <s v="Research Scientist"/>
    <n v="4"/>
    <s v="Single"/>
    <n v="2436"/>
    <n v="13422"/>
    <n v="6"/>
    <s v="Yes"/>
    <n v="12"/>
    <n v="3"/>
    <n v="3"/>
    <n v="0"/>
    <n v="6"/>
    <n v="2"/>
    <n v="3"/>
    <n v="4"/>
    <n v="3"/>
    <n v="1"/>
    <n v="2"/>
  </r>
  <r>
    <n v="21"/>
    <x v="1"/>
    <s v="Travel_Rarely"/>
    <n v="501"/>
    <x v="0"/>
    <n v="5"/>
    <n v="1"/>
    <s v="Medical"/>
    <n v="2021"/>
    <n v="3"/>
    <s v="Male"/>
    <n v="58"/>
    <n v="3"/>
    <n v="1"/>
    <s v="Sales Representative"/>
    <n v="1"/>
    <s v="Single"/>
    <n v="2380"/>
    <n v="25479"/>
    <n v="1"/>
    <s v="Yes"/>
    <n v="11"/>
    <n v="3"/>
    <n v="4"/>
    <n v="0"/>
    <n v="2"/>
    <n v="6"/>
    <n v="3"/>
    <n v="2"/>
    <n v="2"/>
    <n v="1"/>
    <n v="2"/>
  </r>
  <r>
    <n v="39"/>
    <x v="1"/>
    <s v="Non-Travel"/>
    <n v="105"/>
    <x v="1"/>
    <n v="9"/>
    <n v="3"/>
    <s v="Life Sciences"/>
    <n v="2022"/>
    <n v="4"/>
    <s v="Male"/>
    <n v="87"/>
    <n v="3"/>
    <n v="5"/>
    <s v="Manager"/>
    <n v="4"/>
    <s v="Single"/>
    <n v="19431"/>
    <n v="15302"/>
    <n v="2"/>
    <s v="No"/>
    <n v="13"/>
    <n v="3"/>
    <n v="3"/>
    <n v="0"/>
    <n v="21"/>
    <n v="3"/>
    <n v="2"/>
    <n v="6"/>
    <n v="0"/>
    <n v="1"/>
    <n v="3"/>
  </r>
  <r>
    <n v="23"/>
    <x v="0"/>
    <s v="Travel_Frequently"/>
    <n v="638"/>
    <x v="0"/>
    <n v="9"/>
    <n v="3"/>
    <s v="Marketing"/>
    <n v="2023"/>
    <n v="4"/>
    <s v="Male"/>
    <n v="33"/>
    <n v="3"/>
    <n v="1"/>
    <s v="Sales Representative"/>
    <n v="1"/>
    <s v="Married"/>
    <n v="1790"/>
    <n v="26956"/>
    <n v="1"/>
    <s v="No"/>
    <n v="19"/>
    <n v="3"/>
    <n v="1"/>
    <n v="1"/>
    <n v="1"/>
    <n v="3"/>
    <n v="2"/>
    <n v="1"/>
    <n v="0"/>
    <n v="1"/>
    <n v="0"/>
  </r>
  <r>
    <n v="36"/>
    <x v="1"/>
    <s v="Travel_Rarely"/>
    <n v="557"/>
    <x v="0"/>
    <n v="3"/>
    <n v="3"/>
    <s v="Medical"/>
    <n v="2024"/>
    <n v="1"/>
    <s v="Female"/>
    <n v="94"/>
    <n v="2"/>
    <n v="3"/>
    <s v="Sales Executive"/>
    <n v="4"/>
    <s v="Married"/>
    <n v="7644"/>
    <n v="12695"/>
    <n v="0"/>
    <s v="No"/>
    <n v="19"/>
    <n v="3"/>
    <n v="3"/>
    <n v="2"/>
    <n v="10"/>
    <n v="2"/>
    <n v="3"/>
    <n v="9"/>
    <n v="7"/>
    <n v="3"/>
    <n v="4"/>
  </r>
  <r>
    <n v="36"/>
    <x v="1"/>
    <s v="Travel_Frequently"/>
    <n v="688"/>
    <x v="1"/>
    <n v="4"/>
    <n v="2"/>
    <s v="Life Sciences"/>
    <n v="2025"/>
    <n v="4"/>
    <s v="Female"/>
    <n v="97"/>
    <n v="3"/>
    <n v="2"/>
    <s v="Manufacturing Director"/>
    <n v="2"/>
    <s v="Divorced"/>
    <n v="5131"/>
    <n v="9192"/>
    <n v="7"/>
    <s v="No"/>
    <n v="13"/>
    <n v="3"/>
    <n v="2"/>
    <n v="3"/>
    <n v="18"/>
    <n v="3"/>
    <n v="3"/>
    <n v="4"/>
    <n v="2"/>
    <n v="0"/>
    <n v="2"/>
  </r>
  <r>
    <n v="56"/>
    <x v="1"/>
    <s v="Non-Travel"/>
    <n v="667"/>
    <x v="1"/>
    <n v="1"/>
    <n v="4"/>
    <s v="Life Sciences"/>
    <n v="2026"/>
    <n v="3"/>
    <s v="Male"/>
    <n v="57"/>
    <n v="3"/>
    <n v="2"/>
    <s v="Healthcare Representative"/>
    <n v="3"/>
    <s v="Divorced"/>
    <n v="6306"/>
    <n v="26236"/>
    <n v="1"/>
    <s v="No"/>
    <n v="21"/>
    <n v="4"/>
    <n v="1"/>
    <n v="1"/>
    <n v="13"/>
    <n v="2"/>
    <n v="2"/>
    <n v="13"/>
    <n v="12"/>
    <n v="1"/>
    <n v="9"/>
  </r>
  <r>
    <n v="29"/>
    <x v="0"/>
    <s v="Travel_Rarely"/>
    <n v="1092"/>
    <x v="1"/>
    <n v="1"/>
    <n v="4"/>
    <s v="Medical"/>
    <n v="2027"/>
    <n v="1"/>
    <s v="Male"/>
    <n v="36"/>
    <n v="3"/>
    <n v="1"/>
    <s v="Research Scientist"/>
    <n v="4"/>
    <s v="Married"/>
    <n v="4787"/>
    <n v="26124"/>
    <n v="9"/>
    <s v="Yes"/>
    <n v="14"/>
    <n v="3"/>
    <n v="2"/>
    <n v="3"/>
    <n v="4"/>
    <n v="3"/>
    <n v="4"/>
    <n v="2"/>
    <n v="2"/>
    <n v="2"/>
    <n v="2"/>
  </r>
  <r>
    <n v="42"/>
    <x v="1"/>
    <s v="Travel_Rarely"/>
    <n v="300"/>
    <x v="1"/>
    <n v="2"/>
    <n v="3"/>
    <s v="Life Sciences"/>
    <n v="2031"/>
    <n v="1"/>
    <s v="Male"/>
    <n v="56"/>
    <n v="3"/>
    <n v="5"/>
    <s v="Manager"/>
    <n v="3"/>
    <s v="Married"/>
    <n v="18880"/>
    <n v="17312"/>
    <n v="5"/>
    <s v="No"/>
    <n v="11"/>
    <n v="3"/>
    <n v="1"/>
    <n v="0"/>
    <n v="24"/>
    <n v="2"/>
    <n v="2"/>
    <n v="22"/>
    <n v="6"/>
    <n v="4"/>
    <n v="14"/>
  </r>
  <r>
    <n v="56"/>
    <x v="0"/>
    <s v="Travel_Rarely"/>
    <n v="310"/>
    <x v="1"/>
    <n v="7"/>
    <n v="2"/>
    <s v="Technical Degree"/>
    <n v="2032"/>
    <n v="4"/>
    <s v="Male"/>
    <n v="72"/>
    <n v="3"/>
    <n v="1"/>
    <s v="Laboratory Technician"/>
    <n v="3"/>
    <s v="Married"/>
    <n v="2339"/>
    <n v="3666"/>
    <n v="8"/>
    <s v="No"/>
    <n v="11"/>
    <n v="3"/>
    <n v="4"/>
    <n v="1"/>
    <n v="14"/>
    <n v="4"/>
    <n v="1"/>
    <n v="10"/>
    <n v="9"/>
    <n v="9"/>
    <n v="8"/>
  </r>
  <r>
    <n v="41"/>
    <x v="1"/>
    <s v="Travel_Rarely"/>
    <n v="582"/>
    <x v="1"/>
    <n v="28"/>
    <n v="4"/>
    <s v="Life Sciences"/>
    <n v="2034"/>
    <n v="1"/>
    <s v="Female"/>
    <n v="60"/>
    <n v="2"/>
    <n v="4"/>
    <s v="Manufacturing Director"/>
    <n v="2"/>
    <s v="Married"/>
    <n v="13570"/>
    <n v="5640"/>
    <n v="0"/>
    <s v="No"/>
    <n v="23"/>
    <n v="4"/>
    <n v="3"/>
    <n v="1"/>
    <n v="21"/>
    <n v="3"/>
    <n v="3"/>
    <n v="20"/>
    <n v="7"/>
    <n v="0"/>
    <n v="10"/>
  </r>
  <r>
    <n v="34"/>
    <x v="1"/>
    <s v="Travel_Rarely"/>
    <n v="704"/>
    <x v="0"/>
    <n v="28"/>
    <n v="3"/>
    <s v="Marketing"/>
    <n v="2035"/>
    <n v="4"/>
    <s v="Female"/>
    <n v="95"/>
    <n v="2"/>
    <n v="2"/>
    <s v="Sales Executive"/>
    <n v="3"/>
    <s v="Married"/>
    <n v="6712"/>
    <n v="8978"/>
    <n v="1"/>
    <s v="No"/>
    <n v="21"/>
    <n v="4"/>
    <n v="4"/>
    <n v="2"/>
    <n v="8"/>
    <n v="2"/>
    <n v="3"/>
    <n v="8"/>
    <n v="7"/>
    <n v="1"/>
    <n v="7"/>
  </r>
  <r>
    <n v="36"/>
    <x v="1"/>
    <s v="Non-Travel"/>
    <n v="301"/>
    <x v="0"/>
    <n v="15"/>
    <n v="4"/>
    <s v="Marketing"/>
    <n v="2036"/>
    <n v="4"/>
    <s v="Male"/>
    <n v="88"/>
    <n v="1"/>
    <n v="2"/>
    <s v="Sales Executive"/>
    <n v="4"/>
    <s v="Divorced"/>
    <n v="5406"/>
    <n v="10436"/>
    <n v="1"/>
    <s v="No"/>
    <n v="24"/>
    <n v="4"/>
    <n v="1"/>
    <n v="1"/>
    <n v="15"/>
    <n v="4"/>
    <n v="2"/>
    <n v="15"/>
    <n v="12"/>
    <n v="11"/>
    <n v="11"/>
  </r>
  <r>
    <n v="41"/>
    <x v="1"/>
    <s v="Travel_Rarely"/>
    <n v="930"/>
    <x v="0"/>
    <n v="3"/>
    <n v="3"/>
    <s v="Life Sciences"/>
    <n v="2037"/>
    <n v="3"/>
    <s v="Male"/>
    <n v="57"/>
    <n v="2"/>
    <n v="2"/>
    <s v="Sales Executive"/>
    <n v="2"/>
    <s v="Divorced"/>
    <n v="8938"/>
    <n v="12227"/>
    <n v="2"/>
    <s v="No"/>
    <n v="11"/>
    <n v="3"/>
    <n v="3"/>
    <n v="1"/>
    <n v="14"/>
    <n v="5"/>
    <n v="3"/>
    <n v="5"/>
    <n v="4"/>
    <n v="0"/>
    <n v="4"/>
  </r>
  <r>
    <n v="32"/>
    <x v="1"/>
    <s v="Travel_Rarely"/>
    <n v="529"/>
    <x v="1"/>
    <n v="2"/>
    <n v="3"/>
    <s v="Technical Degree"/>
    <n v="2038"/>
    <n v="4"/>
    <s v="Male"/>
    <n v="78"/>
    <n v="3"/>
    <n v="1"/>
    <s v="Research Scientist"/>
    <n v="1"/>
    <s v="Single"/>
    <n v="2439"/>
    <n v="11288"/>
    <n v="1"/>
    <s v="No"/>
    <n v="14"/>
    <n v="3"/>
    <n v="4"/>
    <n v="0"/>
    <n v="4"/>
    <n v="4"/>
    <n v="3"/>
    <n v="4"/>
    <n v="2"/>
    <n v="1"/>
    <n v="2"/>
  </r>
  <r>
    <n v="35"/>
    <x v="1"/>
    <s v="Travel_Rarely"/>
    <n v="1146"/>
    <x v="2"/>
    <n v="26"/>
    <n v="4"/>
    <s v="Life Sciences"/>
    <n v="2040"/>
    <n v="3"/>
    <s v="Female"/>
    <n v="31"/>
    <n v="3"/>
    <n v="3"/>
    <s v="Human Resources"/>
    <n v="4"/>
    <s v="Single"/>
    <n v="8837"/>
    <n v="16642"/>
    <n v="1"/>
    <s v="Yes"/>
    <n v="16"/>
    <n v="3"/>
    <n v="3"/>
    <n v="0"/>
    <n v="9"/>
    <n v="2"/>
    <n v="3"/>
    <n v="9"/>
    <n v="0"/>
    <n v="1"/>
    <n v="7"/>
  </r>
  <r>
    <n v="38"/>
    <x v="1"/>
    <s v="Travel_Rarely"/>
    <n v="345"/>
    <x v="0"/>
    <n v="10"/>
    <n v="2"/>
    <s v="Life Sciences"/>
    <n v="2041"/>
    <n v="1"/>
    <s v="Female"/>
    <n v="100"/>
    <n v="3"/>
    <n v="2"/>
    <s v="Sales Executive"/>
    <n v="4"/>
    <s v="Married"/>
    <n v="5343"/>
    <n v="5982"/>
    <n v="1"/>
    <s v="No"/>
    <n v="11"/>
    <n v="3"/>
    <n v="3"/>
    <n v="1"/>
    <n v="10"/>
    <n v="1"/>
    <n v="3"/>
    <n v="10"/>
    <n v="7"/>
    <n v="1"/>
    <n v="9"/>
  </r>
  <r>
    <n v="50"/>
    <x v="0"/>
    <s v="Travel_Frequently"/>
    <n v="878"/>
    <x v="0"/>
    <n v="1"/>
    <n v="4"/>
    <s v="Life Sciences"/>
    <n v="2044"/>
    <n v="2"/>
    <s v="Male"/>
    <n v="94"/>
    <n v="3"/>
    <n v="2"/>
    <s v="Sales Executive"/>
    <n v="3"/>
    <s v="Divorced"/>
    <n v="6728"/>
    <n v="14255"/>
    <n v="7"/>
    <s v="No"/>
    <n v="12"/>
    <n v="3"/>
    <n v="4"/>
    <n v="2"/>
    <n v="12"/>
    <n v="3"/>
    <n v="3"/>
    <n v="6"/>
    <n v="3"/>
    <n v="0"/>
    <n v="1"/>
  </r>
  <r>
    <n v="36"/>
    <x v="1"/>
    <s v="Travel_Rarely"/>
    <n v="1120"/>
    <x v="0"/>
    <n v="11"/>
    <n v="4"/>
    <s v="Marketing"/>
    <n v="2045"/>
    <n v="2"/>
    <s v="Female"/>
    <n v="100"/>
    <n v="2"/>
    <n v="2"/>
    <s v="Sales Executive"/>
    <n v="4"/>
    <s v="Married"/>
    <n v="6652"/>
    <n v="14369"/>
    <n v="4"/>
    <s v="No"/>
    <n v="13"/>
    <n v="3"/>
    <n v="1"/>
    <n v="1"/>
    <n v="8"/>
    <n v="2"/>
    <n v="2"/>
    <n v="6"/>
    <n v="3"/>
    <n v="0"/>
    <n v="0"/>
  </r>
  <r>
    <n v="45"/>
    <x v="1"/>
    <s v="Travel_Rarely"/>
    <n v="374"/>
    <x v="0"/>
    <n v="20"/>
    <n v="3"/>
    <s v="Life Sciences"/>
    <n v="2046"/>
    <n v="4"/>
    <s v="Female"/>
    <n v="50"/>
    <n v="3"/>
    <n v="2"/>
    <s v="Sales Executive"/>
    <n v="3"/>
    <s v="Single"/>
    <n v="4850"/>
    <n v="23333"/>
    <n v="8"/>
    <s v="No"/>
    <n v="15"/>
    <n v="3"/>
    <n v="3"/>
    <n v="0"/>
    <n v="8"/>
    <n v="3"/>
    <n v="3"/>
    <n v="5"/>
    <n v="3"/>
    <n v="0"/>
    <n v="1"/>
  </r>
  <r>
    <n v="40"/>
    <x v="1"/>
    <s v="Travel_Rarely"/>
    <n v="1322"/>
    <x v="1"/>
    <n v="2"/>
    <n v="4"/>
    <s v="Life Sciences"/>
    <n v="2048"/>
    <n v="3"/>
    <s v="Male"/>
    <n v="52"/>
    <n v="2"/>
    <n v="1"/>
    <s v="Research Scientist"/>
    <n v="3"/>
    <s v="Single"/>
    <n v="2809"/>
    <n v="2725"/>
    <n v="2"/>
    <s v="No"/>
    <n v="14"/>
    <n v="3"/>
    <n v="4"/>
    <n v="0"/>
    <n v="8"/>
    <n v="2"/>
    <n v="3"/>
    <n v="2"/>
    <n v="2"/>
    <n v="2"/>
    <n v="2"/>
  </r>
  <r>
    <n v="35"/>
    <x v="1"/>
    <s v="Travel_Frequently"/>
    <n v="1199"/>
    <x v="1"/>
    <n v="18"/>
    <n v="4"/>
    <s v="Life Sciences"/>
    <n v="2049"/>
    <n v="3"/>
    <s v="Male"/>
    <n v="80"/>
    <n v="3"/>
    <n v="2"/>
    <s v="Healthcare Representative"/>
    <n v="3"/>
    <s v="Married"/>
    <n v="5689"/>
    <n v="24594"/>
    <n v="1"/>
    <s v="Yes"/>
    <n v="14"/>
    <n v="3"/>
    <n v="4"/>
    <n v="2"/>
    <n v="10"/>
    <n v="2"/>
    <n v="4"/>
    <n v="10"/>
    <n v="2"/>
    <n v="0"/>
    <n v="2"/>
  </r>
  <r>
    <n v="40"/>
    <x v="1"/>
    <s v="Travel_Rarely"/>
    <n v="1194"/>
    <x v="1"/>
    <n v="2"/>
    <n v="4"/>
    <s v="Medical"/>
    <n v="2051"/>
    <n v="3"/>
    <s v="Female"/>
    <n v="98"/>
    <n v="3"/>
    <n v="1"/>
    <s v="Research Scientist"/>
    <n v="3"/>
    <s v="Married"/>
    <n v="2001"/>
    <n v="12549"/>
    <n v="2"/>
    <s v="No"/>
    <n v="14"/>
    <n v="3"/>
    <n v="2"/>
    <n v="3"/>
    <n v="20"/>
    <n v="2"/>
    <n v="3"/>
    <n v="5"/>
    <n v="3"/>
    <n v="0"/>
    <n v="2"/>
  </r>
  <r>
    <n v="35"/>
    <x v="1"/>
    <s v="Travel_Rarely"/>
    <n v="287"/>
    <x v="1"/>
    <n v="1"/>
    <n v="4"/>
    <s v="Life Sciences"/>
    <n v="2052"/>
    <n v="3"/>
    <s v="Female"/>
    <n v="62"/>
    <n v="1"/>
    <n v="1"/>
    <s v="Research Scientist"/>
    <n v="4"/>
    <s v="Married"/>
    <n v="2977"/>
    <n v="8952"/>
    <n v="1"/>
    <s v="No"/>
    <n v="12"/>
    <n v="3"/>
    <n v="4"/>
    <n v="1"/>
    <n v="4"/>
    <n v="5"/>
    <n v="3"/>
    <n v="4"/>
    <n v="3"/>
    <n v="1"/>
    <n v="1"/>
  </r>
  <r>
    <n v="29"/>
    <x v="1"/>
    <s v="Travel_Rarely"/>
    <n v="1378"/>
    <x v="1"/>
    <n v="13"/>
    <n v="2"/>
    <s v="Other"/>
    <n v="2053"/>
    <n v="4"/>
    <s v="Male"/>
    <n v="46"/>
    <n v="2"/>
    <n v="2"/>
    <s v="Laboratory Technician"/>
    <n v="2"/>
    <s v="Married"/>
    <n v="4025"/>
    <n v="23679"/>
    <n v="4"/>
    <s v="Yes"/>
    <n v="13"/>
    <n v="3"/>
    <n v="1"/>
    <n v="1"/>
    <n v="10"/>
    <n v="2"/>
    <n v="3"/>
    <n v="4"/>
    <n v="3"/>
    <n v="0"/>
    <n v="3"/>
  </r>
  <r>
    <n v="29"/>
    <x v="1"/>
    <s v="Travel_Rarely"/>
    <n v="468"/>
    <x v="1"/>
    <n v="28"/>
    <n v="4"/>
    <s v="Medical"/>
    <n v="2054"/>
    <n v="4"/>
    <s v="Female"/>
    <n v="73"/>
    <n v="2"/>
    <n v="1"/>
    <s v="Research Scientist"/>
    <n v="1"/>
    <s v="Single"/>
    <n v="3785"/>
    <n v="8489"/>
    <n v="1"/>
    <s v="No"/>
    <n v="14"/>
    <n v="3"/>
    <n v="2"/>
    <n v="0"/>
    <n v="5"/>
    <n v="3"/>
    <n v="1"/>
    <n v="5"/>
    <n v="4"/>
    <n v="0"/>
    <n v="4"/>
  </r>
  <r>
    <n v="50"/>
    <x v="0"/>
    <s v="Travel_Rarely"/>
    <n v="410"/>
    <x v="0"/>
    <n v="28"/>
    <n v="3"/>
    <s v="Marketing"/>
    <n v="2055"/>
    <n v="4"/>
    <s v="Male"/>
    <n v="39"/>
    <n v="2"/>
    <n v="3"/>
    <s v="Sales Executive"/>
    <n v="1"/>
    <s v="Divorced"/>
    <n v="10854"/>
    <n v="16586"/>
    <n v="4"/>
    <s v="Yes"/>
    <n v="13"/>
    <n v="3"/>
    <n v="2"/>
    <n v="1"/>
    <n v="20"/>
    <n v="3"/>
    <n v="3"/>
    <n v="3"/>
    <n v="2"/>
    <n v="2"/>
    <n v="0"/>
  </r>
  <r>
    <n v="39"/>
    <x v="1"/>
    <s v="Travel_Rarely"/>
    <n v="722"/>
    <x v="0"/>
    <n v="24"/>
    <n v="1"/>
    <s v="Marketing"/>
    <n v="2056"/>
    <n v="2"/>
    <s v="Female"/>
    <n v="60"/>
    <n v="2"/>
    <n v="4"/>
    <s v="Sales Executive"/>
    <n v="4"/>
    <s v="Married"/>
    <n v="12031"/>
    <n v="8828"/>
    <n v="0"/>
    <s v="No"/>
    <n v="11"/>
    <n v="3"/>
    <n v="1"/>
    <n v="1"/>
    <n v="21"/>
    <n v="2"/>
    <n v="2"/>
    <n v="20"/>
    <n v="9"/>
    <n v="9"/>
    <n v="6"/>
  </r>
  <r>
    <n v="31"/>
    <x v="1"/>
    <s v="Non-Travel"/>
    <n v="325"/>
    <x v="1"/>
    <n v="5"/>
    <n v="3"/>
    <s v="Medical"/>
    <n v="2057"/>
    <n v="2"/>
    <s v="Male"/>
    <n v="74"/>
    <n v="3"/>
    <n v="2"/>
    <s v="Manufacturing Director"/>
    <n v="1"/>
    <s v="Single"/>
    <n v="9936"/>
    <n v="3787"/>
    <n v="0"/>
    <s v="No"/>
    <n v="19"/>
    <n v="3"/>
    <n v="2"/>
    <n v="0"/>
    <n v="10"/>
    <n v="2"/>
    <n v="3"/>
    <n v="9"/>
    <n v="4"/>
    <n v="1"/>
    <n v="7"/>
  </r>
  <r>
    <n v="26"/>
    <x v="1"/>
    <s v="Travel_Rarely"/>
    <n v="1167"/>
    <x v="0"/>
    <n v="5"/>
    <n v="3"/>
    <s v="Other"/>
    <n v="2060"/>
    <n v="4"/>
    <s v="Female"/>
    <n v="30"/>
    <n v="2"/>
    <n v="1"/>
    <s v="Sales Representative"/>
    <n v="3"/>
    <s v="Single"/>
    <n v="2966"/>
    <n v="21378"/>
    <n v="0"/>
    <s v="No"/>
    <n v="18"/>
    <n v="3"/>
    <n v="4"/>
    <n v="0"/>
    <n v="5"/>
    <n v="2"/>
    <n v="3"/>
    <n v="4"/>
    <n v="2"/>
    <n v="0"/>
    <n v="0"/>
  </r>
  <r>
    <n v="36"/>
    <x v="1"/>
    <s v="Travel_Frequently"/>
    <n v="884"/>
    <x v="1"/>
    <n v="23"/>
    <n v="2"/>
    <s v="Medical"/>
    <n v="2061"/>
    <n v="3"/>
    <s v="Male"/>
    <n v="41"/>
    <n v="4"/>
    <n v="2"/>
    <s v="Laboratory Technician"/>
    <n v="4"/>
    <s v="Married"/>
    <n v="2571"/>
    <n v="12290"/>
    <n v="4"/>
    <s v="No"/>
    <n v="17"/>
    <n v="3"/>
    <n v="3"/>
    <n v="1"/>
    <n v="17"/>
    <n v="3"/>
    <n v="3"/>
    <n v="5"/>
    <n v="2"/>
    <n v="0"/>
    <n v="3"/>
  </r>
  <r>
    <n v="39"/>
    <x v="1"/>
    <s v="Travel_Rarely"/>
    <n v="613"/>
    <x v="1"/>
    <n v="6"/>
    <n v="1"/>
    <s v="Medical"/>
    <n v="2062"/>
    <n v="4"/>
    <s v="Male"/>
    <n v="42"/>
    <n v="2"/>
    <n v="3"/>
    <s v="Healthcare Representative"/>
    <n v="1"/>
    <s v="Married"/>
    <n v="9991"/>
    <n v="21457"/>
    <n v="4"/>
    <s v="No"/>
    <n v="15"/>
    <n v="3"/>
    <n v="1"/>
    <n v="1"/>
    <n v="9"/>
    <n v="5"/>
    <n v="3"/>
    <n v="7"/>
    <n v="7"/>
    <n v="1"/>
    <n v="7"/>
  </r>
  <r>
    <n v="27"/>
    <x v="1"/>
    <s v="Travel_Rarely"/>
    <n v="155"/>
    <x v="1"/>
    <n v="4"/>
    <n v="3"/>
    <s v="Life Sciences"/>
    <n v="2064"/>
    <n v="2"/>
    <s v="Male"/>
    <n v="87"/>
    <n v="4"/>
    <n v="2"/>
    <s v="Manufacturing Director"/>
    <n v="2"/>
    <s v="Married"/>
    <n v="6142"/>
    <n v="5174"/>
    <n v="1"/>
    <s v="Yes"/>
    <n v="20"/>
    <n v="4"/>
    <n v="2"/>
    <n v="1"/>
    <n v="6"/>
    <n v="0"/>
    <n v="3"/>
    <n v="6"/>
    <n v="2"/>
    <n v="0"/>
    <n v="3"/>
  </r>
  <r>
    <n v="49"/>
    <x v="1"/>
    <s v="Travel_Frequently"/>
    <n v="1023"/>
    <x v="0"/>
    <n v="2"/>
    <n v="3"/>
    <s v="Medical"/>
    <n v="2065"/>
    <n v="4"/>
    <s v="Male"/>
    <n v="63"/>
    <n v="2"/>
    <n v="2"/>
    <s v="Sales Executive"/>
    <n v="2"/>
    <s v="Married"/>
    <n v="5390"/>
    <n v="13243"/>
    <n v="2"/>
    <s v="No"/>
    <n v="14"/>
    <n v="3"/>
    <n v="4"/>
    <n v="0"/>
    <n v="17"/>
    <n v="3"/>
    <n v="2"/>
    <n v="9"/>
    <n v="6"/>
    <n v="0"/>
    <n v="8"/>
  </r>
  <r>
    <n v="34"/>
    <x v="1"/>
    <s v="Travel_Rarely"/>
    <n v="628"/>
    <x v="1"/>
    <n v="8"/>
    <n v="3"/>
    <s v="Medical"/>
    <n v="2068"/>
    <n v="2"/>
    <s v="Male"/>
    <n v="82"/>
    <n v="4"/>
    <n v="2"/>
    <s v="Laboratory Technician"/>
    <n v="3"/>
    <s v="Married"/>
    <n v="4404"/>
    <n v="10228"/>
    <n v="2"/>
    <s v="No"/>
    <n v="12"/>
    <n v="3"/>
    <n v="1"/>
    <n v="0"/>
    <n v="6"/>
    <n v="3"/>
    <n v="4"/>
    <n v="4"/>
    <n v="3"/>
    <n v="1"/>
    <n v="2"/>
  </r>
  <r>
    <m/>
    <x v="2"/>
    <m/>
    <m/>
    <x v="3"/>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count="1470">
  <r>
    <n v="41"/>
    <x v="0"/>
    <s v="Travel_Rarely"/>
    <n v="1102"/>
    <x v="0"/>
    <n v="1"/>
    <n v="2"/>
    <s v="Life Sciences"/>
    <n v="1"/>
    <n v="2"/>
    <x v="0"/>
    <n v="94"/>
    <n v="3"/>
    <n v="2"/>
    <s v="Sales Executive"/>
    <n v="4"/>
    <s v="Single"/>
    <n v="5993"/>
    <n v="19479"/>
    <n v="8"/>
    <x v="0"/>
    <n v="11"/>
    <n v="3"/>
    <n v="1"/>
    <n v="0"/>
    <n v="8"/>
    <n v="0"/>
    <n v="1"/>
    <n v="6"/>
    <n v="4"/>
    <n v="0"/>
    <n v="5"/>
  </r>
  <r>
    <n v="49"/>
    <x v="1"/>
    <s v="Travel_Frequently"/>
    <n v="279"/>
    <x v="1"/>
    <n v="8"/>
    <n v="1"/>
    <s v="Life Sciences"/>
    <n v="2"/>
    <n v="3"/>
    <x v="1"/>
    <n v="61"/>
    <n v="2"/>
    <n v="2"/>
    <s v="Research Scientist"/>
    <n v="2"/>
    <s v="Married"/>
    <n v="5130"/>
    <n v="24907"/>
    <n v="1"/>
    <x v="1"/>
    <n v="23"/>
    <n v="4"/>
    <n v="4"/>
    <n v="1"/>
    <n v="10"/>
    <n v="3"/>
    <n v="3"/>
    <n v="10"/>
    <n v="7"/>
    <n v="1"/>
    <n v="7"/>
  </r>
  <r>
    <n v="37"/>
    <x v="0"/>
    <s v="Travel_Rarely"/>
    <n v="1373"/>
    <x v="1"/>
    <n v="2"/>
    <n v="2"/>
    <s v="Other"/>
    <n v="4"/>
    <n v="4"/>
    <x v="1"/>
    <n v="92"/>
    <n v="2"/>
    <n v="1"/>
    <s v="Laboratory Technician"/>
    <n v="3"/>
    <s v="Single"/>
    <n v="2090"/>
    <n v="2396"/>
    <n v="6"/>
    <x v="0"/>
    <n v="15"/>
    <n v="3"/>
    <n v="2"/>
    <n v="0"/>
    <n v="7"/>
    <n v="3"/>
    <n v="3"/>
    <n v="0"/>
    <n v="0"/>
    <n v="0"/>
    <n v="0"/>
  </r>
  <r>
    <n v="33"/>
    <x v="1"/>
    <s v="Travel_Frequently"/>
    <n v="1392"/>
    <x v="1"/>
    <n v="3"/>
    <n v="4"/>
    <s v="Life Sciences"/>
    <n v="5"/>
    <n v="4"/>
    <x v="0"/>
    <n v="56"/>
    <n v="3"/>
    <n v="1"/>
    <s v="Research Scientist"/>
    <n v="3"/>
    <s v="Married"/>
    <n v="2909"/>
    <n v="23159"/>
    <n v="1"/>
    <x v="0"/>
    <n v="11"/>
    <n v="3"/>
    <n v="3"/>
    <n v="0"/>
    <n v="8"/>
    <n v="3"/>
    <n v="3"/>
    <n v="8"/>
    <n v="7"/>
    <n v="3"/>
    <n v="0"/>
  </r>
  <r>
    <n v="27"/>
    <x v="1"/>
    <s v="Travel_Rarely"/>
    <n v="591"/>
    <x v="1"/>
    <n v="2"/>
    <n v="1"/>
    <s v="Medical"/>
    <n v="7"/>
    <n v="1"/>
    <x v="1"/>
    <n v="40"/>
    <n v="3"/>
    <n v="1"/>
    <s v="Laboratory Technician"/>
    <n v="2"/>
    <s v="Married"/>
    <n v="3468"/>
    <n v="16632"/>
    <n v="9"/>
    <x v="1"/>
    <n v="12"/>
    <n v="3"/>
    <n v="4"/>
    <n v="1"/>
    <n v="6"/>
    <n v="3"/>
    <n v="3"/>
    <n v="2"/>
    <n v="2"/>
    <n v="2"/>
    <n v="2"/>
  </r>
  <r>
    <n v="32"/>
    <x v="1"/>
    <s v="Travel_Frequently"/>
    <n v="1005"/>
    <x v="1"/>
    <n v="2"/>
    <n v="2"/>
    <s v="Life Sciences"/>
    <n v="8"/>
    <n v="4"/>
    <x v="1"/>
    <n v="79"/>
    <n v="3"/>
    <n v="1"/>
    <s v="Laboratory Technician"/>
    <n v="4"/>
    <s v="Single"/>
    <n v="3068"/>
    <n v="11864"/>
    <n v="0"/>
    <x v="1"/>
    <n v="13"/>
    <n v="3"/>
    <n v="3"/>
    <n v="0"/>
    <n v="8"/>
    <n v="2"/>
    <n v="2"/>
    <n v="7"/>
    <n v="7"/>
    <n v="3"/>
    <n v="6"/>
  </r>
  <r>
    <n v="59"/>
    <x v="1"/>
    <s v="Travel_Rarely"/>
    <n v="1324"/>
    <x v="1"/>
    <n v="3"/>
    <n v="3"/>
    <s v="Medical"/>
    <n v="10"/>
    <n v="3"/>
    <x v="0"/>
    <n v="81"/>
    <n v="4"/>
    <n v="1"/>
    <s v="Laboratory Technician"/>
    <n v="1"/>
    <s v="Married"/>
    <n v="2670"/>
    <n v="9964"/>
    <n v="4"/>
    <x v="0"/>
    <n v="20"/>
    <n v="4"/>
    <n v="1"/>
    <n v="3"/>
    <n v="12"/>
    <n v="3"/>
    <n v="2"/>
    <n v="1"/>
    <n v="0"/>
    <n v="0"/>
    <n v="0"/>
  </r>
  <r>
    <n v="30"/>
    <x v="1"/>
    <s v="Travel_Rarely"/>
    <n v="1358"/>
    <x v="1"/>
    <n v="24"/>
    <n v="1"/>
    <s v="Life Sciences"/>
    <n v="11"/>
    <n v="4"/>
    <x v="1"/>
    <n v="67"/>
    <n v="3"/>
    <n v="1"/>
    <s v="Laboratory Technician"/>
    <n v="3"/>
    <s v="Divorced"/>
    <n v="2693"/>
    <n v="13335"/>
    <n v="1"/>
    <x v="1"/>
    <n v="22"/>
    <n v="4"/>
    <n v="2"/>
    <n v="1"/>
    <n v="1"/>
    <n v="2"/>
    <n v="3"/>
    <n v="1"/>
    <n v="0"/>
    <n v="0"/>
    <n v="0"/>
  </r>
  <r>
    <n v="38"/>
    <x v="1"/>
    <s v="Travel_Frequently"/>
    <n v="216"/>
    <x v="1"/>
    <n v="23"/>
    <n v="3"/>
    <s v="Life Sciences"/>
    <n v="12"/>
    <n v="4"/>
    <x v="1"/>
    <n v="44"/>
    <n v="2"/>
    <n v="3"/>
    <s v="Manufacturing Director"/>
    <n v="3"/>
    <s v="Single"/>
    <n v="9526"/>
    <n v="8787"/>
    <n v="0"/>
    <x v="1"/>
    <n v="21"/>
    <n v="4"/>
    <n v="2"/>
    <n v="0"/>
    <n v="10"/>
    <n v="2"/>
    <n v="3"/>
    <n v="9"/>
    <n v="7"/>
    <n v="1"/>
    <n v="8"/>
  </r>
  <r>
    <n v="36"/>
    <x v="1"/>
    <s v="Travel_Rarely"/>
    <n v="1299"/>
    <x v="1"/>
    <n v="27"/>
    <n v="3"/>
    <s v="Medical"/>
    <n v="13"/>
    <n v="3"/>
    <x v="1"/>
    <n v="94"/>
    <n v="3"/>
    <n v="2"/>
    <s v="Healthcare Representative"/>
    <n v="3"/>
    <s v="Married"/>
    <n v="5237"/>
    <n v="16577"/>
    <n v="6"/>
    <x v="1"/>
    <n v="13"/>
    <n v="3"/>
    <n v="2"/>
    <n v="2"/>
    <n v="17"/>
    <n v="3"/>
    <n v="2"/>
    <n v="7"/>
    <n v="7"/>
    <n v="7"/>
    <n v="7"/>
  </r>
  <r>
    <n v="35"/>
    <x v="1"/>
    <s v="Travel_Rarely"/>
    <n v="809"/>
    <x v="1"/>
    <n v="16"/>
    <n v="3"/>
    <s v="Medical"/>
    <n v="14"/>
    <n v="1"/>
    <x v="1"/>
    <n v="84"/>
    <n v="4"/>
    <n v="1"/>
    <s v="Laboratory Technician"/>
    <n v="2"/>
    <s v="Married"/>
    <n v="2426"/>
    <n v="16479"/>
    <n v="0"/>
    <x v="1"/>
    <n v="13"/>
    <n v="3"/>
    <n v="3"/>
    <n v="1"/>
    <n v="6"/>
    <n v="5"/>
    <n v="3"/>
    <n v="5"/>
    <n v="4"/>
    <n v="0"/>
    <n v="3"/>
  </r>
  <r>
    <n v="29"/>
    <x v="1"/>
    <s v="Travel_Rarely"/>
    <n v="153"/>
    <x v="1"/>
    <n v="15"/>
    <n v="2"/>
    <s v="Life Sciences"/>
    <n v="15"/>
    <n v="4"/>
    <x v="0"/>
    <n v="49"/>
    <n v="2"/>
    <n v="2"/>
    <s v="Laboratory Technician"/>
    <n v="3"/>
    <s v="Single"/>
    <n v="4193"/>
    <n v="12682"/>
    <n v="0"/>
    <x v="0"/>
    <n v="12"/>
    <n v="3"/>
    <n v="4"/>
    <n v="0"/>
    <n v="10"/>
    <n v="3"/>
    <n v="3"/>
    <n v="9"/>
    <n v="5"/>
    <n v="0"/>
    <n v="8"/>
  </r>
  <r>
    <n v="31"/>
    <x v="1"/>
    <s v="Travel_Rarely"/>
    <n v="670"/>
    <x v="1"/>
    <n v="26"/>
    <n v="1"/>
    <s v="Life Sciences"/>
    <n v="16"/>
    <n v="1"/>
    <x v="1"/>
    <n v="31"/>
    <n v="3"/>
    <n v="1"/>
    <s v="Research Scientist"/>
    <n v="3"/>
    <s v="Divorced"/>
    <n v="2911"/>
    <n v="15170"/>
    <n v="1"/>
    <x v="1"/>
    <n v="17"/>
    <n v="3"/>
    <n v="4"/>
    <n v="1"/>
    <n v="5"/>
    <n v="1"/>
    <n v="2"/>
    <n v="5"/>
    <n v="2"/>
    <n v="4"/>
    <n v="3"/>
  </r>
  <r>
    <n v="34"/>
    <x v="1"/>
    <s v="Travel_Rarely"/>
    <n v="1346"/>
    <x v="1"/>
    <n v="19"/>
    <n v="2"/>
    <s v="Medical"/>
    <n v="18"/>
    <n v="2"/>
    <x v="1"/>
    <n v="93"/>
    <n v="3"/>
    <n v="1"/>
    <s v="Laboratory Technician"/>
    <n v="4"/>
    <s v="Divorced"/>
    <n v="2661"/>
    <n v="8758"/>
    <n v="0"/>
    <x v="1"/>
    <n v="11"/>
    <n v="3"/>
    <n v="3"/>
    <n v="1"/>
    <n v="3"/>
    <n v="2"/>
    <n v="3"/>
    <n v="2"/>
    <n v="2"/>
    <n v="1"/>
    <n v="2"/>
  </r>
  <r>
    <n v="28"/>
    <x v="0"/>
    <s v="Travel_Rarely"/>
    <n v="103"/>
    <x v="1"/>
    <n v="24"/>
    <n v="3"/>
    <s v="Life Sciences"/>
    <n v="19"/>
    <n v="3"/>
    <x v="1"/>
    <n v="50"/>
    <n v="2"/>
    <n v="1"/>
    <s v="Laboratory Technician"/>
    <n v="3"/>
    <s v="Single"/>
    <n v="2028"/>
    <n v="12947"/>
    <n v="5"/>
    <x v="0"/>
    <n v="14"/>
    <n v="3"/>
    <n v="2"/>
    <n v="0"/>
    <n v="6"/>
    <n v="4"/>
    <n v="3"/>
    <n v="4"/>
    <n v="2"/>
    <n v="0"/>
    <n v="3"/>
  </r>
  <r>
    <n v="29"/>
    <x v="1"/>
    <s v="Travel_Rarely"/>
    <n v="1389"/>
    <x v="1"/>
    <n v="21"/>
    <n v="4"/>
    <s v="Life Sciences"/>
    <n v="20"/>
    <n v="2"/>
    <x v="0"/>
    <n v="51"/>
    <n v="4"/>
    <n v="3"/>
    <s v="Manufacturing Director"/>
    <n v="1"/>
    <s v="Divorced"/>
    <n v="9980"/>
    <n v="10195"/>
    <n v="1"/>
    <x v="1"/>
    <n v="11"/>
    <n v="3"/>
    <n v="3"/>
    <n v="1"/>
    <n v="10"/>
    <n v="1"/>
    <n v="3"/>
    <n v="10"/>
    <n v="9"/>
    <n v="8"/>
    <n v="8"/>
  </r>
  <r>
    <n v="32"/>
    <x v="1"/>
    <s v="Travel_Rarely"/>
    <n v="334"/>
    <x v="1"/>
    <n v="5"/>
    <n v="2"/>
    <s v="Life Sciences"/>
    <n v="21"/>
    <n v="1"/>
    <x v="1"/>
    <n v="80"/>
    <n v="4"/>
    <n v="1"/>
    <s v="Research Scientist"/>
    <n v="2"/>
    <s v="Divorced"/>
    <n v="3298"/>
    <n v="15053"/>
    <n v="0"/>
    <x v="0"/>
    <n v="12"/>
    <n v="3"/>
    <n v="4"/>
    <n v="2"/>
    <n v="7"/>
    <n v="5"/>
    <n v="2"/>
    <n v="6"/>
    <n v="2"/>
    <n v="0"/>
    <n v="5"/>
  </r>
  <r>
    <n v="22"/>
    <x v="1"/>
    <s v="Non-Travel"/>
    <n v="1123"/>
    <x v="1"/>
    <n v="16"/>
    <n v="2"/>
    <s v="Medical"/>
    <n v="22"/>
    <n v="4"/>
    <x v="1"/>
    <n v="96"/>
    <n v="4"/>
    <n v="1"/>
    <s v="Laboratory Technician"/>
    <n v="4"/>
    <s v="Divorced"/>
    <n v="2935"/>
    <n v="7324"/>
    <n v="1"/>
    <x v="0"/>
    <n v="13"/>
    <n v="3"/>
    <n v="2"/>
    <n v="2"/>
    <n v="1"/>
    <n v="2"/>
    <n v="2"/>
    <n v="1"/>
    <n v="0"/>
    <n v="0"/>
    <n v="0"/>
  </r>
  <r>
    <n v="53"/>
    <x v="1"/>
    <s v="Travel_Rarely"/>
    <n v="1219"/>
    <x v="0"/>
    <n v="2"/>
    <n v="4"/>
    <s v="Life Sciences"/>
    <n v="23"/>
    <n v="1"/>
    <x v="0"/>
    <n v="78"/>
    <n v="2"/>
    <n v="4"/>
    <s v="Manager"/>
    <n v="4"/>
    <s v="Married"/>
    <n v="15427"/>
    <n v="22021"/>
    <n v="2"/>
    <x v="1"/>
    <n v="16"/>
    <n v="3"/>
    <n v="3"/>
    <n v="0"/>
    <n v="31"/>
    <n v="3"/>
    <n v="3"/>
    <n v="25"/>
    <n v="8"/>
    <n v="3"/>
    <n v="7"/>
  </r>
  <r>
    <n v="38"/>
    <x v="1"/>
    <s v="Travel_Rarely"/>
    <n v="371"/>
    <x v="1"/>
    <n v="2"/>
    <n v="3"/>
    <s v="Life Sciences"/>
    <n v="24"/>
    <n v="4"/>
    <x v="1"/>
    <n v="45"/>
    <n v="3"/>
    <n v="1"/>
    <s v="Research Scientist"/>
    <n v="4"/>
    <s v="Single"/>
    <n v="3944"/>
    <n v="4306"/>
    <n v="5"/>
    <x v="0"/>
    <n v="11"/>
    <n v="3"/>
    <n v="3"/>
    <n v="0"/>
    <n v="6"/>
    <n v="3"/>
    <n v="3"/>
    <n v="3"/>
    <n v="2"/>
    <n v="1"/>
    <n v="2"/>
  </r>
  <r>
    <n v="24"/>
    <x v="1"/>
    <s v="Non-Travel"/>
    <n v="673"/>
    <x v="1"/>
    <n v="11"/>
    <n v="2"/>
    <s v="Other"/>
    <n v="26"/>
    <n v="1"/>
    <x v="0"/>
    <n v="96"/>
    <n v="4"/>
    <n v="2"/>
    <s v="Manufacturing Director"/>
    <n v="3"/>
    <s v="Divorced"/>
    <n v="4011"/>
    <n v="8232"/>
    <n v="0"/>
    <x v="1"/>
    <n v="18"/>
    <n v="3"/>
    <n v="4"/>
    <n v="1"/>
    <n v="5"/>
    <n v="5"/>
    <n v="2"/>
    <n v="4"/>
    <n v="2"/>
    <n v="1"/>
    <n v="3"/>
  </r>
  <r>
    <n v="36"/>
    <x v="0"/>
    <s v="Travel_Rarely"/>
    <n v="1218"/>
    <x v="0"/>
    <n v="9"/>
    <n v="4"/>
    <s v="Life Sciences"/>
    <n v="27"/>
    <n v="3"/>
    <x v="1"/>
    <n v="82"/>
    <n v="2"/>
    <n v="1"/>
    <s v="Sales Representative"/>
    <n v="1"/>
    <s v="Single"/>
    <n v="3407"/>
    <n v="6986"/>
    <n v="7"/>
    <x v="1"/>
    <n v="23"/>
    <n v="4"/>
    <n v="2"/>
    <n v="0"/>
    <n v="10"/>
    <n v="4"/>
    <n v="3"/>
    <n v="5"/>
    <n v="3"/>
    <n v="0"/>
    <n v="3"/>
  </r>
  <r>
    <n v="34"/>
    <x v="1"/>
    <s v="Travel_Rarely"/>
    <n v="419"/>
    <x v="1"/>
    <n v="7"/>
    <n v="4"/>
    <s v="Life Sciences"/>
    <n v="28"/>
    <n v="1"/>
    <x v="0"/>
    <n v="53"/>
    <n v="3"/>
    <n v="3"/>
    <s v="Research Director"/>
    <n v="2"/>
    <s v="Single"/>
    <n v="11994"/>
    <n v="21293"/>
    <n v="0"/>
    <x v="1"/>
    <n v="11"/>
    <n v="3"/>
    <n v="3"/>
    <n v="0"/>
    <n v="13"/>
    <n v="4"/>
    <n v="3"/>
    <n v="12"/>
    <n v="6"/>
    <n v="2"/>
    <n v="11"/>
  </r>
  <r>
    <n v="21"/>
    <x v="1"/>
    <s v="Travel_Rarely"/>
    <n v="391"/>
    <x v="1"/>
    <n v="15"/>
    <n v="2"/>
    <s v="Life Sciences"/>
    <n v="30"/>
    <n v="3"/>
    <x v="1"/>
    <n v="96"/>
    <n v="3"/>
    <n v="1"/>
    <s v="Research Scientist"/>
    <n v="4"/>
    <s v="Single"/>
    <n v="1232"/>
    <n v="19281"/>
    <n v="1"/>
    <x v="1"/>
    <n v="14"/>
    <n v="3"/>
    <n v="4"/>
    <n v="0"/>
    <n v="0"/>
    <n v="6"/>
    <n v="3"/>
    <n v="0"/>
    <n v="0"/>
    <n v="0"/>
    <n v="0"/>
  </r>
  <r>
    <n v="34"/>
    <x v="0"/>
    <s v="Travel_Rarely"/>
    <n v="699"/>
    <x v="1"/>
    <n v="6"/>
    <n v="1"/>
    <s v="Medical"/>
    <n v="31"/>
    <n v="2"/>
    <x v="1"/>
    <n v="83"/>
    <n v="3"/>
    <n v="1"/>
    <s v="Research Scientist"/>
    <n v="1"/>
    <s v="Single"/>
    <n v="2960"/>
    <n v="17102"/>
    <n v="2"/>
    <x v="1"/>
    <n v="11"/>
    <n v="3"/>
    <n v="3"/>
    <n v="0"/>
    <n v="8"/>
    <n v="2"/>
    <n v="3"/>
    <n v="4"/>
    <n v="2"/>
    <n v="1"/>
    <n v="3"/>
  </r>
  <r>
    <n v="53"/>
    <x v="1"/>
    <s v="Travel_Rarely"/>
    <n v="1282"/>
    <x v="1"/>
    <n v="5"/>
    <n v="3"/>
    <s v="Other"/>
    <n v="32"/>
    <n v="3"/>
    <x v="0"/>
    <n v="58"/>
    <n v="3"/>
    <n v="5"/>
    <s v="Manager"/>
    <n v="3"/>
    <s v="Divorced"/>
    <n v="19094"/>
    <n v="10735"/>
    <n v="4"/>
    <x v="1"/>
    <n v="11"/>
    <n v="3"/>
    <n v="4"/>
    <n v="1"/>
    <n v="26"/>
    <n v="3"/>
    <n v="2"/>
    <n v="14"/>
    <n v="13"/>
    <n v="4"/>
    <n v="8"/>
  </r>
  <r>
    <n v="32"/>
    <x v="0"/>
    <s v="Travel_Frequently"/>
    <n v="1125"/>
    <x v="1"/>
    <n v="16"/>
    <n v="1"/>
    <s v="Life Sciences"/>
    <n v="33"/>
    <n v="2"/>
    <x v="0"/>
    <n v="72"/>
    <n v="1"/>
    <n v="1"/>
    <s v="Research Scientist"/>
    <n v="1"/>
    <s v="Single"/>
    <n v="3919"/>
    <n v="4681"/>
    <n v="1"/>
    <x v="0"/>
    <n v="22"/>
    <n v="4"/>
    <n v="2"/>
    <n v="0"/>
    <n v="10"/>
    <n v="5"/>
    <n v="3"/>
    <n v="10"/>
    <n v="2"/>
    <n v="6"/>
    <n v="7"/>
  </r>
  <r>
    <n v="42"/>
    <x v="1"/>
    <s v="Travel_Rarely"/>
    <n v="691"/>
    <x v="0"/>
    <n v="8"/>
    <n v="4"/>
    <s v="Marketing"/>
    <n v="35"/>
    <n v="3"/>
    <x v="1"/>
    <n v="48"/>
    <n v="3"/>
    <n v="2"/>
    <s v="Sales Executive"/>
    <n v="2"/>
    <s v="Married"/>
    <n v="6825"/>
    <n v="21173"/>
    <n v="0"/>
    <x v="1"/>
    <n v="11"/>
    <n v="3"/>
    <n v="4"/>
    <n v="1"/>
    <n v="10"/>
    <n v="2"/>
    <n v="3"/>
    <n v="9"/>
    <n v="7"/>
    <n v="4"/>
    <n v="2"/>
  </r>
  <r>
    <n v="44"/>
    <x v="1"/>
    <s v="Travel_Rarely"/>
    <n v="477"/>
    <x v="1"/>
    <n v="7"/>
    <n v="4"/>
    <s v="Medical"/>
    <n v="36"/>
    <n v="1"/>
    <x v="0"/>
    <n v="42"/>
    <n v="2"/>
    <n v="3"/>
    <s v="Healthcare Representative"/>
    <n v="4"/>
    <s v="Married"/>
    <n v="10248"/>
    <n v="2094"/>
    <n v="3"/>
    <x v="1"/>
    <n v="14"/>
    <n v="3"/>
    <n v="4"/>
    <n v="1"/>
    <n v="24"/>
    <n v="4"/>
    <n v="3"/>
    <n v="22"/>
    <n v="6"/>
    <n v="5"/>
    <n v="17"/>
  </r>
  <r>
    <n v="46"/>
    <x v="1"/>
    <s v="Travel_Rarely"/>
    <n v="705"/>
    <x v="0"/>
    <n v="2"/>
    <n v="4"/>
    <s v="Marketing"/>
    <n v="38"/>
    <n v="2"/>
    <x v="0"/>
    <n v="83"/>
    <n v="3"/>
    <n v="5"/>
    <s v="Manager"/>
    <n v="1"/>
    <s v="Single"/>
    <n v="18947"/>
    <n v="22822"/>
    <n v="3"/>
    <x v="1"/>
    <n v="12"/>
    <n v="3"/>
    <n v="4"/>
    <n v="0"/>
    <n v="22"/>
    <n v="2"/>
    <n v="2"/>
    <n v="2"/>
    <n v="2"/>
    <n v="2"/>
    <n v="1"/>
  </r>
  <r>
    <n v="33"/>
    <x v="1"/>
    <s v="Travel_Rarely"/>
    <n v="924"/>
    <x v="1"/>
    <n v="2"/>
    <n v="3"/>
    <s v="Medical"/>
    <n v="39"/>
    <n v="3"/>
    <x v="1"/>
    <n v="78"/>
    <n v="3"/>
    <n v="1"/>
    <s v="Laboratory Technician"/>
    <n v="4"/>
    <s v="Single"/>
    <n v="2496"/>
    <n v="6670"/>
    <n v="4"/>
    <x v="1"/>
    <n v="11"/>
    <n v="3"/>
    <n v="4"/>
    <n v="0"/>
    <n v="7"/>
    <n v="3"/>
    <n v="3"/>
    <n v="1"/>
    <n v="1"/>
    <n v="0"/>
    <n v="0"/>
  </r>
  <r>
    <n v="44"/>
    <x v="1"/>
    <s v="Travel_Rarely"/>
    <n v="1459"/>
    <x v="1"/>
    <n v="10"/>
    <n v="4"/>
    <s v="Other"/>
    <n v="40"/>
    <n v="4"/>
    <x v="1"/>
    <n v="41"/>
    <n v="3"/>
    <n v="2"/>
    <s v="Healthcare Representative"/>
    <n v="4"/>
    <s v="Married"/>
    <n v="6465"/>
    <n v="19121"/>
    <n v="2"/>
    <x v="0"/>
    <n v="13"/>
    <n v="3"/>
    <n v="4"/>
    <n v="0"/>
    <n v="9"/>
    <n v="5"/>
    <n v="4"/>
    <n v="4"/>
    <n v="2"/>
    <n v="1"/>
    <n v="3"/>
  </r>
  <r>
    <n v="30"/>
    <x v="1"/>
    <s v="Travel_Rarely"/>
    <n v="125"/>
    <x v="1"/>
    <n v="9"/>
    <n v="2"/>
    <s v="Medical"/>
    <n v="41"/>
    <n v="4"/>
    <x v="1"/>
    <n v="83"/>
    <n v="2"/>
    <n v="1"/>
    <s v="Laboratory Technician"/>
    <n v="3"/>
    <s v="Single"/>
    <n v="2206"/>
    <n v="16117"/>
    <n v="1"/>
    <x v="1"/>
    <n v="13"/>
    <n v="3"/>
    <n v="1"/>
    <n v="0"/>
    <n v="10"/>
    <n v="5"/>
    <n v="3"/>
    <n v="10"/>
    <n v="0"/>
    <n v="1"/>
    <n v="8"/>
  </r>
  <r>
    <n v="39"/>
    <x v="0"/>
    <s v="Travel_Rarely"/>
    <n v="895"/>
    <x v="0"/>
    <n v="5"/>
    <n v="3"/>
    <s v="Technical Degree"/>
    <n v="42"/>
    <n v="4"/>
    <x v="1"/>
    <n v="56"/>
    <n v="3"/>
    <n v="2"/>
    <s v="Sales Representative"/>
    <n v="4"/>
    <s v="Married"/>
    <n v="2086"/>
    <n v="3335"/>
    <n v="3"/>
    <x v="1"/>
    <n v="14"/>
    <n v="3"/>
    <n v="3"/>
    <n v="1"/>
    <n v="19"/>
    <n v="6"/>
    <n v="4"/>
    <n v="1"/>
    <n v="0"/>
    <n v="0"/>
    <n v="0"/>
  </r>
  <r>
    <n v="24"/>
    <x v="0"/>
    <s v="Travel_Rarely"/>
    <n v="813"/>
    <x v="1"/>
    <n v="1"/>
    <n v="3"/>
    <s v="Medical"/>
    <n v="45"/>
    <n v="2"/>
    <x v="1"/>
    <n v="61"/>
    <n v="3"/>
    <n v="1"/>
    <s v="Research Scientist"/>
    <n v="4"/>
    <s v="Married"/>
    <n v="2293"/>
    <n v="3020"/>
    <n v="2"/>
    <x v="0"/>
    <n v="16"/>
    <n v="3"/>
    <n v="1"/>
    <n v="1"/>
    <n v="6"/>
    <n v="2"/>
    <n v="2"/>
    <n v="2"/>
    <n v="0"/>
    <n v="2"/>
    <n v="0"/>
  </r>
  <r>
    <n v="43"/>
    <x v="1"/>
    <s v="Travel_Rarely"/>
    <n v="1273"/>
    <x v="1"/>
    <n v="2"/>
    <n v="2"/>
    <s v="Medical"/>
    <n v="46"/>
    <n v="4"/>
    <x v="0"/>
    <n v="72"/>
    <n v="4"/>
    <n v="1"/>
    <s v="Research Scientist"/>
    <n v="3"/>
    <s v="Divorced"/>
    <n v="2645"/>
    <n v="21923"/>
    <n v="1"/>
    <x v="1"/>
    <n v="12"/>
    <n v="3"/>
    <n v="4"/>
    <n v="2"/>
    <n v="6"/>
    <n v="3"/>
    <n v="2"/>
    <n v="5"/>
    <n v="3"/>
    <n v="1"/>
    <n v="4"/>
  </r>
  <r>
    <n v="50"/>
    <x v="0"/>
    <s v="Travel_Rarely"/>
    <n v="869"/>
    <x v="0"/>
    <n v="3"/>
    <n v="2"/>
    <s v="Marketing"/>
    <n v="47"/>
    <n v="1"/>
    <x v="1"/>
    <n v="86"/>
    <n v="2"/>
    <n v="1"/>
    <s v="Sales Representative"/>
    <n v="3"/>
    <s v="Married"/>
    <n v="2683"/>
    <n v="3810"/>
    <n v="1"/>
    <x v="0"/>
    <n v="14"/>
    <n v="3"/>
    <n v="3"/>
    <n v="0"/>
    <n v="3"/>
    <n v="2"/>
    <n v="3"/>
    <n v="3"/>
    <n v="2"/>
    <n v="0"/>
    <n v="2"/>
  </r>
  <r>
    <n v="35"/>
    <x v="1"/>
    <s v="Travel_Rarely"/>
    <n v="890"/>
    <x v="0"/>
    <n v="2"/>
    <n v="3"/>
    <s v="Marketing"/>
    <n v="49"/>
    <n v="4"/>
    <x v="0"/>
    <n v="97"/>
    <n v="3"/>
    <n v="1"/>
    <s v="Sales Representative"/>
    <n v="4"/>
    <s v="Married"/>
    <n v="2014"/>
    <n v="9687"/>
    <n v="1"/>
    <x v="1"/>
    <n v="13"/>
    <n v="3"/>
    <n v="1"/>
    <n v="0"/>
    <n v="2"/>
    <n v="3"/>
    <n v="3"/>
    <n v="2"/>
    <n v="2"/>
    <n v="2"/>
    <n v="2"/>
  </r>
  <r>
    <n v="36"/>
    <x v="1"/>
    <s v="Travel_Rarely"/>
    <n v="852"/>
    <x v="1"/>
    <n v="5"/>
    <n v="4"/>
    <s v="Life Sciences"/>
    <n v="51"/>
    <n v="2"/>
    <x v="0"/>
    <n v="82"/>
    <n v="2"/>
    <n v="1"/>
    <s v="Research Scientist"/>
    <n v="1"/>
    <s v="Married"/>
    <n v="3419"/>
    <n v="13072"/>
    <n v="9"/>
    <x v="0"/>
    <n v="14"/>
    <n v="3"/>
    <n v="4"/>
    <n v="1"/>
    <n v="6"/>
    <n v="3"/>
    <n v="4"/>
    <n v="1"/>
    <n v="1"/>
    <n v="0"/>
    <n v="0"/>
  </r>
  <r>
    <n v="33"/>
    <x v="1"/>
    <s v="Travel_Frequently"/>
    <n v="1141"/>
    <x v="0"/>
    <n v="1"/>
    <n v="3"/>
    <s v="Life Sciences"/>
    <n v="52"/>
    <n v="3"/>
    <x v="0"/>
    <n v="42"/>
    <n v="4"/>
    <n v="2"/>
    <s v="Sales Executive"/>
    <n v="1"/>
    <s v="Married"/>
    <n v="5376"/>
    <n v="3193"/>
    <n v="2"/>
    <x v="1"/>
    <n v="19"/>
    <n v="3"/>
    <n v="1"/>
    <n v="2"/>
    <n v="10"/>
    <n v="3"/>
    <n v="3"/>
    <n v="5"/>
    <n v="3"/>
    <n v="1"/>
    <n v="3"/>
  </r>
  <r>
    <n v="35"/>
    <x v="1"/>
    <s v="Travel_Rarely"/>
    <n v="464"/>
    <x v="1"/>
    <n v="4"/>
    <n v="2"/>
    <s v="Other"/>
    <n v="53"/>
    <n v="3"/>
    <x v="1"/>
    <n v="75"/>
    <n v="3"/>
    <n v="1"/>
    <s v="Laboratory Technician"/>
    <n v="4"/>
    <s v="Divorced"/>
    <n v="1951"/>
    <n v="10910"/>
    <n v="1"/>
    <x v="1"/>
    <n v="12"/>
    <n v="3"/>
    <n v="3"/>
    <n v="1"/>
    <n v="1"/>
    <n v="3"/>
    <n v="3"/>
    <n v="1"/>
    <n v="0"/>
    <n v="0"/>
    <n v="0"/>
  </r>
  <r>
    <n v="27"/>
    <x v="1"/>
    <s v="Travel_Rarely"/>
    <n v="1240"/>
    <x v="1"/>
    <n v="2"/>
    <n v="4"/>
    <s v="Life Sciences"/>
    <n v="54"/>
    <n v="4"/>
    <x v="0"/>
    <n v="33"/>
    <n v="3"/>
    <n v="1"/>
    <s v="Laboratory Technician"/>
    <n v="1"/>
    <s v="Divorced"/>
    <n v="2341"/>
    <n v="19715"/>
    <n v="1"/>
    <x v="1"/>
    <n v="13"/>
    <n v="3"/>
    <n v="4"/>
    <n v="1"/>
    <n v="1"/>
    <n v="6"/>
    <n v="3"/>
    <n v="1"/>
    <n v="0"/>
    <n v="0"/>
    <n v="0"/>
  </r>
  <r>
    <n v="26"/>
    <x v="0"/>
    <s v="Travel_Rarely"/>
    <n v="1357"/>
    <x v="1"/>
    <n v="25"/>
    <n v="3"/>
    <s v="Life Sciences"/>
    <n v="55"/>
    <n v="1"/>
    <x v="1"/>
    <n v="48"/>
    <n v="1"/>
    <n v="1"/>
    <s v="Laboratory Technician"/>
    <n v="3"/>
    <s v="Single"/>
    <n v="2293"/>
    <n v="10558"/>
    <n v="1"/>
    <x v="1"/>
    <n v="12"/>
    <n v="3"/>
    <n v="3"/>
    <n v="0"/>
    <n v="1"/>
    <n v="2"/>
    <n v="2"/>
    <n v="1"/>
    <n v="0"/>
    <n v="0"/>
    <n v="1"/>
  </r>
  <r>
    <n v="27"/>
    <x v="1"/>
    <s v="Travel_Frequently"/>
    <n v="994"/>
    <x v="0"/>
    <n v="8"/>
    <n v="3"/>
    <s v="Life Sciences"/>
    <n v="56"/>
    <n v="4"/>
    <x v="1"/>
    <n v="37"/>
    <n v="3"/>
    <n v="3"/>
    <s v="Sales Executive"/>
    <n v="3"/>
    <s v="Single"/>
    <n v="8726"/>
    <n v="2975"/>
    <n v="1"/>
    <x v="1"/>
    <n v="15"/>
    <n v="3"/>
    <n v="4"/>
    <n v="0"/>
    <n v="9"/>
    <n v="0"/>
    <n v="3"/>
    <n v="9"/>
    <n v="8"/>
    <n v="1"/>
    <n v="7"/>
  </r>
  <r>
    <n v="30"/>
    <x v="1"/>
    <s v="Travel_Frequently"/>
    <n v="721"/>
    <x v="1"/>
    <n v="1"/>
    <n v="2"/>
    <s v="Medical"/>
    <n v="57"/>
    <n v="3"/>
    <x v="0"/>
    <n v="58"/>
    <n v="3"/>
    <n v="2"/>
    <s v="Laboratory Technician"/>
    <n v="4"/>
    <s v="Single"/>
    <n v="4011"/>
    <n v="10781"/>
    <n v="1"/>
    <x v="1"/>
    <n v="23"/>
    <n v="4"/>
    <n v="4"/>
    <n v="0"/>
    <n v="12"/>
    <n v="2"/>
    <n v="3"/>
    <n v="12"/>
    <n v="8"/>
    <n v="3"/>
    <n v="7"/>
  </r>
  <r>
    <n v="41"/>
    <x v="0"/>
    <s v="Travel_Rarely"/>
    <n v="1360"/>
    <x v="1"/>
    <n v="12"/>
    <n v="3"/>
    <s v="Technical Degree"/>
    <n v="58"/>
    <n v="2"/>
    <x v="0"/>
    <n v="49"/>
    <n v="3"/>
    <n v="5"/>
    <s v="Research Director"/>
    <n v="3"/>
    <s v="Married"/>
    <n v="19545"/>
    <n v="16280"/>
    <n v="1"/>
    <x v="1"/>
    <n v="12"/>
    <n v="3"/>
    <n v="4"/>
    <n v="0"/>
    <n v="23"/>
    <n v="0"/>
    <n v="3"/>
    <n v="22"/>
    <n v="15"/>
    <n v="15"/>
    <n v="8"/>
  </r>
  <r>
    <n v="34"/>
    <x v="1"/>
    <s v="Non-Travel"/>
    <n v="1065"/>
    <x v="0"/>
    <n v="23"/>
    <n v="4"/>
    <s v="Marketing"/>
    <n v="60"/>
    <n v="2"/>
    <x v="1"/>
    <n v="72"/>
    <n v="3"/>
    <n v="2"/>
    <s v="Sales Executive"/>
    <n v="3"/>
    <s v="Single"/>
    <n v="4568"/>
    <n v="10034"/>
    <n v="0"/>
    <x v="1"/>
    <n v="20"/>
    <n v="4"/>
    <n v="3"/>
    <n v="0"/>
    <n v="10"/>
    <n v="2"/>
    <n v="3"/>
    <n v="9"/>
    <n v="5"/>
    <n v="8"/>
    <n v="7"/>
  </r>
  <r>
    <n v="37"/>
    <x v="1"/>
    <s v="Travel_Rarely"/>
    <n v="408"/>
    <x v="1"/>
    <n v="19"/>
    <n v="2"/>
    <s v="Life Sciences"/>
    <n v="61"/>
    <n v="2"/>
    <x v="1"/>
    <n v="73"/>
    <n v="3"/>
    <n v="1"/>
    <s v="Research Scientist"/>
    <n v="2"/>
    <s v="Married"/>
    <n v="3022"/>
    <n v="10227"/>
    <n v="4"/>
    <x v="1"/>
    <n v="21"/>
    <n v="4"/>
    <n v="1"/>
    <n v="0"/>
    <n v="8"/>
    <n v="1"/>
    <n v="3"/>
    <n v="1"/>
    <n v="0"/>
    <n v="0"/>
    <n v="0"/>
  </r>
  <r>
    <n v="46"/>
    <x v="1"/>
    <s v="Travel_Frequently"/>
    <n v="1211"/>
    <x v="0"/>
    <n v="5"/>
    <n v="4"/>
    <s v="Marketing"/>
    <n v="62"/>
    <n v="1"/>
    <x v="1"/>
    <n v="98"/>
    <n v="3"/>
    <n v="2"/>
    <s v="Sales Executive"/>
    <n v="4"/>
    <s v="Single"/>
    <n v="5772"/>
    <n v="20445"/>
    <n v="4"/>
    <x v="0"/>
    <n v="21"/>
    <n v="4"/>
    <n v="3"/>
    <n v="0"/>
    <n v="14"/>
    <n v="4"/>
    <n v="3"/>
    <n v="9"/>
    <n v="6"/>
    <n v="0"/>
    <n v="8"/>
  </r>
  <r>
    <n v="35"/>
    <x v="1"/>
    <s v="Travel_Rarely"/>
    <n v="1229"/>
    <x v="1"/>
    <n v="8"/>
    <n v="1"/>
    <s v="Life Sciences"/>
    <n v="63"/>
    <n v="4"/>
    <x v="1"/>
    <n v="36"/>
    <n v="4"/>
    <n v="1"/>
    <s v="Laboratory Technician"/>
    <n v="4"/>
    <s v="Married"/>
    <n v="2269"/>
    <n v="4892"/>
    <n v="1"/>
    <x v="1"/>
    <n v="19"/>
    <n v="3"/>
    <n v="4"/>
    <n v="0"/>
    <n v="1"/>
    <n v="2"/>
    <n v="3"/>
    <n v="1"/>
    <n v="0"/>
    <n v="0"/>
    <n v="1"/>
  </r>
  <r>
    <n v="48"/>
    <x v="0"/>
    <s v="Travel_Rarely"/>
    <n v="626"/>
    <x v="1"/>
    <n v="1"/>
    <n v="2"/>
    <s v="Life Sciences"/>
    <n v="64"/>
    <n v="1"/>
    <x v="1"/>
    <n v="98"/>
    <n v="2"/>
    <n v="3"/>
    <s v="Laboratory Technician"/>
    <n v="3"/>
    <s v="Single"/>
    <n v="5381"/>
    <n v="19294"/>
    <n v="9"/>
    <x v="0"/>
    <n v="13"/>
    <n v="3"/>
    <n v="4"/>
    <n v="0"/>
    <n v="23"/>
    <n v="2"/>
    <n v="3"/>
    <n v="1"/>
    <n v="0"/>
    <n v="0"/>
    <n v="0"/>
  </r>
  <r>
    <n v="28"/>
    <x v="0"/>
    <s v="Travel_Rarely"/>
    <n v="1434"/>
    <x v="1"/>
    <n v="5"/>
    <n v="4"/>
    <s v="Technical Degree"/>
    <n v="65"/>
    <n v="3"/>
    <x v="1"/>
    <n v="50"/>
    <n v="3"/>
    <n v="1"/>
    <s v="Laboratory Technician"/>
    <n v="3"/>
    <s v="Single"/>
    <n v="3441"/>
    <n v="11179"/>
    <n v="1"/>
    <x v="0"/>
    <n v="13"/>
    <n v="3"/>
    <n v="3"/>
    <n v="0"/>
    <n v="2"/>
    <n v="3"/>
    <n v="2"/>
    <n v="2"/>
    <n v="2"/>
    <n v="2"/>
    <n v="2"/>
  </r>
  <r>
    <n v="44"/>
    <x v="1"/>
    <s v="Travel_Rarely"/>
    <n v="1488"/>
    <x v="0"/>
    <n v="1"/>
    <n v="5"/>
    <s v="Marketing"/>
    <n v="68"/>
    <n v="2"/>
    <x v="0"/>
    <n v="75"/>
    <n v="3"/>
    <n v="2"/>
    <s v="Sales Executive"/>
    <n v="1"/>
    <s v="Divorced"/>
    <n v="5454"/>
    <n v="4009"/>
    <n v="5"/>
    <x v="0"/>
    <n v="21"/>
    <n v="4"/>
    <n v="3"/>
    <n v="1"/>
    <n v="9"/>
    <n v="2"/>
    <n v="2"/>
    <n v="4"/>
    <n v="3"/>
    <n v="1"/>
    <n v="3"/>
  </r>
  <r>
    <n v="35"/>
    <x v="1"/>
    <s v="Non-Travel"/>
    <n v="1097"/>
    <x v="1"/>
    <n v="11"/>
    <n v="2"/>
    <s v="Medical"/>
    <n v="70"/>
    <n v="3"/>
    <x v="1"/>
    <n v="79"/>
    <n v="2"/>
    <n v="3"/>
    <s v="Healthcare Representative"/>
    <n v="1"/>
    <s v="Married"/>
    <n v="9884"/>
    <n v="8302"/>
    <n v="2"/>
    <x v="0"/>
    <n v="13"/>
    <n v="3"/>
    <n v="3"/>
    <n v="1"/>
    <n v="10"/>
    <n v="3"/>
    <n v="3"/>
    <n v="4"/>
    <n v="0"/>
    <n v="2"/>
    <n v="3"/>
  </r>
  <r>
    <n v="26"/>
    <x v="1"/>
    <s v="Travel_Rarely"/>
    <n v="1443"/>
    <x v="0"/>
    <n v="23"/>
    <n v="3"/>
    <s v="Marketing"/>
    <n v="72"/>
    <n v="3"/>
    <x v="0"/>
    <n v="47"/>
    <n v="2"/>
    <n v="2"/>
    <s v="Sales Executive"/>
    <n v="4"/>
    <s v="Married"/>
    <n v="4157"/>
    <n v="21436"/>
    <n v="7"/>
    <x v="0"/>
    <n v="19"/>
    <n v="3"/>
    <n v="3"/>
    <n v="1"/>
    <n v="5"/>
    <n v="2"/>
    <n v="2"/>
    <n v="2"/>
    <n v="2"/>
    <n v="0"/>
    <n v="0"/>
  </r>
  <r>
    <n v="33"/>
    <x v="1"/>
    <s v="Travel_Frequently"/>
    <n v="515"/>
    <x v="1"/>
    <n v="1"/>
    <n v="2"/>
    <s v="Life Sciences"/>
    <n v="73"/>
    <n v="1"/>
    <x v="0"/>
    <n v="98"/>
    <n v="3"/>
    <n v="3"/>
    <s v="Research Director"/>
    <n v="4"/>
    <s v="Single"/>
    <n v="13458"/>
    <n v="15146"/>
    <n v="1"/>
    <x v="0"/>
    <n v="12"/>
    <n v="3"/>
    <n v="3"/>
    <n v="0"/>
    <n v="15"/>
    <n v="1"/>
    <n v="3"/>
    <n v="15"/>
    <n v="14"/>
    <n v="8"/>
    <n v="12"/>
  </r>
  <r>
    <n v="35"/>
    <x v="1"/>
    <s v="Travel_Frequently"/>
    <n v="853"/>
    <x v="0"/>
    <n v="18"/>
    <n v="5"/>
    <s v="Life Sciences"/>
    <n v="74"/>
    <n v="2"/>
    <x v="1"/>
    <n v="71"/>
    <n v="3"/>
    <n v="3"/>
    <s v="Sales Executive"/>
    <n v="1"/>
    <s v="Married"/>
    <n v="9069"/>
    <n v="11031"/>
    <n v="1"/>
    <x v="1"/>
    <n v="22"/>
    <n v="4"/>
    <n v="4"/>
    <n v="1"/>
    <n v="9"/>
    <n v="3"/>
    <n v="2"/>
    <n v="9"/>
    <n v="8"/>
    <n v="1"/>
    <n v="8"/>
  </r>
  <r>
    <n v="35"/>
    <x v="1"/>
    <s v="Travel_Rarely"/>
    <n v="1142"/>
    <x v="1"/>
    <n v="23"/>
    <n v="4"/>
    <s v="Medical"/>
    <n v="75"/>
    <n v="3"/>
    <x v="0"/>
    <n v="30"/>
    <n v="3"/>
    <n v="1"/>
    <s v="Laboratory Technician"/>
    <n v="1"/>
    <s v="Married"/>
    <n v="4014"/>
    <n v="16002"/>
    <n v="3"/>
    <x v="0"/>
    <n v="15"/>
    <n v="3"/>
    <n v="3"/>
    <n v="1"/>
    <n v="4"/>
    <n v="3"/>
    <n v="3"/>
    <n v="2"/>
    <n v="2"/>
    <n v="2"/>
    <n v="2"/>
  </r>
  <r>
    <n v="31"/>
    <x v="1"/>
    <s v="Travel_Rarely"/>
    <n v="655"/>
    <x v="1"/>
    <n v="7"/>
    <n v="4"/>
    <s v="Life Sciences"/>
    <n v="76"/>
    <n v="4"/>
    <x v="1"/>
    <n v="48"/>
    <n v="3"/>
    <n v="2"/>
    <s v="Laboratory Technician"/>
    <n v="4"/>
    <s v="Divorced"/>
    <n v="5915"/>
    <n v="9528"/>
    <n v="3"/>
    <x v="1"/>
    <n v="22"/>
    <n v="4"/>
    <n v="4"/>
    <n v="1"/>
    <n v="10"/>
    <n v="3"/>
    <n v="2"/>
    <n v="7"/>
    <n v="7"/>
    <n v="1"/>
    <n v="7"/>
  </r>
  <r>
    <n v="37"/>
    <x v="1"/>
    <s v="Travel_Rarely"/>
    <n v="1115"/>
    <x v="1"/>
    <n v="1"/>
    <n v="4"/>
    <s v="Life Sciences"/>
    <n v="77"/>
    <n v="1"/>
    <x v="1"/>
    <n v="51"/>
    <n v="2"/>
    <n v="2"/>
    <s v="Manufacturing Director"/>
    <n v="3"/>
    <s v="Divorced"/>
    <n v="5993"/>
    <n v="2689"/>
    <n v="1"/>
    <x v="1"/>
    <n v="18"/>
    <n v="3"/>
    <n v="3"/>
    <n v="1"/>
    <n v="7"/>
    <n v="2"/>
    <n v="4"/>
    <n v="7"/>
    <n v="5"/>
    <n v="0"/>
    <n v="7"/>
  </r>
  <r>
    <n v="32"/>
    <x v="1"/>
    <s v="Travel_Rarely"/>
    <n v="427"/>
    <x v="1"/>
    <n v="1"/>
    <n v="3"/>
    <s v="Medical"/>
    <n v="78"/>
    <n v="1"/>
    <x v="1"/>
    <n v="33"/>
    <n v="3"/>
    <n v="2"/>
    <s v="Manufacturing Director"/>
    <n v="4"/>
    <s v="Married"/>
    <n v="6162"/>
    <n v="10877"/>
    <n v="1"/>
    <x v="0"/>
    <n v="22"/>
    <n v="4"/>
    <n v="2"/>
    <n v="1"/>
    <n v="9"/>
    <n v="3"/>
    <n v="3"/>
    <n v="9"/>
    <n v="8"/>
    <n v="7"/>
    <n v="8"/>
  </r>
  <r>
    <n v="38"/>
    <x v="1"/>
    <s v="Travel_Frequently"/>
    <n v="653"/>
    <x v="1"/>
    <n v="29"/>
    <n v="5"/>
    <s v="Life Sciences"/>
    <n v="79"/>
    <n v="4"/>
    <x v="0"/>
    <n v="50"/>
    <n v="3"/>
    <n v="2"/>
    <s v="Laboratory Technician"/>
    <n v="4"/>
    <s v="Single"/>
    <n v="2406"/>
    <n v="5456"/>
    <n v="1"/>
    <x v="1"/>
    <n v="11"/>
    <n v="3"/>
    <n v="4"/>
    <n v="0"/>
    <n v="10"/>
    <n v="2"/>
    <n v="3"/>
    <n v="10"/>
    <n v="3"/>
    <n v="9"/>
    <n v="9"/>
  </r>
  <r>
    <n v="50"/>
    <x v="1"/>
    <s v="Travel_Rarely"/>
    <n v="989"/>
    <x v="1"/>
    <n v="7"/>
    <n v="2"/>
    <s v="Medical"/>
    <n v="80"/>
    <n v="2"/>
    <x v="0"/>
    <n v="43"/>
    <n v="2"/>
    <n v="5"/>
    <s v="Research Director"/>
    <n v="3"/>
    <s v="Divorced"/>
    <n v="18740"/>
    <n v="16701"/>
    <n v="5"/>
    <x v="0"/>
    <n v="12"/>
    <n v="3"/>
    <n v="4"/>
    <n v="1"/>
    <n v="29"/>
    <n v="2"/>
    <n v="2"/>
    <n v="27"/>
    <n v="3"/>
    <n v="13"/>
    <n v="8"/>
  </r>
  <r>
    <n v="59"/>
    <x v="1"/>
    <s v="Travel_Rarely"/>
    <n v="1435"/>
    <x v="0"/>
    <n v="25"/>
    <n v="3"/>
    <s v="Life Sciences"/>
    <n v="81"/>
    <n v="1"/>
    <x v="0"/>
    <n v="99"/>
    <n v="3"/>
    <n v="3"/>
    <s v="Sales Executive"/>
    <n v="1"/>
    <s v="Single"/>
    <n v="7637"/>
    <n v="2354"/>
    <n v="7"/>
    <x v="1"/>
    <n v="11"/>
    <n v="3"/>
    <n v="4"/>
    <n v="0"/>
    <n v="28"/>
    <n v="3"/>
    <n v="2"/>
    <n v="21"/>
    <n v="16"/>
    <n v="7"/>
    <n v="9"/>
  </r>
  <r>
    <n v="36"/>
    <x v="1"/>
    <s v="Travel_Rarely"/>
    <n v="1223"/>
    <x v="1"/>
    <n v="8"/>
    <n v="3"/>
    <s v="Technical Degree"/>
    <n v="83"/>
    <n v="3"/>
    <x v="0"/>
    <n v="59"/>
    <n v="3"/>
    <n v="3"/>
    <s v="Healthcare Representative"/>
    <n v="3"/>
    <s v="Divorced"/>
    <n v="10096"/>
    <n v="8202"/>
    <n v="1"/>
    <x v="1"/>
    <n v="13"/>
    <n v="3"/>
    <n v="2"/>
    <n v="3"/>
    <n v="17"/>
    <n v="2"/>
    <n v="3"/>
    <n v="17"/>
    <n v="14"/>
    <n v="12"/>
    <n v="8"/>
  </r>
  <r>
    <n v="55"/>
    <x v="1"/>
    <s v="Travel_Rarely"/>
    <n v="836"/>
    <x v="1"/>
    <n v="8"/>
    <n v="3"/>
    <s v="Medical"/>
    <n v="84"/>
    <n v="4"/>
    <x v="0"/>
    <n v="33"/>
    <n v="3"/>
    <n v="4"/>
    <s v="Manager"/>
    <n v="3"/>
    <s v="Divorced"/>
    <n v="14756"/>
    <n v="19730"/>
    <n v="2"/>
    <x v="0"/>
    <n v="14"/>
    <n v="3"/>
    <n v="3"/>
    <n v="3"/>
    <n v="21"/>
    <n v="2"/>
    <n v="3"/>
    <n v="5"/>
    <n v="0"/>
    <n v="0"/>
    <n v="2"/>
  </r>
  <r>
    <n v="36"/>
    <x v="1"/>
    <s v="Travel_Frequently"/>
    <n v="1195"/>
    <x v="1"/>
    <n v="11"/>
    <n v="3"/>
    <s v="Life Sciences"/>
    <n v="85"/>
    <n v="2"/>
    <x v="1"/>
    <n v="95"/>
    <n v="2"/>
    <n v="2"/>
    <s v="Manufacturing Director"/>
    <n v="2"/>
    <s v="Single"/>
    <n v="6499"/>
    <n v="22656"/>
    <n v="1"/>
    <x v="1"/>
    <n v="13"/>
    <n v="3"/>
    <n v="3"/>
    <n v="0"/>
    <n v="6"/>
    <n v="3"/>
    <n v="3"/>
    <n v="6"/>
    <n v="5"/>
    <n v="0"/>
    <n v="3"/>
  </r>
  <r>
    <n v="45"/>
    <x v="1"/>
    <s v="Travel_Rarely"/>
    <n v="1339"/>
    <x v="1"/>
    <n v="7"/>
    <n v="3"/>
    <s v="Life Sciences"/>
    <n v="86"/>
    <n v="2"/>
    <x v="1"/>
    <n v="59"/>
    <n v="3"/>
    <n v="3"/>
    <s v="Research Scientist"/>
    <n v="1"/>
    <s v="Divorced"/>
    <n v="9724"/>
    <n v="18787"/>
    <n v="2"/>
    <x v="1"/>
    <n v="17"/>
    <n v="3"/>
    <n v="3"/>
    <n v="1"/>
    <n v="25"/>
    <n v="2"/>
    <n v="3"/>
    <n v="1"/>
    <n v="0"/>
    <n v="0"/>
    <n v="0"/>
  </r>
  <r>
    <n v="35"/>
    <x v="1"/>
    <s v="Travel_Frequently"/>
    <n v="664"/>
    <x v="1"/>
    <n v="1"/>
    <n v="3"/>
    <s v="Medical"/>
    <n v="88"/>
    <n v="2"/>
    <x v="1"/>
    <n v="79"/>
    <n v="3"/>
    <n v="1"/>
    <s v="Research Scientist"/>
    <n v="1"/>
    <s v="Married"/>
    <n v="2194"/>
    <n v="5868"/>
    <n v="4"/>
    <x v="1"/>
    <n v="13"/>
    <n v="3"/>
    <n v="4"/>
    <n v="1"/>
    <n v="5"/>
    <n v="2"/>
    <n v="2"/>
    <n v="3"/>
    <n v="2"/>
    <n v="1"/>
    <n v="2"/>
  </r>
  <r>
    <n v="36"/>
    <x v="0"/>
    <s v="Travel_Rarely"/>
    <n v="318"/>
    <x v="1"/>
    <n v="9"/>
    <n v="3"/>
    <s v="Medical"/>
    <n v="90"/>
    <n v="4"/>
    <x v="1"/>
    <n v="79"/>
    <n v="2"/>
    <n v="1"/>
    <s v="Research Scientist"/>
    <n v="3"/>
    <s v="Married"/>
    <n v="3388"/>
    <n v="21777"/>
    <n v="0"/>
    <x v="0"/>
    <n v="17"/>
    <n v="3"/>
    <n v="1"/>
    <n v="1"/>
    <n v="2"/>
    <n v="0"/>
    <n v="2"/>
    <n v="1"/>
    <n v="0"/>
    <n v="0"/>
    <n v="0"/>
  </r>
  <r>
    <n v="59"/>
    <x v="1"/>
    <s v="Travel_Frequently"/>
    <n v="1225"/>
    <x v="0"/>
    <n v="1"/>
    <n v="1"/>
    <s v="Life Sciences"/>
    <n v="91"/>
    <n v="1"/>
    <x v="0"/>
    <n v="57"/>
    <n v="2"/>
    <n v="2"/>
    <s v="Sales Executive"/>
    <n v="3"/>
    <s v="Single"/>
    <n v="5473"/>
    <n v="24668"/>
    <n v="7"/>
    <x v="1"/>
    <n v="11"/>
    <n v="3"/>
    <n v="4"/>
    <n v="0"/>
    <n v="20"/>
    <n v="2"/>
    <n v="2"/>
    <n v="4"/>
    <n v="3"/>
    <n v="1"/>
    <n v="3"/>
  </r>
  <r>
    <n v="29"/>
    <x v="1"/>
    <s v="Travel_Rarely"/>
    <n v="1328"/>
    <x v="1"/>
    <n v="2"/>
    <n v="3"/>
    <s v="Life Sciences"/>
    <n v="94"/>
    <n v="3"/>
    <x v="1"/>
    <n v="76"/>
    <n v="3"/>
    <n v="1"/>
    <s v="Research Scientist"/>
    <n v="2"/>
    <s v="Married"/>
    <n v="2703"/>
    <n v="4956"/>
    <n v="0"/>
    <x v="1"/>
    <n v="23"/>
    <n v="4"/>
    <n v="4"/>
    <n v="1"/>
    <n v="6"/>
    <n v="3"/>
    <n v="3"/>
    <n v="5"/>
    <n v="4"/>
    <n v="0"/>
    <n v="4"/>
  </r>
  <r>
    <n v="31"/>
    <x v="1"/>
    <s v="Travel_Rarely"/>
    <n v="1082"/>
    <x v="1"/>
    <n v="1"/>
    <n v="4"/>
    <s v="Medical"/>
    <n v="95"/>
    <n v="3"/>
    <x v="1"/>
    <n v="87"/>
    <n v="3"/>
    <n v="1"/>
    <s v="Research Scientist"/>
    <n v="2"/>
    <s v="Single"/>
    <n v="2501"/>
    <n v="18775"/>
    <n v="1"/>
    <x v="1"/>
    <n v="17"/>
    <n v="3"/>
    <n v="2"/>
    <n v="0"/>
    <n v="1"/>
    <n v="4"/>
    <n v="3"/>
    <n v="1"/>
    <n v="1"/>
    <n v="1"/>
    <n v="0"/>
  </r>
  <r>
    <n v="32"/>
    <x v="1"/>
    <s v="Travel_Rarely"/>
    <n v="548"/>
    <x v="1"/>
    <n v="1"/>
    <n v="3"/>
    <s v="Life Sciences"/>
    <n v="96"/>
    <n v="2"/>
    <x v="1"/>
    <n v="66"/>
    <n v="3"/>
    <n v="2"/>
    <s v="Research Scientist"/>
    <n v="2"/>
    <s v="Married"/>
    <n v="6220"/>
    <n v="7346"/>
    <n v="1"/>
    <x v="1"/>
    <n v="17"/>
    <n v="3"/>
    <n v="2"/>
    <n v="2"/>
    <n v="10"/>
    <n v="3"/>
    <n v="3"/>
    <n v="10"/>
    <n v="4"/>
    <n v="0"/>
    <n v="9"/>
  </r>
  <r>
    <n v="36"/>
    <x v="1"/>
    <s v="Travel_Rarely"/>
    <n v="132"/>
    <x v="1"/>
    <n v="6"/>
    <n v="3"/>
    <s v="Life Sciences"/>
    <n v="97"/>
    <n v="2"/>
    <x v="0"/>
    <n v="55"/>
    <n v="4"/>
    <n v="1"/>
    <s v="Laboratory Technician"/>
    <n v="4"/>
    <s v="Married"/>
    <n v="3038"/>
    <n v="22002"/>
    <n v="3"/>
    <x v="1"/>
    <n v="12"/>
    <n v="3"/>
    <n v="2"/>
    <n v="0"/>
    <n v="5"/>
    <n v="3"/>
    <n v="3"/>
    <n v="1"/>
    <n v="0"/>
    <n v="0"/>
    <n v="0"/>
  </r>
  <r>
    <n v="31"/>
    <x v="1"/>
    <s v="Travel_Rarely"/>
    <n v="746"/>
    <x v="1"/>
    <n v="8"/>
    <n v="4"/>
    <s v="Life Sciences"/>
    <n v="98"/>
    <n v="3"/>
    <x v="0"/>
    <n v="61"/>
    <n v="3"/>
    <n v="2"/>
    <s v="Manufacturing Director"/>
    <n v="4"/>
    <s v="Single"/>
    <n v="4424"/>
    <n v="20682"/>
    <n v="1"/>
    <x v="1"/>
    <n v="23"/>
    <n v="4"/>
    <n v="4"/>
    <n v="0"/>
    <n v="11"/>
    <n v="2"/>
    <n v="3"/>
    <n v="11"/>
    <n v="7"/>
    <n v="1"/>
    <n v="8"/>
  </r>
  <r>
    <n v="35"/>
    <x v="1"/>
    <s v="Travel_Rarely"/>
    <n v="776"/>
    <x v="0"/>
    <n v="1"/>
    <n v="4"/>
    <s v="Marketing"/>
    <n v="100"/>
    <n v="3"/>
    <x v="1"/>
    <n v="32"/>
    <n v="2"/>
    <n v="2"/>
    <s v="Sales Executive"/>
    <n v="1"/>
    <s v="Single"/>
    <n v="4312"/>
    <n v="23016"/>
    <n v="0"/>
    <x v="1"/>
    <n v="14"/>
    <n v="3"/>
    <n v="2"/>
    <n v="0"/>
    <n v="16"/>
    <n v="2"/>
    <n v="3"/>
    <n v="15"/>
    <n v="13"/>
    <n v="2"/>
    <n v="8"/>
  </r>
  <r>
    <n v="45"/>
    <x v="1"/>
    <s v="Travel_Rarely"/>
    <n v="193"/>
    <x v="1"/>
    <n v="6"/>
    <n v="4"/>
    <s v="Other"/>
    <n v="101"/>
    <n v="4"/>
    <x v="1"/>
    <n v="52"/>
    <n v="3"/>
    <n v="3"/>
    <s v="Research Director"/>
    <n v="1"/>
    <s v="Married"/>
    <n v="13245"/>
    <n v="15067"/>
    <n v="4"/>
    <x v="0"/>
    <n v="14"/>
    <n v="3"/>
    <n v="2"/>
    <n v="0"/>
    <n v="17"/>
    <n v="3"/>
    <n v="4"/>
    <n v="0"/>
    <n v="0"/>
    <n v="0"/>
    <n v="0"/>
  </r>
  <r>
    <n v="37"/>
    <x v="1"/>
    <s v="Travel_Rarely"/>
    <n v="397"/>
    <x v="1"/>
    <n v="7"/>
    <n v="4"/>
    <s v="Medical"/>
    <n v="102"/>
    <n v="1"/>
    <x v="1"/>
    <n v="30"/>
    <n v="3"/>
    <n v="3"/>
    <s v="Research Director"/>
    <n v="3"/>
    <s v="Single"/>
    <n v="13664"/>
    <n v="25258"/>
    <n v="4"/>
    <x v="1"/>
    <n v="13"/>
    <n v="3"/>
    <n v="1"/>
    <n v="0"/>
    <n v="16"/>
    <n v="3"/>
    <n v="4"/>
    <n v="5"/>
    <n v="2"/>
    <n v="0"/>
    <n v="2"/>
  </r>
  <r>
    <n v="46"/>
    <x v="1"/>
    <s v="Travel_Rarely"/>
    <n v="945"/>
    <x v="2"/>
    <n v="5"/>
    <n v="2"/>
    <s v="Medical"/>
    <n v="103"/>
    <n v="2"/>
    <x v="1"/>
    <n v="80"/>
    <n v="3"/>
    <n v="2"/>
    <s v="Human Resources"/>
    <n v="2"/>
    <s v="Divorced"/>
    <n v="5021"/>
    <n v="10425"/>
    <n v="8"/>
    <x v="0"/>
    <n v="22"/>
    <n v="4"/>
    <n v="4"/>
    <n v="1"/>
    <n v="16"/>
    <n v="2"/>
    <n v="3"/>
    <n v="4"/>
    <n v="2"/>
    <n v="0"/>
    <n v="2"/>
  </r>
  <r>
    <n v="30"/>
    <x v="1"/>
    <s v="Travel_Rarely"/>
    <n v="852"/>
    <x v="1"/>
    <n v="1"/>
    <n v="1"/>
    <s v="Life Sciences"/>
    <n v="104"/>
    <n v="4"/>
    <x v="1"/>
    <n v="55"/>
    <n v="2"/>
    <n v="2"/>
    <s v="Laboratory Technician"/>
    <n v="4"/>
    <s v="Married"/>
    <n v="5126"/>
    <n v="15998"/>
    <n v="1"/>
    <x v="0"/>
    <n v="12"/>
    <n v="3"/>
    <n v="3"/>
    <n v="2"/>
    <n v="10"/>
    <n v="1"/>
    <n v="2"/>
    <n v="10"/>
    <n v="8"/>
    <n v="3"/>
    <n v="0"/>
  </r>
  <r>
    <n v="35"/>
    <x v="1"/>
    <s v="Travel_Rarely"/>
    <n v="1214"/>
    <x v="1"/>
    <n v="1"/>
    <n v="3"/>
    <s v="Medical"/>
    <n v="105"/>
    <n v="2"/>
    <x v="1"/>
    <n v="30"/>
    <n v="2"/>
    <n v="1"/>
    <s v="Research Scientist"/>
    <n v="3"/>
    <s v="Single"/>
    <n v="2859"/>
    <n v="26278"/>
    <n v="1"/>
    <x v="1"/>
    <n v="18"/>
    <n v="3"/>
    <n v="1"/>
    <n v="0"/>
    <n v="6"/>
    <n v="3"/>
    <n v="3"/>
    <n v="6"/>
    <n v="4"/>
    <n v="0"/>
    <n v="4"/>
  </r>
  <r>
    <n v="55"/>
    <x v="1"/>
    <s v="Travel_Rarely"/>
    <n v="111"/>
    <x v="0"/>
    <n v="1"/>
    <n v="2"/>
    <s v="Life Sciences"/>
    <n v="106"/>
    <n v="1"/>
    <x v="1"/>
    <n v="70"/>
    <n v="3"/>
    <n v="3"/>
    <s v="Sales Executive"/>
    <n v="4"/>
    <s v="Married"/>
    <n v="10239"/>
    <n v="18092"/>
    <n v="3"/>
    <x v="1"/>
    <n v="14"/>
    <n v="3"/>
    <n v="4"/>
    <n v="1"/>
    <n v="24"/>
    <n v="4"/>
    <n v="3"/>
    <n v="1"/>
    <n v="0"/>
    <n v="1"/>
    <n v="0"/>
  </r>
  <r>
    <n v="38"/>
    <x v="1"/>
    <s v="Non-Travel"/>
    <n v="573"/>
    <x v="1"/>
    <n v="6"/>
    <n v="3"/>
    <s v="Medical"/>
    <n v="107"/>
    <n v="2"/>
    <x v="0"/>
    <n v="79"/>
    <n v="1"/>
    <n v="2"/>
    <s v="Research Scientist"/>
    <n v="4"/>
    <s v="Divorced"/>
    <n v="5329"/>
    <n v="15717"/>
    <n v="7"/>
    <x v="0"/>
    <n v="12"/>
    <n v="3"/>
    <n v="4"/>
    <n v="3"/>
    <n v="17"/>
    <n v="3"/>
    <n v="3"/>
    <n v="13"/>
    <n v="11"/>
    <n v="1"/>
    <n v="9"/>
  </r>
  <r>
    <n v="34"/>
    <x v="1"/>
    <s v="Travel_Rarely"/>
    <n v="1153"/>
    <x v="1"/>
    <n v="1"/>
    <n v="2"/>
    <s v="Medical"/>
    <n v="110"/>
    <n v="1"/>
    <x v="1"/>
    <n v="94"/>
    <n v="3"/>
    <n v="2"/>
    <s v="Manufacturing Director"/>
    <n v="2"/>
    <s v="Married"/>
    <n v="4325"/>
    <n v="17736"/>
    <n v="1"/>
    <x v="1"/>
    <n v="15"/>
    <n v="3"/>
    <n v="3"/>
    <n v="0"/>
    <n v="5"/>
    <n v="2"/>
    <n v="3"/>
    <n v="5"/>
    <n v="2"/>
    <n v="1"/>
    <n v="3"/>
  </r>
  <r>
    <n v="56"/>
    <x v="1"/>
    <s v="Travel_Rarely"/>
    <n v="1400"/>
    <x v="1"/>
    <n v="7"/>
    <n v="3"/>
    <s v="Life Sciences"/>
    <n v="112"/>
    <n v="4"/>
    <x v="1"/>
    <n v="49"/>
    <n v="1"/>
    <n v="3"/>
    <s v="Manufacturing Director"/>
    <n v="4"/>
    <s v="Single"/>
    <n v="7260"/>
    <n v="21698"/>
    <n v="4"/>
    <x v="1"/>
    <n v="11"/>
    <n v="3"/>
    <n v="1"/>
    <n v="0"/>
    <n v="37"/>
    <n v="3"/>
    <n v="2"/>
    <n v="6"/>
    <n v="4"/>
    <n v="0"/>
    <n v="2"/>
  </r>
  <r>
    <n v="23"/>
    <x v="1"/>
    <s v="Travel_Rarely"/>
    <n v="541"/>
    <x v="0"/>
    <n v="2"/>
    <n v="1"/>
    <s v="Technical Degree"/>
    <n v="113"/>
    <n v="3"/>
    <x v="1"/>
    <n v="62"/>
    <n v="3"/>
    <n v="1"/>
    <s v="Sales Representative"/>
    <n v="1"/>
    <s v="Divorced"/>
    <n v="2322"/>
    <n v="9518"/>
    <n v="3"/>
    <x v="1"/>
    <n v="13"/>
    <n v="3"/>
    <n v="3"/>
    <n v="1"/>
    <n v="3"/>
    <n v="3"/>
    <n v="3"/>
    <n v="0"/>
    <n v="0"/>
    <n v="0"/>
    <n v="0"/>
  </r>
  <r>
    <n v="51"/>
    <x v="1"/>
    <s v="Travel_Rarely"/>
    <n v="432"/>
    <x v="1"/>
    <n v="9"/>
    <n v="4"/>
    <s v="Life Sciences"/>
    <n v="116"/>
    <n v="4"/>
    <x v="1"/>
    <n v="96"/>
    <n v="3"/>
    <n v="1"/>
    <s v="Laboratory Technician"/>
    <n v="4"/>
    <s v="Married"/>
    <n v="2075"/>
    <n v="18725"/>
    <n v="3"/>
    <x v="1"/>
    <n v="23"/>
    <n v="4"/>
    <n v="2"/>
    <n v="2"/>
    <n v="10"/>
    <n v="4"/>
    <n v="3"/>
    <n v="4"/>
    <n v="2"/>
    <n v="0"/>
    <n v="3"/>
  </r>
  <r>
    <n v="30"/>
    <x v="1"/>
    <s v="Travel_Rarely"/>
    <n v="288"/>
    <x v="1"/>
    <n v="2"/>
    <n v="3"/>
    <s v="Life Sciences"/>
    <n v="117"/>
    <n v="3"/>
    <x v="1"/>
    <n v="99"/>
    <n v="2"/>
    <n v="2"/>
    <s v="Healthcare Representative"/>
    <n v="4"/>
    <s v="Married"/>
    <n v="4152"/>
    <n v="15830"/>
    <n v="1"/>
    <x v="1"/>
    <n v="19"/>
    <n v="3"/>
    <n v="1"/>
    <n v="3"/>
    <n v="11"/>
    <n v="3"/>
    <n v="3"/>
    <n v="11"/>
    <n v="10"/>
    <n v="10"/>
    <n v="8"/>
  </r>
  <r>
    <n v="46"/>
    <x v="0"/>
    <s v="Travel_Rarely"/>
    <n v="669"/>
    <x v="0"/>
    <n v="9"/>
    <n v="2"/>
    <s v="Medical"/>
    <n v="118"/>
    <n v="3"/>
    <x v="1"/>
    <n v="64"/>
    <n v="2"/>
    <n v="3"/>
    <s v="Sales Executive"/>
    <n v="4"/>
    <s v="Single"/>
    <n v="9619"/>
    <n v="13596"/>
    <n v="1"/>
    <x v="1"/>
    <n v="16"/>
    <n v="3"/>
    <n v="4"/>
    <n v="0"/>
    <n v="9"/>
    <n v="3"/>
    <n v="3"/>
    <n v="9"/>
    <n v="8"/>
    <n v="4"/>
    <n v="7"/>
  </r>
  <r>
    <n v="40"/>
    <x v="1"/>
    <s v="Travel_Frequently"/>
    <n v="530"/>
    <x v="1"/>
    <n v="1"/>
    <n v="4"/>
    <s v="Life Sciences"/>
    <n v="119"/>
    <n v="3"/>
    <x v="1"/>
    <n v="78"/>
    <n v="2"/>
    <n v="4"/>
    <s v="Healthcare Representative"/>
    <n v="2"/>
    <s v="Married"/>
    <n v="13503"/>
    <n v="14115"/>
    <n v="1"/>
    <x v="1"/>
    <n v="22"/>
    <n v="4"/>
    <n v="4"/>
    <n v="1"/>
    <n v="22"/>
    <n v="3"/>
    <n v="2"/>
    <n v="22"/>
    <n v="3"/>
    <n v="11"/>
    <n v="11"/>
  </r>
  <r>
    <n v="51"/>
    <x v="1"/>
    <s v="Travel_Rarely"/>
    <n v="632"/>
    <x v="0"/>
    <n v="21"/>
    <n v="4"/>
    <s v="Marketing"/>
    <n v="120"/>
    <n v="3"/>
    <x v="1"/>
    <n v="71"/>
    <n v="3"/>
    <n v="2"/>
    <s v="Sales Executive"/>
    <n v="4"/>
    <s v="Single"/>
    <n v="5441"/>
    <n v="8423"/>
    <n v="0"/>
    <x v="0"/>
    <n v="22"/>
    <n v="4"/>
    <n v="4"/>
    <n v="0"/>
    <n v="11"/>
    <n v="2"/>
    <n v="1"/>
    <n v="10"/>
    <n v="7"/>
    <n v="1"/>
    <n v="0"/>
  </r>
  <r>
    <n v="30"/>
    <x v="1"/>
    <s v="Travel_Rarely"/>
    <n v="1334"/>
    <x v="0"/>
    <n v="4"/>
    <n v="2"/>
    <s v="Medical"/>
    <n v="121"/>
    <n v="3"/>
    <x v="0"/>
    <n v="63"/>
    <n v="2"/>
    <n v="2"/>
    <s v="Sales Executive"/>
    <n v="2"/>
    <s v="Divorced"/>
    <n v="5209"/>
    <n v="19760"/>
    <n v="1"/>
    <x v="0"/>
    <n v="12"/>
    <n v="3"/>
    <n v="2"/>
    <n v="3"/>
    <n v="11"/>
    <n v="4"/>
    <n v="2"/>
    <n v="11"/>
    <n v="8"/>
    <n v="2"/>
    <n v="7"/>
  </r>
  <r>
    <n v="46"/>
    <x v="1"/>
    <s v="Travel_Frequently"/>
    <n v="638"/>
    <x v="1"/>
    <n v="1"/>
    <n v="3"/>
    <s v="Medical"/>
    <n v="124"/>
    <n v="3"/>
    <x v="1"/>
    <n v="40"/>
    <n v="2"/>
    <n v="3"/>
    <s v="Healthcare Representative"/>
    <n v="1"/>
    <s v="Married"/>
    <n v="10673"/>
    <n v="3142"/>
    <n v="2"/>
    <x v="0"/>
    <n v="13"/>
    <n v="3"/>
    <n v="3"/>
    <n v="1"/>
    <n v="21"/>
    <n v="5"/>
    <n v="2"/>
    <n v="10"/>
    <n v="9"/>
    <n v="9"/>
    <n v="5"/>
  </r>
  <r>
    <n v="32"/>
    <x v="1"/>
    <s v="Travel_Rarely"/>
    <n v="1093"/>
    <x v="0"/>
    <n v="6"/>
    <n v="4"/>
    <s v="Medical"/>
    <n v="125"/>
    <n v="2"/>
    <x v="1"/>
    <n v="87"/>
    <n v="3"/>
    <n v="2"/>
    <s v="Sales Executive"/>
    <n v="3"/>
    <s v="Single"/>
    <n v="5010"/>
    <n v="24301"/>
    <n v="1"/>
    <x v="1"/>
    <n v="16"/>
    <n v="3"/>
    <n v="1"/>
    <n v="0"/>
    <n v="12"/>
    <n v="0"/>
    <n v="3"/>
    <n v="11"/>
    <n v="8"/>
    <n v="5"/>
    <n v="7"/>
  </r>
  <r>
    <n v="54"/>
    <x v="1"/>
    <s v="Travel_Rarely"/>
    <n v="1217"/>
    <x v="1"/>
    <n v="2"/>
    <n v="4"/>
    <s v="Technical Degree"/>
    <n v="126"/>
    <n v="1"/>
    <x v="0"/>
    <n v="60"/>
    <n v="3"/>
    <n v="3"/>
    <s v="Research Director"/>
    <n v="3"/>
    <s v="Married"/>
    <n v="13549"/>
    <n v="24001"/>
    <n v="9"/>
    <x v="1"/>
    <n v="12"/>
    <n v="3"/>
    <n v="1"/>
    <n v="1"/>
    <n v="16"/>
    <n v="5"/>
    <n v="1"/>
    <n v="4"/>
    <n v="3"/>
    <n v="0"/>
    <n v="3"/>
  </r>
  <r>
    <n v="24"/>
    <x v="1"/>
    <s v="Travel_Rarely"/>
    <n v="1353"/>
    <x v="0"/>
    <n v="3"/>
    <n v="2"/>
    <s v="Other"/>
    <n v="128"/>
    <n v="1"/>
    <x v="0"/>
    <n v="33"/>
    <n v="3"/>
    <n v="2"/>
    <s v="Sales Executive"/>
    <n v="3"/>
    <s v="Married"/>
    <n v="4999"/>
    <n v="17519"/>
    <n v="0"/>
    <x v="1"/>
    <n v="21"/>
    <n v="4"/>
    <n v="1"/>
    <n v="1"/>
    <n v="4"/>
    <n v="2"/>
    <n v="2"/>
    <n v="3"/>
    <n v="2"/>
    <n v="0"/>
    <n v="2"/>
  </r>
  <r>
    <n v="28"/>
    <x v="1"/>
    <s v="Non-Travel"/>
    <n v="120"/>
    <x v="0"/>
    <n v="4"/>
    <n v="3"/>
    <s v="Medical"/>
    <n v="129"/>
    <n v="2"/>
    <x v="1"/>
    <n v="43"/>
    <n v="3"/>
    <n v="2"/>
    <s v="Sales Executive"/>
    <n v="3"/>
    <s v="Married"/>
    <n v="4221"/>
    <n v="8863"/>
    <n v="1"/>
    <x v="1"/>
    <n v="15"/>
    <n v="3"/>
    <n v="2"/>
    <n v="0"/>
    <n v="5"/>
    <n v="3"/>
    <n v="4"/>
    <n v="5"/>
    <n v="4"/>
    <n v="0"/>
    <n v="4"/>
  </r>
  <r>
    <n v="58"/>
    <x v="1"/>
    <s v="Travel_Rarely"/>
    <n v="682"/>
    <x v="0"/>
    <n v="10"/>
    <n v="4"/>
    <s v="Medical"/>
    <n v="131"/>
    <n v="4"/>
    <x v="1"/>
    <n v="37"/>
    <n v="3"/>
    <n v="4"/>
    <s v="Sales Executive"/>
    <n v="3"/>
    <s v="Single"/>
    <n v="13872"/>
    <n v="24409"/>
    <n v="0"/>
    <x v="1"/>
    <n v="13"/>
    <n v="3"/>
    <n v="3"/>
    <n v="0"/>
    <n v="38"/>
    <n v="1"/>
    <n v="2"/>
    <n v="37"/>
    <n v="10"/>
    <n v="1"/>
    <n v="8"/>
  </r>
  <r>
    <n v="44"/>
    <x v="1"/>
    <s v="Non-Travel"/>
    <n v="489"/>
    <x v="1"/>
    <n v="23"/>
    <n v="3"/>
    <s v="Medical"/>
    <n v="132"/>
    <n v="2"/>
    <x v="1"/>
    <n v="67"/>
    <n v="3"/>
    <n v="2"/>
    <s v="Laboratory Technician"/>
    <n v="2"/>
    <s v="Married"/>
    <n v="2042"/>
    <n v="25043"/>
    <n v="4"/>
    <x v="1"/>
    <n v="12"/>
    <n v="3"/>
    <n v="3"/>
    <n v="1"/>
    <n v="17"/>
    <n v="3"/>
    <n v="4"/>
    <n v="3"/>
    <n v="2"/>
    <n v="1"/>
    <n v="2"/>
  </r>
  <r>
    <n v="37"/>
    <x v="0"/>
    <s v="Travel_Rarely"/>
    <n v="807"/>
    <x v="2"/>
    <n v="6"/>
    <n v="4"/>
    <s v="Human Resources"/>
    <n v="133"/>
    <n v="3"/>
    <x v="1"/>
    <n v="63"/>
    <n v="3"/>
    <n v="1"/>
    <s v="Human Resources"/>
    <n v="1"/>
    <s v="Divorced"/>
    <n v="2073"/>
    <n v="23648"/>
    <n v="4"/>
    <x v="0"/>
    <n v="22"/>
    <n v="4"/>
    <n v="4"/>
    <n v="0"/>
    <n v="7"/>
    <n v="3"/>
    <n v="3"/>
    <n v="3"/>
    <n v="2"/>
    <n v="0"/>
    <n v="2"/>
  </r>
  <r>
    <n v="32"/>
    <x v="1"/>
    <s v="Travel_Rarely"/>
    <n v="827"/>
    <x v="1"/>
    <n v="1"/>
    <n v="1"/>
    <s v="Life Sciences"/>
    <n v="134"/>
    <n v="4"/>
    <x v="1"/>
    <n v="71"/>
    <n v="3"/>
    <n v="1"/>
    <s v="Research Scientist"/>
    <n v="1"/>
    <s v="Single"/>
    <n v="2956"/>
    <n v="15178"/>
    <n v="1"/>
    <x v="1"/>
    <n v="13"/>
    <n v="3"/>
    <n v="4"/>
    <n v="0"/>
    <n v="1"/>
    <n v="2"/>
    <n v="3"/>
    <n v="1"/>
    <n v="0"/>
    <n v="0"/>
    <n v="0"/>
  </r>
  <r>
    <n v="20"/>
    <x v="0"/>
    <s v="Travel_Frequently"/>
    <n v="871"/>
    <x v="1"/>
    <n v="6"/>
    <n v="3"/>
    <s v="Life Sciences"/>
    <n v="137"/>
    <n v="4"/>
    <x v="0"/>
    <n v="66"/>
    <n v="2"/>
    <n v="1"/>
    <s v="Laboratory Technician"/>
    <n v="4"/>
    <s v="Single"/>
    <n v="2926"/>
    <n v="19783"/>
    <n v="1"/>
    <x v="0"/>
    <n v="18"/>
    <n v="3"/>
    <n v="2"/>
    <n v="0"/>
    <n v="1"/>
    <n v="5"/>
    <n v="3"/>
    <n v="1"/>
    <n v="0"/>
    <n v="1"/>
    <n v="0"/>
  </r>
  <r>
    <n v="34"/>
    <x v="1"/>
    <s v="Travel_Rarely"/>
    <n v="665"/>
    <x v="1"/>
    <n v="6"/>
    <n v="4"/>
    <s v="Other"/>
    <n v="138"/>
    <n v="1"/>
    <x v="0"/>
    <n v="41"/>
    <n v="3"/>
    <n v="2"/>
    <s v="Research Scientist"/>
    <n v="3"/>
    <s v="Single"/>
    <n v="4809"/>
    <n v="12482"/>
    <n v="1"/>
    <x v="1"/>
    <n v="14"/>
    <n v="3"/>
    <n v="3"/>
    <n v="0"/>
    <n v="16"/>
    <n v="3"/>
    <n v="3"/>
    <n v="16"/>
    <n v="13"/>
    <n v="2"/>
    <n v="10"/>
  </r>
  <r>
    <n v="37"/>
    <x v="1"/>
    <s v="Non-Travel"/>
    <n v="1040"/>
    <x v="1"/>
    <n v="2"/>
    <n v="2"/>
    <s v="Life Sciences"/>
    <n v="139"/>
    <n v="3"/>
    <x v="1"/>
    <n v="100"/>
    <n v="2"/>
    <n v="2"/>
    <s v="Healthcare Representative"/>
    <n v="4"/>
    <s v="Divorced"/>
    <n v="5163"/>
    <n v="15850"/>
    <n v="5"/>
    <x v="1"/>
    <n v="14"/>
    <n v="3"/>
    <n v="4"/>
    <n v="1"/>
    <n v="17"/>
    <n v="2"/>
    <n v="4"/>
    <n v="1"/>
    <n v="0"/>
    <n v="0"/>
    <n v="0"/>
  </r>
  <r>
    <n v="59"/>
    <x v="1"/>
    <s v="Non-Travel"/>
    <n v="1420"/>
    <x v="2"/>
    <n v="2"/>
    <n v="4"/>
    <s v="Human Resources"/>
    <n v="140"/>
    <n v="3"/>
    <x v="0"/>
    <n v="32"/>
    <n v="2"/>
    <n v="5"/>
    <s v="Manager"/>
    <n v="4"/>
    <s v="Married"/>
    <n v="18844"/>
    <n v="21922"/>
    <n v="9"/>
    <x v="1"/>
    <n v="21"/>
    <n v="4"/>
    <n v="4"/>
    <n v="1"/>
    <n v="30"/>
    <n v="3"/>
    <n v="3"/>
    <n v="3"/>
    <n v="2"/>
    <n v="2"/>
    <n v="2"/>
  </r>
  <r>
    <n v="50"/>
    <x v="1"/>
    <s v="Travel_Frequently"/>
    <n v="1115"/>
    <x v="1"/>
    <n v="1"/>
    <n v="3"/>
    <s v="Life Sciences"/>
    <n v="141"/>
    <n v="1"/>
    <x v="0"/>
    <n v="73"/>
    <n v="3"/>
    <n v="5"/>
    <s v="Research Director"/>
    <n v="2"/>
    <s v="Married"/>
    <n v="18172"/>
    <n v="9755"/>
    <n v="3"/>
    <x v="0"/>
    <n v="19"/>
    <n v="3"/>
    <n v="1"/>
    <n v="0"/>
    <n v="28"/>
    <n v="1"/>
    <n v="2"/>
    <n v="8"/>
    <n v="3"/>
    <n v="0"/>
    <n v="7"/>
  </r>
  <r>
    <n v="25"/>
    <x v="0"/>
    <s v="Travel_Rarely"/>
    <n v="240"/>
    <x v="0"/>
    <n v="5"/>
    <n v="3"/>
    <s v="Marketing"/>
    <n v="142"/>
    <n v="3"/>
    <x v="1"/>
    <n v="46"/>
    <n v="2"/>
    <n v="2"/>
    <s v="Sales Executive"/>
    <n v="3"/>
    <s v="Single"/>
    <n v="5744"/>
    <n v="26959"/>
    <n v="1"/>
    <x v="0"/>
    <n v="11"/>
    <n v="3"/>
    <n v="4"/>
    <n v="0"/>
    <n v="6"/>
    <n v="1"/>
    <n v="3"/>
    <n v="6"/>
    <n v="4"/>
    <n v="0"/>
    <n v="3"/>
  </r>
  <r>
    <n v="25"/>
    <x v="1"/>
    <s v="Travel_Rarely"/>
    <n v="1280"/>
    <x v="1"/>
    <n v="7"/>
    <n v="1"/>
    <s v="Medical"/>
    <n v="143"/>
    <n v="4"/>
    <x v="1"/>
    <n v="64"/>
    <n v="2"/>
    <n v="1"/>
    <s v="Research Scientist"/>
    <n v="4"/>
    <s v="Married"/>
    <n v="2889"/>
    <n v="26897"/>
    <n v="1"/>
    <x v="1"/>
    <n v="11"/>
    <n v="3"/>
    <n v="3"/>
    <n v="2"/>
    <n v="2"/>
    <n v="2"/>
    <n v="3"/>
    <n v="2"/>
    <n v="2"/>
    <n v="2"/>
    <n v="1"/>
  </r>
  <r>
    <n v="22"/>
    <x v="1"/>
    <s v="Travel_Rarely"/>
    <n v="534"/>
    <x v="1"/>
    <n v="15"/>
    <n v="3"/>
    <s v="Medical"/>
    <n v="144"/>
    <n v="2"/>
    <x v="0"/>
    <n v="59"/>
    <n v="3"/>
    <n v="1"/>
    <s v="Laboratory Technician"/>
    <n v="4"/>
    <s v="Single"/>
    <n v="2871"/>
    <n v="23785"/>
    <n v="1"/>
    <x v="1"/>
    <n v="15"/>
    <n v="3"/>
    <n v="3"/>
    <n v="0"/>
    <n v="1"/>
    <n v="5"/>
    <n v="3"/>
    <n v="0"/>
    <n v="0"/>
    <n v="0"/>
    <n v="0"/>
  </r>
  <r>
    <n v="51"/>
    <x v="1"/>
    <s v="Travel_Frequently"/>
    <n v="1456"/>
    <x v="1"/>
    <n v="1"/>
    <n v="4"/>
    <s v="Medical"/>
    <n v="145"/>
    <n v="1"/>
    <x v="0"/>
    <n v="30"/>
    <n v="2"/>
    <n v="3"/>
    <s v="Healthcare Representative"/>
    <n v="1"/>
    <s v="Single"/>
    <n v="7484"/>
    <n v="25796"/>
    <n v="3"/>
    <x v="1"/>
    <n v="20"/>
    <n v="4"/>
    <n v="3"/>
    <n v="0"/>
    <n v="23"/>
    <n v="1"/>
    <n v="2"/>
    <n v="13"/>
    <n v="12"/>
    <n v="12"/>
    <n v="8"/>
  </r>
  <r>
    <n v="34"/>
    <x v="0"/>
    <s v="Travel_Frequently"/>
    <n v="658"/>
    <x v="1"/>
    <n v="7"/>
    <n v="3"/>
    <s v="Life Sciences"/>
    <n v="147"/>
    <n v="1"/>
    <x v="1"/>
    <n v="66"/>
    <n v="1"/>
    <n v="2"/>
    <s v="Laboratory Technician"/>
    <n v="3"/>
    <s v="Single"/>
    <n v="6074"/>
    <n v="22887"/>
    <n v="1"/>
    <x v="0"/>
    <n v="24"/>
    <n v="4"/>
    <n v="4"/>
    <n v="0"/>
    <n v="9"/>
    <n v="3"/>
    <n v="3"/>
    <n v="9"/>
    <n v="7"/>
    <n v="0"/>
    <n v="6"/>
  </r>
  <r>
    <n v="54"/>
    <x v="1"/>
    <s v="Non-Travel"/>
    <n v="142"/>
    <x v="2"/>
    <n v="26"/>
    <n v="3"/>
    <s v="Human Resources"/>
    <n v="148"/>
    <n v="4"/>
    <x v="0"/>
    <n v="30"/>
    <n v="4"/>
    <n v="4"/>
    <s v="Manager"/>
    <n v="4"/>
    <s v="Single"/>
    <n v="17328"/>
    <n v="13871"/>
    <n v="2"/>
    <x v="0"/>
    <n v="12"/>
    <n v="3"/>
    <n v="3"/>
    <n v="0"/>
    <n v="23"/>
    <n v="3"/>
    <n v="3"/>
    <n v="5"/>
    <n v="3"/>
    <n v="4"/>
    <n v="4"/>
  </r>
  <r>
    <n v="24"/>
    <x v="1"/>
    <s v="Travel_Rarely"/>
    <n v="1127"/>
    <x v="1"/>
    <n v="18"/>
    <n v="1"/>
    <s v="Life Sciences"/>
    <n v="150"/>
    <n v="2"/>
    <x v="1"/>
    <n v="52"/>
    <n v="3"/>
    <n v="1"/>
    <s v="Laboratory Technician"/>
    <n v="3"/>
    <s v="Married"/>
    <n v="2774"/>
    <n v="13257"/>
    <n v="0"/>
    <x v="1"/>
    <n v="12"/>
    <n v="3"/>
    <n v="3"/>
    <n v="1"/>
    <n v="6"/>
    <n v="2"/>
    <n v="3"/>
    <n v="5"/>
    <n v="3"/>
    <n v="1"/>
    <n v="2"/>
  </r>
  <r>
    <n v="34"/>
    <x v="1"/>
    <s v="Travel_Rarely"/>
    <n v="1031"/>
    <x v="1"/>
    <n v="6"/>
    <n v="4"/>
    <s v="Life Sciences"/>
    <n v="151"/>
    <n v="3"/>
    <x v="0"/>
    <n v="45"/>
    <n v="2"/>
    <n v="2"/>
    <s v="Research Scientist"/>
    <n v="2"/>
    <s v="Divorced"/>
    <n v="4505"/>
    <n v="15000"/>
    <n v="6"/>
    <x v="1"/>
    <n v="15"/>
    <n v="3"/>
    <n v="3"/>
    <n v="1"/>
    <n v="12"/>
    <n v="3"/>
    <n v="3"/>
    <n v="1"/>
    <n v="0"/>
    <n v="0"/>
    <n v="0"/>
  </r>
  <r>
    <n v="37"/>
    <x v="1"/>
    <s v="Travel_Rarely"/>
    <n v="1189"/>
    <x v="0"/>
    <n v="3"/>
    <n v="3"/>
    <s v="Life Sciences"/>
    <n v="152"/>
    <n v="3"/>
    <x v="1"/>
    <n v="87"/>
    <n v="3"/>
    <n v="3"/>
    <s v="Sales Executive"/>
    <n v="4"/>
    <s v="Single"/>
    <n v="7428"/>
    <n v="14506"/>
    <n v="2"/>
    <x v="1"/>
    <n v="12"/>
    <n v="3"/>
    <n v="1"/>
    <n v="0"/>
    <n v="12"/>
    <n v="3"/>
    <n v="3"/>
    <n v="5"/>
    <n v="3"/>
    <n v="1"/>
    <n v="3"/>
  </r>
  <r>
    <n v="34"/>
    <x v="1"/>
    <s v="Travel_Rarely"/>
    <n v="1354"/>
    <x v="1"/>
    <n v="5"/>
    <n v="3"/>
    <s v="Medical"/>
    <n v="153"/>
    <n v="3"/>
    <x v="0"/>
    <n v="45"/>
    <n v="2"/>
    <n v="3"/>
    <s v="Manager"/>
    <n v="1"/>
    <s v="Single"/>
    <n v="11631"/>
    <n v="5615"/>
    <n v="2"/>
    <x v="1"/>
    <n v="12"/>
    <n v="3"/>
    <n v="4"/>
    <n v="0"/>
    <n v="14"/>
    <n v="6"/>
    <n v="3"/>
    <n v="11"/>
    <n v="10"/>
    <n v="5"/>
    <n v="8"/>
  </r>
  <r>
    <n v="36"/>
    <x v="1"/>
    <s v="Travel_Frequently"/>
    <n v="1467"/>
    <x v="0"/>
    <n v="11"/>
    <n v="2"/>
    <s v="Technical Degree"/>
    <n v="154"/>
    <n v="2"/>
    <x v="0"/>
    <n v="92"/>
    <n v="3"/>
    <n v="3"/>
    <s v="Sales Executive"/>
    <n v="4"/>
    <s v="Married"/>
    <n v="9738"/>
    <n v="22952"/>
    <n v="0"/>
    <x v="1"/>
    <n v="14"/>
    <n v="3"/>
    <n v="3"/>
    <n v="1"/>
    <n v="10"/>
    <n v="6"/>
    <n v="3"/>
    <n v="9"/>
    <n v="7"/>
    <n v="2"/>
    <n v="8"/>
  </r>
  <r>
    <n v="36"/>
    <x v="1"/>
    <s v="Travel_Rarely"/>
    <n v="922"/>
    <x v="1"/>
    <n v="3"/>
    <n v="2"/>
    <s v="Life Sciences"/>
    <n v="155"/>
    <n v="1"/>
    <x v="0"/>
    <n v="39"/>
    <n v="3"/>
    <n v="1"/>
    <s v="Laboratory Technician"/>
    <n v="4"/>
    <s v="Divorced"/>
    <n v="2835"/>
    <n v="2561"/>
    <n v="5"/>
    <x v="1"/>
    <n v="22"/>
    <n v="4"/>
    <n v="1"/>
    <n v="1"/>
    <n v="7"/>
    <n v="2"/>
    <n v="3"/>
    <n v="1"/>
    <n v="0"/>
    <n v="0"/>
    <n v="0"/>
  </r>
  <r>
    <n v="43"/>
    <x v="1"/>
    <s v="Travel_Frequently"/>
    <n v="394"/>
    <x v="0"/>
    <n v="26"/>
    <n v="2"/>
    <s v="Life Sciences"/>
    <n v="158"/>
    <n v="3"/>
    <x v="1"/>
    <n v="92"/>
    <n v="3"/>
    <n v="4"/>
    <s v="Manager"/>
    <n v="4"/>
    <s v="Married"/>
    <n v="16959"/>
    <n v="19494"/>
    <n v="1"/>
    <x v="0"/>
    <n v="12"/>
    <n v="3"/>
    <n v="4"/>
    <n v="2"/>
    <n v="25"/>
    <n v="3"/>
    <n v="4"/>
    <n v="25"/>
    <n v="12"/>
    <n v="4"/>
    <n v="12"/>
  </r>
  <r>
    <n v="30"/>
    <x v="1"/>
    <s v="Travel_Frequently"/>
    <n v="1312"/>
    <x v="1"/>
    <n v="23"/>
    <n v="3"/>
    <s v="Life Sciences"/>
    <n v="159"/>
    <n v="1"/>
    <x v="1"/>
    <n v="96"/>
    <n v="1"/>
    <n v="1"/>
    <s v="Research Scientist"/>
    <n v="3"/>
    <s v="Divorced"/>
    <n v="2613"/>
    <n v="22310"/>
    <n v="1"/>
    <x v="1"/>
    <n v="25"/>
    <n v="4"/>
    <n v="3"/>
    <n v="3"/>
    <n v="10"/>
    <n v="2"/>
    <n v="2"/>
    <n v="10"/>
    <n v="7"/>
    <n v="0"/>
    <n v="9"/>
  </r>
  <r>
    <n v="33"/>
    <x v="1"/>
    <s v="Non-Travel"/>
    <n v="750"/>
    <x v="0"/>
    <n v="22"/>
    <n v="2"/>
    <s v="Marketing"/>
    <n v="160"/>
    <n v="3"/>
    <x v="1"/>
    <n v="95"/>
    <n v="3"/>
    <n v="2"/>
    <s v="Sales Executive"/>
    <n v="2"/>
    <s v="Married"/>
    <n v="6146"/>
    <n v="15480"/>
    <n v="0"/>
    <x v="1"/>
    <n v="13"/>
    <n v="3"/>
    <n v="1"/>
    <n v="1"/>
    <n v="8"/>
    <n v="2"/>
    <n v="4"/>
    <n v="7"/>
    <n v="7"/>
    <n v="0"/>
    <n v="7"/>
  </r>
  <r>
    <n v="56"/>
    <x v="0"/>
    <s v="Travel_Rarely"/>
    <n v="441"/>
    <x v="1"/>
    <n v="14"/>
    <n v="4"/>
    <s v="Life Sciences"/>
    <n v="161"/>
    <n v="2"/>
    <x v="0"/>
    <n v="72"/>
    <n v="3"/>
    <n v="1"/>
    <s v="Research Scientist"/>
    <n v="2"/>
    <s v="Married"/>
    <n v="4963"/>
    <n v="4510"/>
    <n v="9"/>
    <x v="0"/>
    <n v="18"/>
    <n v="3"/>
    <n v="1"/>
    <n v="3"/>
    <n v="7"/>
    <n v="2"/>
    <n v="3"/>
    <n v="5"/>
    <n v="4"/>
    <n v="4"/>
    <n v="3"/>
  </r>
  <r>
    <n v="51"/>
    <x v="1"/>
    <s v="Travel_Rarely"/>
    <n v="684"/>
    <x v="1"/>
    <n v="6"/>
    <n v="3"/>
    <s v="Life Sciences"/>
    <n v="162"/>
    <n v="1"/>
    <x v="1"/>
    <n v="51"/>
    <n v="3"/>
    <n v="5"/>
    <s v="Research Director"/>
    <n v="3"/>
    <s v="Single"/>
    <n v="19537"/>
    <n v="6462"/>
    <n v="7"/>
    <x v="1"/>
    <n v="13"/>
    <n v="3"/>
    <n v="3"/>
    <n v="0"/>
    <n v="23"/>
    <n v="5"/>
    <n v="3"/>
    <n v="20"/>
    <n v="18"/>
    <n v="15"/>
    <n v="15"/>
  </r>
  <r>
    <n v="31"/>
    <x v="0"/>
    <s v="Travel_Rarely"/>
    <n v="249"/>
    <x v="0"/>
    <n v="6"/>
    <n v="4"/>
    <s v="Life Sciences"/>
    <n v="163"/>
    <n v="2"/>
    <x v="1"/>
    <n v="76"/>
    <n v="1"/>
    <n v="2"/>
    <s v="Sales Executive"/>
    <n v="3"/>
    <s v="Married"/>
    <n v="6172"/>
    <n v="20739"/>
    <n v="4"/>
    <x v="0"/>
    <n v="18"/>
    <n v="3"/>
    <n v="2"/>
    <n v="0"/>
    <n v="12"/>
    <n v="3"/>
    <n v="2"/>
    <n v="7"/>
    <n v="7"/>
    <n v="7"/>
    <n v="7"/>
  </r>
  <r>
    <n v="26"/>
    <x v="1"/>
    <s v="Travel_Rarely"/>
    <n v="841"/>
    <x v="1"/>
    <n v="6"/>
    <n v="3"/>
    <s v="Other"/>
    <n v="164"/>
    <n v="3"/>
    <x v="0"/>
    <n v="46"/>
    <n v="2"/>
    <n v="1"/>
    <s v="Research Scientist"/>
    <n v="2"/>
    <s v="Married"/>
    <n v="2368"/>
    <n v="23300"/>
    <n v="1"/>
    <x v="1"/>
    <n v="19"/>
    <n v="3"/>
    <n v="3"/>
    <n v="0"/>
    <n v="5"/>
    <n v="3"/>
    <n v="2"/>
    <n v="5"/>
    <n v="4"/>
    <n v="4"/>
    <n v="3"/>
  </r>
  <r>
    <n v="58"/>
    <x v="0"/>
    <s v="Travel_Rarely"/>
    <n v="147"/>
    <x v="1"/>
    <n v="23"/>
    <n v="4"/>
    <s v="Medical"/>
    <n v="165"/>
    <n v="4"/>
    <x v="0"/>
    <n v="94"/>
    <n v="3"/>
    <n v="3"/>
    <s v="Healthcare Representative"/>
    <n v="4"/>
    <s v="Married"/>
    <n v="10312"/>
    <n v="3465"/>
    <n v="1"/>
    <x v="1"/>
    <n v="12"/>
    <n v="3"/>
    <n v="4"/>
    <n v="1"/>
    <n v="40"/>
    <n v="3"/>
    <n v="2"/>
    <n v="40"/>
    <n v="10"/>
    <n v="15"/>
    <n v="6"/>
  </r>
  <r>
    <n v="19"/>
    <x v="0"/>
    <s v="Travel_Rarely"/>
    <n v="528"/>
    <x v="0"/>
    <n v="22"/>
    <n v="1"/>
    <s v="Marketing"/>
    <n v="167"/>
    <n v="4"/>
    <x v="1"/>
    <n v="50"/>
    <n v="3"/>
    <n v="1"/>
    <s v="Sales Representative"/>
    <n v="3"/>
    <s v="Single"/>
    <n v="1675"/>
    <n v="26820"/>
    <n v="1"/>
    <x v="0"/>
    <n v="19"/>
    <n v="3"/>
    <n v="4"/>
    <n v="0"/>
    <n v="0"/>
    <n v="2"/>
    <n v="2"/>
    <n v="0"/>
    <n v="0"/>
    <n v="0"/>
    <n v="0"/>
  </r>
  <r>
    <n v="22"/>
    <x v="1"/>
    <s v="Travel_Rarely"/>
    <n v="594"/>
    <x v="1"/>
    <n v="2"/>
    <n v="1"/>
    <s v="Technical Degree"/>
    <n v="169"/>
    <n v="3"/>
    <x v="1"/>
    <n v="100"/>
    <n v="3"/>
    <n v="1"/>
    <s v="Laboratory Technician"/>
    <n v="4"/>
    <s v="Married"/>
    <n v="2523"/>
    <n v="19299"/>
    <n v="0"/>
    <x v="1"/>
    <n v="14"/>
    <n v="3"/>
    <n v="3"/>
    <n v="1"/>
    <n v="3"/>
    <n v="2"/>
    <n v="3"/>
    <n v="2"/>
    <n v="1"/>
    <n v="2"/>
    <n v="1"/>
  </r>
  <r>
    <n v="49"/>
    <x v="1"/>
    <s v="Travel_Rarely"/>
    <n v="470"/>
    <x v="1"/>
    <n v="20"/>
    <n v="4"/>
    <s v="Medical"/>
    <n v="170"/>
    <n v="3"/>
    <x v="0"/>
    <n v="96"/>
    <n v="3"/>
    <n v="2"/>
    <s v="Manufacturing Director"/>
    <n v="1"/>
    <s v="Married"/>
    <n v="6567"/>
    <n v="5549"/>
    <n v="1"/>
    <x v="1"/>
    <n v="14"/>
    <n v="3"/>
    <n v="3"/>
    <n v="0"/>
    <n v="16"/>
    <n v="2"/>
    <n v="2"/>
    <n v="15"/>
    <n v="11"/>
    <n v="5"/>
    <n v="11"/>
  </r>
  <r>
    <n v="43"/>
    <x v="1"/>
    <s v="Travel_Frequently"/>
    <n v="957"/>
    <x v="1"/>
    <n v="28"/>
    <n v="3"/>
    <s v="Medical"/>
    <n v="171"/>
    <n v="2"/>
    <x v="0"/>
    <n v="72"/>
    <n v="4"/>
    <n v="1"/>
    <s v="Research Scientist"/>
    <n v="3"/>
    <s v="Single"/>
    <n v="4739"/>
    <n v="16090"/>
    <n v="4"/>
    <x v="1"/>
    <n v="12"/>
    <n v="3"/>
    <n v="4"/>
    <n v="0"/>
    <n v="18"/>
    <n v="2"/>
    <n v="3"/>
    <n v="3"/>
    <n v="2"/>
    <n v="1"/>
    <n v="2"/>
  </r>
  <r>
    <n v="50"/>
    <x v="1"/>
    <s v="Travel_Frequently"/>
    <n v="809"/>
    <x v="0"/>
    <n v="12"/>
    <n v="3"/>
    <s v="Marketing"/>
    <n v="174"/>
    <n v="3"/>
    <x v="0"/>
    <n v="77"/>
    <n v="3"/>
    <n v="3"/>
    <s v="Sales Executive"/>
    <n v="4"/>
    <s v="Single"/>
    <n v="9208"/>
    <n v="6645"/>
    <n v="4"/>
    <x v="1"/>
    <n v="11"/>
    <n v="3"/>
    <n v="4"/>
    <n v="0"/>
    <n v="16"/>
    <n v="3"/>
    <n v="3"/>
    <n v="2"/>
    <n v="2"/>
    <n v="2"/>
    <n v="1"/>
  </r>
  <r>
    <n v="31"/>
    <x v="0"/>
    <s v="Travel_Rarely"/>
    <n v="542"/>
    <x v="0"/>
    <n v="20"/>
    <n v="3"/>
    <s v="Life Sciences"/>
    <n v="175"/>
    <n v="2"/>
    <x v="0"/>
    <n v="71"/>
    <n v="1"/>
    <n v="2"/>
    <s v="Sales Executive"/>
    <n v="3"/>
    <s v="Married"/>
    <n v="4559"/>
    <n v="24788"/>
    <n v="3"/>
    <x v="0"/>
    <n v="11"/>
    <n v="3"/>
    <n v="3"/>
    <n v="1"/>
    <n v="4"/>
    <n v="2"/>
    <n v="3"/>
    <n v="2"/>
    <n v="2"/>
    <n v="2"/>
    <n v="2"/>
  </r>
  <r>
    <n v="41"/>
    <x v="1"/>
    <s v="Travel_Rarely"/>
    <n v="802"/>
    <x v="0"/>
    <n v="9"/>
    <n v="1"/>
    <s v="Life Sciences"/>
    <n v="176"/>
    <n v="3"/>
    <x v="1"/>
    <n v="96"/>
    <n v="3"/>
    <n v="3"/>
    <s v="Sales Executive"/>
    <n v="3"/>
    <s v="Divorced"/>
    <n v="8189"/>
    <n v="21196"/>
    <n v="3"/>
    <x v="0"/>
    <n v="13"/>
    <n v="3"/>
    <n v="3"/>
    <n v="1"/>
    <n v="12"/>
    <n v="2"/>
    <n v="3"/>
    <n v="9"/>
    <n v="7"/>
    <n v="0"/>
    <n v="7"/>
  </r>
  <r>
    <n v="26"/>
    <x v="1"/>
    <s v="Travel_Rarely"/>
    <n v="1355"/>
    <x v="2"/>
    <n v="25"/>
    <n v="1"/>
    <s v="Life Sciences"/>
    <n v="177"/>
    <n v="3"/>
    <x v="0"/>
    <n v="61"/>
    <n v="3"/>
    <n v="1"/>
    <s v="Human Resources"/>
    <n v="3"/>
    <s v="Married"/>
    <n v="2942"/>
    <n v="8916"/>
    <n v="1"/>
    <x v="1"/>
    <n v="23"/>
    <n v="4"/>
    <n v="4"/>
    <n v="1"/>
    <n v="8"/>
    <n v="3"/>
    <n v="3"/>
    <n v="8"/>
    <n v="7"/>
    <n v="5"/>
    <n v="7"/>
  </r>
  <r>
    <n v="36"/>
    <x v="1"/>
    <s v="Travel_Rarely"/>
    <n v="216"/>
    <x v="1"/>
    <n v="6"/>
    <n v="2"/>
    <s v="Medical"/>
    <n v="178"/>
    <n v="2"/>
    <x v="1"/>
    <n v="84"/>
    <n v="3"/>
    <n v="2"/>
    <s v="Manufacturing Director"/>
    <n v="2"/>
    <s v="Divorced"/>
    <n v="4941"/>
    <n v="2819"/>
    <n v="6"/>
    <x v="1"/>
    <n v="20"/>
    <n v="4"/>
    <n v="4"/>
    <n v="2"/>
    <n v="7"/>
    <n v="0"/>
    <n v="3"/>
    <n v="3"/>
    <n v="2"/>
    <n v="0"/>
    <n v="1"/>
  </r>
  <r>
    <n v="51"/>
    <x v="0"/>
    <s v="Travel_Frequently"/>
    <n v="1150"/>
    <x v="1"/>
    <n v="8"/>
    <n v="4"/>
    <s v="Life Sciences"/>
    <n v="179"/>
    <n v="1"/>
    <x v="1"/>
    <n v="53"/>
    <n v="1"/>
    <n v="3"/>
    <s v="Manufacturing Director"/>
    <n v="4"/>
    <s v="Single"/>
    <n v="10650"/>
    <n v="25150"/>
    <n v="2"/>
    <x v="1"/>
    <n v="15"/>
    <n v="3"/>
    <n v="4"/>
    <n v="0"/>
    <n v="18"/>
    <n v="2"/>
    <n v="3"/>
    <n v="4"/>
    <n v="2"/>
    <n v="0"/>
    <n v="3"/>
  </r>
  <r>
    <n v="39"/>
    <x v="1"/>
    <s v="Travel_Rarely"/>
    <n v="1329"/>
    <x v="0"/>
    <n v="4"/>
    <n v="4"/>
    <s v="Life Sciences"/>
    <n v="182"/>
    <n v="4"/>
    <x v="0"/>
    <n v="47"/>
    <n v="2"/>
    <n v="2"/>
    <s v="Sales Executive"/>
    <n v="3"/>
    <s v="Married"/>
    <n v="5902"/>
    <n v="14590"/>
    <n v="4"/>
    <x v="1"/>
    <n v="14"/>
    <n v="3"/>
    <n v="3"/>
    <n v="1"/>
    <n v="17"/>
    <n v="1"/>
    <n v="4"/>
    <n v="15"/>
    <n v="11"/>
    <n v="5"/>
    <n v="9"/>
  </r>
  <r>
    <n v="25"/>
    <x v="1"/>
    <s v="Travel_Rarely"/>
    <n v="959"/>
    <x v="0"/>
    <n v="28"/>
    <n v="3"/>
    <s v="Life Sciences"/>
    <n v="183"/>
    <n v="1"/>
    <x v="1"/>
    <n v="41"/>
    <n v="2"/>
    <n v="2"/>
    <s v="Sales Executive"/>
    <n v="3"/>
    <s v="Married"/>
    <n v="8639"/>
    <n v="24835"/>
    <n v="2"/>
    <x v="1"/>
    <n v="18"/>
    <n v="3"/>
    <n v="4"/>
    <n v="0"/>
    <n v="6"/>
    <n v="3"/>
    <n v="3"/>
    <n v="2"/>
    <n v="2"/>
    <n v="2"/>
    <n v="2"/>
  </r>
  <r>
    <n v="30"/>
    <x v="1"/>
    <s v="Travel_Rarely"/>
    <n v="1240"/>
    <x v="2"/>
    <n v="9"/>
    <n v="3"/>
    <s v="Human Resources"/>
    <n v="184"/>
    <n v="3"/>
    <x v="1"/>
    <n v="48"/>
    <n v="3"/>
    <n v="2"/>
    <s v="Human Resources"/>
    <n v="4"/>
    <s v="Married"/>
    <n v="6347"/>
    <n v="13982"/>
    <n v="0"/>
    <x v="0"/>
    <n v="19"/>
    <n v="3"/>
    <n v="4"/>
    <n v="0"/>
    <n v="12"/>
    <n v="2"/>
    <n v="1"/>
    <n v="11"/>
    <n v="9"/>
    <n v="4"/>
    <n v="7"/>
  </r>
  <r>
    <n v="32"/>
    <x v="0"/>
    <s v="Travel_Rarely"/>
    <n v="1033"/>
    <x v="1"/>
    <n v="9"/>
    <n v="3"/>
    <s v="Medical"/>
    <n v="190"/>
    <n v="1"/>
    <x v="0"/>
    <n v="41"/>
    <n v="3"/>
    <n v="1"/>
    <s v="Laboratory Technician"/>
    <n v="1"/>
    <s v="Single"/>
    <n v="4200"/>
    <n v="10224"/>
    <n v="7"/>
    <x v="1"/>
    <n v="22"/>
    <n v="4"/>
    <n v="1"/>
    <n v="0"/>
    <n v="10"/>
    <n v="2"/>
    <n v="4"/>
    <n v="5"/>
    <n v="4"/>
    <n v="0"/>
    <n v="4"/>
  </r>
  <r>
    <n v="45"/>
    <x v="1"/>
    <s v="Travel_Rarely"/>
    <n v="1316"/>
    <x v="1"/>
    <n v="29"/>
    <n v="3"/>
    <s v="Medical"/>
    <n v="192"/>
    <n v="3"/>
    <x v="1"/>
    <n v="83"/>
    <n v="3"/>
    <n v="1"/>
    <s v="Research Scientist"/>
    <n v="4"/>
    <s v="Single"/>
    <n v="3452"/>
    <n v="9752"/>
    <n v="5"/>
    <x v="1"/>
    <n v="13"/>
    <n v="3"/>
    <n v="2"/>
    <n v="0"/>
    <n v="9"/>
    <n v="2"/>
    <n v="2"/>
    <n v="6"/>
    <n v="5"/>
    <n v="0"/>
    <n v="3"/>
  </r>
  <r>
    <n v="38"/>
    <x v="1"/>
    <s v="Travel_Rarely"/>
    <n v="364"/>
    <x v="1"/>
    <n v="3"/>
    <n v="5"/>
    <s v="Technical Degree"/>
    <n v="193"/>
    <n v="4"/>
    <x v="0"/>
    <n v="32"/>
    <n v="3"/>
    <n v="2"/>
    <s v="Research Scientist"/>
    <n v="3"/>
    <s v="Single"/>
    <n v="4317"/>
    <n v="2302"/>
    <n v="3"/>
    <x v="0"/>
    <n v="20"/>
    <n v="4"/>
    <n v="2"/>
    <n v="0"/>
    <n v="19"/>
    <n v="2"/>
    <n v="3"/>
    <n v="3"/>
    <n v="2"/>
    <n v="2"/>
    <n v="2"/>
  </r>
  <r>
    <n v="30"/>
    <x v="1"/>
    <s v="Travel_Rarely"/>
    <n v="438"/>
    <x v="1"/>
    <n v="18"/>
    <n v="3"/>
    <s v="Life Sciences"/>
    <n v="194"/>
    <n v="1"/>
    <x v="0"/>
    <n v="75"/>
    <n v="3"/>
    <n v="1"/>
    <s v="Research Scientist"/>
    <n v="3"/>
    <s v="Single"/>
    <n v="2632"/>
    <n v="23910"/>
    <n v="1"/>
    <x v="1"/>
    <n v="14"/>
    <n v="3"/>
    <n v="3"/>
    <n v="0"/>
    <n v="5"/>
    <n v="4"/>
    <n v="2"/>
    <n v="5"/>
    <n v="4"/>
    <n v="0"/>
    <n v="4"/>
  </r>
  <r>
    <n v="32"/>
    <x v="1"/>
    <s v="Travel_Frequently"/>
    <n v="689"/>
    <x v="0"/>
    <n v="9"/>
    <n v="2"/>
    <s v="Medical"/>
    <n v="195"/>
    <n v="4"/>
    <x v="1"/>
    <n v="35"/>
    <n v="1"/>
    <n v="2"/>
    <s v="Sales Executive"/>
    <n v="4"/>
    <s v="Divorced"/>
    <n v="4668"/>
    <n v="22812"/>
    <n v="0"/>
    <x v="1"/>
    <n v="17"/>
    <n v="3"/>
    <n v="4"/>
    <n v="3"/>
    <n v="9"/>
    <n v="2"/>
    <n v="4"/>
    <n v="8"/>
    <n v="7"/>
    <n v="0"/>
    <n v="7"/>
  </r>
  <r>
    <n v="30"/>
    <x v="1"/>
    <s v="Travel_Rarely"/>
    <n v="201"/>
    <x v="1"/>
    <n v="5"/>
    <n v="3"/>
    <s v="Technical Degree"/>
    <n v="197"/>
    <n v="4"/>
    <x v="0"/>
    <n v="84"/>
    <n v="3"/>
    <n v="1"/>
    <s v="Research Scientist"/>
    <n v="1"/>
    <s v="Divorced"/>
    <n v="3204"/>
    <n v="10415"/>
    <n v="5"/>
    <x v="1"/>
    <n v="14"/>
    <n v="3"/>
    <n v="4"/>
    <n v="1"/>
    <n v="8"/>
    <n v="3"/>
    <n v="3"/>
    <n v="3"/>
    <n v="2"/>
    <n v="2"/>
    <n v="2"/>
  </r>
  <r>
    <n v="30"/>
    <x v="1"/>
    <s v="Travel_Rarely"/>
    <n v="1427"/>
    <x v="1"/>
    <n v="2"/>
    <n v="1"/>
    <s v="Medical"/>
    <n v="198"/>
    <n v="2"/>
    <x v="1"/>
    <n v="35"/>
    <n v="2"/>
    <n v="1"/>
    <s v="Laboratory Technician"/>
    <n v="4"/>
    <s v="Single"/>
    <n v="2720"/>
    <n v="11162"/>
    <n v="0"/>
    <x v="1"/>
    <n v="13"/>
    <n v="3"/>
    <n v="4"/>
    <n v="0"/>
    <n v="6"/>
    <n v="3"/>
    <n v="3"/>
    <n v="5"/>
    <n v="3"/>
    <n v="1"/>
    <n v="2"/>
  </r>
  <r>
    <n v="41"/>
    <x v="1"/>
    <s v="Travel_Frequently"/>
    <n v="857"/>
    <x v="1"/>
    <n v="10"/>
    <n v="3"/>
    <s v="Life Sciences"/>
    <n v="199"/>
    <n v="4"/>
    <x v="1"/>
    <n v="91"/>
    <n v="2"/>
    <n v="4"/>
    <s v="Manager"/>
    <n v="1"/>
    <s v="Divorced"/>
    <n v="17181"/>
    <n v="12888"/>
    <n v="4"/>
    <x v="1"/>
    <n v="13"/>
    <n v="3"/>
    <n v="2"/>
    <n v="1"/>
    <n v="21"/>
    <n v="2"/>
    <n v="2"/>
    <n v="7"/>
    <n v="6"/>
    <n v="7"/>
    <n v="7"/>
  </r>
  <r>
    <n v="41"/>
    <x v="1"/>
    <s v="Travel_Rarely"/>
    <n v="933"/>
    <x v="1"/>
    <n v="9"/>
    <n v="4"/>
    <s v="Life Sciences"/>
    <n v="200"/>
    <n v="3"/>
    <x v="1"/>
    <n v="94"/>
    <n v="3"/>
    <n v="1"/>
    <s v="Laboratory Technician"/>
    <n v="1"/>
    <s v="Married"/>
    <n v="2238"/>
    <n v="6961"/>
    <n v="2"/>
    <x v="1"/>
    <n v="21"/>
    <n v="4"/>
    <n v="4"/>
    <n v="1"/>
    <n v="7"/>
    <n v="2"/>
    <n v="3"/>
    <n v="5"/>
    <n v="0"/>
    <n v="1"/>
    <n v="4"/>
  </r>
  <r>
    <n v="19"/>
    <x v="1"/>
    <s v="Travel_Rarely"/>
    <n v="1181"/>
    <x v="1"/>
    <n v="3"/>
    <n v="1"/>
    <s v="Medical"/>
    <n v="201"/>
    <n v="2"/>
    <x v="0"/>
    <n v="79"/>
    <n v="3"/>
    <n v="1"/>
    <s v="Laboratory Technician"/>
    <n v="2"/>
    <s v="Single"/>
    <n v="1483"/>
    <n v="16102"/>
    <n v="1"/>
    <x v="1"/>
    <n v="14"/>
    <n v="3"/>
    <n v="4"/>
    <n v="0"/>
    <n v="1"/>
    <n v="3"/>
    <n v="3"/>
    <n v="1"/>
    <n v="0"/>
    <n v="0"/>
    <n v="0"/>
  </r>
  <r>
    <n v="40"/>
    <x v="1"/>
    <s v="Travel_Frequently"/>
    <n v="1395"/>
    <x v="1"/>
    <n v="26"/>
    <n v="3"/>
    <s v="Medical"/>
    <n v="202"/>
    <n v="2"/>
    <x v="0"/>
    <n v="54"/>
    <n v="3"/>
    <n v="2"/>
    <s v="Research Scientist"/>
    <n v="2"/>
    <s v="Divorced"/>
    <n v="5605"/>
    <n v="8504"/>
    <n v="1"/>
    <x v="1"/>
    <n v="11"/>
    <n v="3"/>
    <n v="1"/>
    <n v="1"/>
    <n v="20"/>
    <n v="2"/>
    <n v="3"/>
    <n v="20"/>
    <n v="7"/>
    <n v="2"/>
    <n v="13"/>
  </r>
  <r>
    <n v="35"/>
    <x v="1"/>
    <s v="Travel_Rarely"/>
    <n v="662"/>
    <x v="0"/>
    <n v="1"/>
    <n v="5"/>
    <s v="Marketing"/>
    <n v="204"/>
    <n v="3"/>
    <x v="1"/>
    <n v="94"/>
    <n v="3"/>
    <n v="3"/>
    <s v="Sales Executive"/>
    <n v="2"/>
    <s v="Married"/>
    <n v="7295"/>
    <n v="11439"/>
    <n v="1"/>
    <x v="1"/>
    <n v="13"/>
    <n v="3"/>
    <n v="1"/>
    <n v="2"/>
    <n v="10"/>
    <n v="3"/>
    <n v="3"/>
    <n v="10"/>
    <n v="8"/>
    <n v="0"/>
    <n v="6"/>
  </r>
  <r>
    <n v="53"/>
    <x v="1"/>
    <s v="Travel_Rarely"/>
    <n v="1436"/>
    <x v="0"/>
    <n v="6"/>
    <n v="2"/>
    <s v="Marketing"/>
    <n v="205"/>
    <n v="2"/>
    <x v="1"/>
    <n v="34"/>
    <n v="3"/>
    <n v="2"/>
    <s v="Sales Representative"/>
    <n v="3"/>
    <s v="Married"/>
    <n v="2306"/>
    <n v="16047"/>
    <n v="2"/>
    <x v="0"/>
    <n v="20"/>
    <n v="4"/>
    <n v="4"/>
    <n v="1"/>
    <n v="13"/>
    <n v="3"/>
    <n v="1"/>
    <n v="7"/>
    <n v="7"/>
    <n v="4"/>
    <n v="5"/>
  </r>
  <r>
    <n v="45"/>
    <x v="1"/>
    <s v="Travel_Rarely"/>
    <n v="194"/>
    <x v="1"/>
    <n v="9"/>
    <n v="3"/>
    <s v="Life Sciences"/>
    <n v="206"/>
    <n v="2"/>
    <x v="1"/>
    <n v="60"/>
    <n v="3"/>
    <n v="2"/>
    <s v="Laboratory Technician"/>
    <n v="2"/>
    <s v="Divorced"/>
    <n v="2348"/>
    <n v="10901"/>
    <n v="8"/>
    <x v="1"/>
    <n v="18"/>
    <n v="3"/>
    <n v="3"/>
    <n v="1"/>
    <n v="20"/>
    <n v="2"/>
    <n v="1"/>
    <n v="17"/>
    <n v="9"/>
    <n v="0"/>
    <n v="15"/>
  </r>
  <r>
    <n v="32"/>
    <x v="1"/>
    <s v="Travel_Frequently"/>
    <n v="967"/>
    <x v="0"/>
    <n v="8"/>
    <n v="3"/>
    <s v="Marketing"/>
    <n v="207"/>
    <n v="2"/>
    <x v="0"/>
    <n v="43"/>
    <n v="3"/>
    <n v="3"/>
    <s v="Sales Executive"/>
    <n v="4"/>
    <s v="Single"/>
    <n v="8998"/>
    <n v="15589"/>
    <n v="1"/>
    <x v="1"/>
    <n v="14"/>
    <n v="3"/>
    <n v="4"/>
    <n v="0"/>
    <n v="9"/>
    <n v="2"/>
    <n v="3"/>
    <n v="9"/>
    <n v="8"/>
    <n v="3"/>
    <n v="7"/>
  </r>
  <r>
    <n v="29"/>
    <x v="1"/>
    <s v="Non-Travel"/>
    <n v="1496"/>
    <x v="1"/>
    <n v="1"/>
    <n v="1"/>
    <s v="Technical Degree"/>
    <n v="208"/>
    <n v="4"/>
    <x v="1"/>
    <n v="41"/>
    <n v="3"/>
    <n v="2"/>
    <s v="Manufacturing Director"/>
    <n v="3"/>
    <s v="Married"/>
    <n v="4319"/>
    <n v="26283"/>
    <n v="1"/>
    <x v="1"/>
    <n v="13"/>
    <n v="3"/>
    <n v="1"/>
    <n v="1"/>
    <n v="10"/>
    <n v="1"/>
    <n v="3"/>
    <n v="10"/>
    <n v="7"/>
    <n v="0"/>
    <n v="9"/>
  </r>
  <r>
    <n v="51"/>
    <x v="1"/>
    <s v="Travel_Rarely"/>
    <n v="1169"/>
    <x v="1"/>
    <n v="7"/>
    <n v="4"/>
    <s v="Medical"/>
    <n v="211"/>
    <n v="2"/>
    <x v="1"/>
    <n v="34"/>
    <n v="2"/>
    <n v="2"/>
    <s v="Manufacturing Director"/>
    <n v="3"/>
    <s v="Married"/>
    <n v="6132"/>
    <n v="13983"/>
    <n v="2"/>
    <x v="1"/>
    <n v="17"/>
    <n v="3"/>
    <n v="3"/>
    <n v="0"/>
    <n v="10"/>
    <n v="2"/>
    <n v="3"/>
    <n v="1"/>
    <n v="0"/>
    <n v="0"/>
    <n v="0"/>
  </r>
  <r>
    <n v="58"/>
    <x v="1"/>
    <s v="Travel_Rarely"/>
    <n v="1145"/>
    <x v="1"/>
    <n v="9"/>
    <n v="3"/>
    <s v="Medical"/>
    <n v="214"/>
    <n v="2"/>
    <x v="0"/>
    <n v="75"/>
    <n v="2"/>
    <n v="1"/>
    <s v="Research Scientist"/>
    <n v="2"/>
    <s v="Married"/>
    <n v="3346"/>
    <n v="11873"/>
    <n v="4"/>
    <x v="0"/>
    <n v="20"/>
    <n v="4"/>
    <n v="2"/>
    <n v="1"/>
    <n v="9"/>
    <n v="3"/>
    <n v="2"/>
    <n v="1"/>
    <n v="0"/>
    <n v="0"/>
    <n v="0"/>
  </r>
  <r>
    <n v="40"/>
    <x v="1"/>
    <s v="Travel_Rarely"/>
    <n v="630"/>
    <x v="0"/>
    <n v="4"/>
    <n v="4"/>
    <s v="Marketing"/>
    <n v="215"/>
    <n v="3"/>
    <x v="1"/>
    <n v="67"/>
    <n v="2"/>
    <n v="3"/>
    <s v="Sales Executive"/>
    <n v="4"/>
    <s v="Married"/>
    <n v="10855"/>
    <n v="8552"/>
    <n v="7"/>
    <x v="1"/>
    <n v="11"/>
    <n v="3"/>
    <n v="1"/>
    <n v="1"/>
    <n v="15"/>
    <n v="2"/>
    <n v="2"/>
    <n v="12"/>
    <n v="11"/>
    <n v="2"/>
    <n v="11"/>
  </r>
  <r>
    <n v="34"/>
    <x v="1"/>
    <s v="Travel_Frequently"/>
    <n v="303"/>
    <x v="0"/>
    <n v="2"/>
    <n v="4"/>
    <s v="Marketing"/>
    <n v="216"/>
    <n v="3"/>
    <x v="0"/>
    <n v="75"/>
    <n v="3"/>
    <n v="1"/>
    <s v="Sales Representative"/>
    <n v="3"/>
    <s v="Married"/>
    <n v="2231"/>
    <n v="11314"/>
    <n v="6"/>
    <x v="1"/>
    <n v="18"/>
    <n v="3"/>
    <n v="4"/>
    <n v="1"/>
    <n v="6"/>
    <n v="3"/>
    <n v="3"/>
    <n v="4"/>
    <n v="3"/>
    <n v="1"/>
    <n v="2"/>
  </r>
  <r>
    <n v="22"/>
    <x v="1"/>
    <s v="Travel_Rarely"/>
    <n v="1256"/>
    <x v="1"/>
    <n v="19"/>
    <n v="1"/>
    <s v="Medical"/>
    <n v="217"/>
    <n v="3"/>
    <x v="1"/>
    <n v="80"/>
    <n v="3"/>
    <n v="1"/>
    <s v="Research Scientist"/>
    <n v="4"/>
    <s v="Married"/>
    <n v="2323"/>
    <n v="11992"/>
    <n v="1"/>
    <x v="1"/>
    <n v="24"/>
    <n v="4"/>
    <n v="1"/>
    <n v="2"/>
    <n v="2"/>
    <n v="6"/>
    <n v="3"/>
    <n v="2"/>
    <n v="2"/>
    <n v="2"/>
    <n v="2"/>
  </r>
  <r>
    <n v="27"/>
    <x v="1"/>
    <s v="Non-Travel"/>
    <n v="691"/>
    <x v="1"/>
    <n v="9"/>
    <n v="3"/>
    <s v="Medical"/>
    <n v="218"/>
    <n v="4"/>
    <x v="1"/>
    <n v="57"/>
    <n v="3"/>
    <n v="1"/>
    <s v="Research Scientist"/>
    <n v="2"/>
    <s v="Divorced"/>
    <n v="2024"/>
    <n v="5970"/>
    <n v="6"/>
    <x v="1"/>
    <n v="18"/>
    <n v="3"/>
    <n v="4"/>
    <n v="1"/>
    <n v="6"/>
    <n v="1"/>
    <n v="1"/>
    <n v="2"/>
    <n v="2"/>
    <n v="2"/>
    <n v="2"/>
  </r>
  <r>
    <n v="28"/>
    <x v="1"/>
    <s v="Travel_Rarely"/>
    <n v="440"/>
    <x v="1"/>
    <n v="21"/>
    <n v="3"/>
    <s v="Medical"/>
    <n v="221"/>
    <n v="3"/>
    <x v="1"/>
    <n v="42"/>
    <n v="3"/>
    <n v="1"/>
    <s v="Research Scientist"/>
    <n v="4"/>
    <s v="Married"/>
    <n v="2713"/>
    <n v="6672"/>
    <n v="1"/>
    <x v="1"/>
    <n v="11"/>
    <n v="3"/>
    <n v="3"/>
    <n v="1"/>
    <n v="5"/>
    <n v="2"/>
    <n v="1"/>
    <n v="5"/>
    <n v="2"/>
    <n v="0"/>
    <n v="2"/>
  </r>
  <r>
    <n v="57"/>
    <x v="1"/>
    <s v="Travel_Rarely"/>
    <n v="334"/>
    <x v="1"/>
    <n v="24"/>
    <n v="2"/>
    <s v="Life Sciences"/>
    <n v="223"/>
    <n v="3"/>
    <x v="1"/>
    <n v="83"/>
    <n v="4"/>
    <n v="3"/>
    <s v="Healthcare Representative"/>
    <n v="4"/>
    <s v="Divorced"/>
    <n v="9439"/>
    <n v="23402"/>
    <n v="3"/>
    <x v="0"/>
    <n v="16"/>
    <n v="3"/>
    <n v="2"/>
    <n v="1"/>
    <n v="12"/>
    <n v="2"/>
    <n v="1"/>
    <n v="5"/>
    <n v="3"/>
    <n v="1"/>
    <n v="4"/>
  </r>
  <r>
    <n v="27"/>
    <x v="1"/>
    <s v="Non-Travel"/>
    <n v="1450"/>
    <x v="1"/>
    <n v="3"/>
    <n v="3"/>
    <s v="Medical"/>
    <n v="224"/>
    <n v="3"/>
    <x v="1"/>
    <n v="79"/>
    <n v="2"/>
    <n v="1"/>
    <s v="Research Scientist"/>
    <n v="3"/>
    <s v="Divorced"/>
    <n v="2566"/>
    <n v="25326"/>
    <n v="1"/>
    <x v="0"/>
    <n v="15"/>
    <n v="3"/>
    <n v="4"/>
    <n v="1"/>
    <n v="1"/>
    <n v="2"/>
    <n v="2"/>
    <n v="1"/>
    <n v="1"/>
    <n v="0"/>
    <n v="1"/>
  </r>
  <r>
    <n v="50"/>
    <x v="1"/>
    <s v="Travel_Rarely"/>
    <n v="1452"/>
    <x v="1"/>
    <n v="11"/>
    <n v="3"/>
    <s v="Life Sciences"/>
    <n v="226"/>
    <n v="3"/>
    <x v="0"/>
    <n v="53"/>
    <n v="3"/>
    <n v="5"/>
    <s v="Manager"/>
    <n v="2"/>
    <s v="Single"/>
    <n v="19926"/>
    <n v="17053"/>
    <n v="3"/>
    <x v="1"/>
    <n v="15"/>
    <n v="3"/>
    <n v="2"/>
    <n v="0"/>
    <n v="21"/>
    <n v="5"/>
    <n v="3"/>
    <n v="5"/>
    <n v="4"/>
    <n v="4"/>
    <n v="4"/>
  </r>
  <r>
    <n v="41"/>
    <x v="1"/>
    <s v="Travel_Rarely"/>
    <n v="465"/>
    <x v="1"/>
    <n v="14"/>
    <n v="3"/>
    <s v="Life Sciences"/>
    <n v="227"/>
    <n v="1"/>
    <x v="1"/>
    <n v="56"/>
    <n v="3"/>
    <n v="1"/>
    <s v="Research Scientist"/>
    <n v="3"/>
    <s v="Divorced"/>
    <n v="2451"/>
    <n v="4609"/>
    <n v="4"/>
    <x v="1"/>
    <n v="12"/>
    <n v="3"/>
    <n v="1"/>
    <n v="1"/>
    <n v="13"/>
    <n v="2"/>
    <n v="3"/>
    <n v="9"/>
    <n v="8"/>
    <n v="1"/>
    <n v="8"/>
  </r>
  <r>
    <n v="30"/>
    <x v="1"/>
    <s v="Travel_Rarely"/>
    <n v="1339"/>
    <x v="0"/>
    <n v="5"/>
    <n v="3"/>
    <s v="Life Sciences"/>
    <n v="228"/>
    <n v="2"/>
    <x v="0"/>
    <n v="41"/>
    <n v="3"/>
    <n v="3"/>
    <s v="Sales Executive"/>
    <n v="4"/>
    <s v="Married"/>
    <n v="9419"/>
    <n v="8053"/>
    <n v="2"/>
    <x v="1"/>
    <n v="12"/>
    <n v="3"/>
    <n v="3"/>
    <n v="1"/>
    <n v="12"/>
    <n v="2"/>
    <n v="3"/>
    <n v="10"/>
    <n v="9"/>
    <n v="7"/>
    <n v="4"/>
  </r>
  <r>
    <n v="38"/>
    <x v="1"/>
    <s v="Travel_Rarely"/>
    <n v="702"/>
    <x v="0"/>
    <n v="1"/>
    <n v="4"/>
    <s v="Life Sciences"/>
    <n v="230"/>
    <n v="1"/>
    <x v="0"/>
    <n v="59"/>
    <n v="2"/>
    <n v="2"/>
    <s v="Sales Executive"/>
    <n v="4"/>
    <s v="Single"/>
    <n v="8686"/>
    <n v="12930"/>
    <n v="4"/>
    <x v="1"/>
    <n v="22"/>
    <n v="4"/>
    <n v="3"/>
    <n v="0"/>
    <n v="12"/>
    <n v="2"/>
    <n v="4"/>
    <n v="8"/>
    <n v="3"/>
    <n v="0"/>
    <n v="7"/>
  </r>
  <r>
    <n v="32"/>
    <x v="1"/>
    <s v="Travel_Rarely"/>
    <n v="120"/>
    <x v="1"/>
    <n v="6"/>
    <n v="5"/>
    <s v="Life Sciences"/>
    <n v="231"/>
    <n v="3"/>
    <x v="1"/>
    <n v="43"/>
    <n v="3"/>
    <n v="1"/>
    <s v="Research Scientist"/>
    <n v="3"/>
    <s v="Single"/>
    <n v="3038"/>
    <n v="12430"/>
    <n v="3"/>
    <x v="1"/>
    <n v="20"/>
    <n v="4"/>
    <n v="1"/>
    <n v="0"/>
    <n v="8"/>
    <n v="2"/>
    <n v="3"/>
    <n v="5"/>
    <n v="4"/>
    <n v="1"/>
    <n v="4"/>
  </r>
  <r>
    <n v="27"/>
    <x v="1"/>
    <s v="Travel_Rarely"/>
    <n v="1157"/>
    <x v="1"/>
    <n v="17"/>
    <n v="3"/>
    <s v="Technical Degree"/>
    <n v="233"/>
    <n v="3"/>
    <x v="1"/>
    <n v="51"/>
    <n v="3"/>
    <n v="1"/>
    <s v="Research Scientist"/>
    <n v="2"/>
    <s v="Married"/>
    <n v="3058"/>
    <n v="13364"/>
    <n v="0"/>
    <x v="0"/>
    <n v="16"/>
    <n v="3"/>
    <n v="4"/>
    <n v="1"/>
    <n v="6"/>
    <n v="3"/>
    <n v="2"/>
    <n v="5"/>
    <n v="2"/>
    <n v="1"/>
    <n v="1"/>
  </r>
  <r>
    <n v="19"/>
    <x v="0"/>
    <s v="Travel_Frequently"/>
    <n v="602"/>
    <x v="0"/>
    <n v="1"/>
    <n v="1"/>
    <s v="Technical Degree"/>
    <n v="235"/>
    <n v="3"/>
    <x v="0"/>
    <n v="100"/>
    <n v="1"/>
    <n v="1"/>
    <s v="Sales Representative"/>
    <n v="1"/>
    <s v="Single"/>
    <n v="2325"/>
    <n v="20989"/>
    <n v="0"/>
    <x v="1"/>
    <n v="21"/>
    <n v="4"/>
    <n v="1"/>
    <n v="0"/>
    <n v="1"/>
    <n v="5"/>
    <n v="4"/>
    <n v="0"/>
    <n v="0"/>
    <n v="0"/>
    <n v="0"/>
  </r>
  <r>
    <n v="36"/>
    <x v="1"/>
    <s v="Travel_Frequently"/>
    <n v="1480"/>
    <x v="1"/>
    <n v="3"/>
    <n v="2"/>
    <s v="Medical"/>
    <n v="238"/>
    <n v="4"/>
    <x v="1"/>
    <n v="30"/>
    <n v="3"/>
    <n v="1"/>
    <s v="Laboratory Technician"/>
    <n v="2"/>
    <s v="Single"/>
    <n v="2088"/>
    <n v="15062"/>
    <n v="4"/>
    <x v="1"/>
    <n v="12"/>
    <n v="3"/>
    <n v="3"/>
    <n v="0"/>
    <n v="13"/>
    <n v="3"/>
    <n v="2"/>
    <n v="8"/>
    <n v="7"/>
    <n v="7"/>
    <n v="2"/>
  </r>
  <r>
    <n v="30"/>
    <x v="1"/>
    <s v="Non-Travel"/>
    <n v="111"/>
    <x v="1"/>
    <n v="9"/>
    <n v="3"/>
    <s v="Medical"/>
    <n v="239"/>
    <n v="3"/>
    <x v="1"/>
    <n v="66"/>
    <n v="3"/>
    <n v="2"/>
    <s v="Laboratory Technician"/>
    <n v="1"/>
    <s v="Divorced"/>
    <n v="3072"/>
    <n v="11012"/>
    <n v="1"/>
    <x v="1"/>
    <n v="11"/>
    <n v="3"/>
    <n v="3"/>
    <n v="2"/>
    <n v="12"/>
    <n v="4"/>
    <n v="3"/>
    <n v="12"/>
    <n v="9"/>
    <n v="6"/>
    <n v="10"/>
  </r>
  <r>
    <n v="45"/>
    <x v="1"/>
    <s v="Travel_Rarely"/>
    <n v="1268"/>
    <x v="0"/>
    <n v="4"/>
    <n v="2"/>
    <s v="Life Sciences"/>
    <n v="240"/>
    <n v="3"/>
    <x v="0"/>
    <n v="30"/>
    <n v="3"/>
    <n v="2"/>
    <s v="Sales Executive"/>
    <n v="1"/>
    <s v="Divorced"/>
    <n v="5006"/>
    <n v="6319"/>
    <n v="4"/>
    <x v="0"/>
    <n v="11"/>
    <n v="3"/>
    <n v="1"/>
    <n v="1"/>
    <n v="9"/>
    <n v="3"/>
    <n v="4"/>
    <n v="5"/>
    <n v="4"/>
    <n v="0"/>
    <n v="3"/>
  </r>
  <r>
    <n v="56"/>
    <x v="1"/>
    <s v="Travel_Rarely"/>
    <n v="713"/>
    <x v="1"/>
    <n v="8"/>
    <n v="3"/>
    <s v="Life Sciences"/>
    <n v="241"/>
    <n v="3"/>
    <x v="0"/>
    <n v="67"/>
    <n v="3"/>
    <n v="1"/>
    <s v="Research Scientist"/>
    <n v="1"/>
    <s v="Divorced"/>
    <n v="4257"/>
    <n v="13939"/>
    <n v="4"/>
    <x v="0"/>
    <n v="18"/>
    <n v="3"/>
    <n v="3"/>
    <n v="1"/>
    <n v="19"/>
    <n v="3"/>
    <n v="3"/>
    <n v="2"/>
    <n v="2"/>
    <n v="2"/>
    <n v="2"/>
  </r>
  <r>
    <n v="33"/>
    <x v="1"/>
    <s v="Travel_Rarely"/>
    <n v="134"/>
    <x v="1"/>
    <n v="2"/>
    <n v="3"/>
    <s v="Life Sciences"/>
    <n v="242"/>
    <n v="3"/>
    <x v="1"/>
    <n v="90"/>
    <n v="3"/>
    <n v="1"/>
    <s v="Research Scientist"/>
    <n v="4"/>
    <s v="Single"/>
    <n v="2500"/>
    <n v="10515"/>
    <n v="0"/>
    <x v="1"/>
    <n v="14"/>
    <n v="3"/>
    <n v="1"/>
    <n v="0"/>
    <n v="4"/>
    <n v="2"/>
    <n v="4"/>
    <n v="3"/>
    <n v="1"/>
    <n v="0"/>
    <n v="2"/>
  </r>
  <r>
    <n v="19"/>
    <x v="0"/>
    <s v="Travel_Rarely"/>
    <n v="303"/>
    <x v="1"/>
    <n v="2"/>
    <n v="3"/>
    <s v="Life Sciences"/>
    <n v="243"/>
    <n v="2"/>
    <x v="1"/>
    <n v="47"/>
    <n v="2"/>
    <n v="1"/>
    <s v="Laboratory Technician"/>
    <n v="4"/>
    <s v="Single"/>
    <n v="1102"/>
    <n v="9241"/>
    <n v="1"/>
    <x v="1"/>
    <n v="22"/>
    <n v="4"/>
    <n v="3"/>
    <n v="0"/>
    <n v="1"/>
    <n v="3"/>
    <n v="2"/>
    <n v="1"/>
    <n v="0"/>
    <n v="1"/>
    <n v="0"/>
  </r>
  <r>
    <n v="46"/>
    <x v="1"/>
    <s v="Travel_Rarely"/>
    <n v="526"/>
    <x v="0"/>
    <n v="1"/>
    <n v="2"/>
    <s v="Marketing"/>
    <n v="244"/>
    <n v="2"/>
    <x v="0"/>
    <n v="92"/>
    <n v="3"/>
    <n v="3"/>
    <s v="Sales Executive"/>
    <n v="1"/>
    <s v="Divorced"/>
    <n v="10453"/>
    <n v="2137"/>
    <n v="1"/>
    <x v="1"/>
    <n v="25"/>
    <n v="4"/>
    <n v="3"/>
    <n v="3"/>
    <n v="24"/>
    <n v="2"/>
    <n v="3"/>
    <n v="24"/>
    <n v="13"/>
    <n v="15"/>
    <n v="7"/>
  </r>
  <r>
    <n v="38"/>
    <x v="1"/>
    <s v="Travel_Rarely"/>
    <n v="1380"/>
    <x v="1"/>
    <n v="9"/>
    <n v="2"/>
    <s v="Life Sciences"/>
    <n v="245"/>
    <n v="3"/>
    <x v="0"/>
    <n v="75"/>
    <n v="3"/>
    <n v="1"/>
    <s v="Laboratory Technician"/>
    <n v="4"/>
    <s v="Single"/>
    <n v="2288"/>
    <n v="6319"/>
    <n v="1"/>
    <x v="1"/>
    <n v="12"/>
    <n v="3"/>
    <n v="3"/>
    <n v="0"/>
    <n v="2"/>
    <n v="3"/>
    <n v="3"/>
    <n v="2"/>
    <n v="2"/>
    <n v="2"/>
    <n v="1"/>
  </r>
  <r>
    <n v="31"/>
    <x v="1"/>
    <s v="Travel_Rarely"/>
    <n v="140"/>
    <x v="1"/>
    <n v="12"/>
    <n v="1"/>
    <s v="Medical"/>
    <n v="246"/>
    <n v="3"/>
    <x v="0"/>
    <n v="95"/>
    <n v="3"/>
    <n v="1"/>
    <s v="Research Scientist"/>
    <n v="4"/>
    <s v="Married"/>
    <n v="3929"/>
    <n v="6984"/>
    <n v="8"/>
    <x v="0"/>
    <n v="23"/>
    <n v="4"/>
    <n v="3"/>
    <n v="1"/>
    <n v="7"/>
    <n v="0"/>
    <n v="3"/>
    <n v="4"/>
    <n v="2"/>
    <n v="0"/>
    <n v="2"/>
  </r>
  <r>
    <n v="34"/>
    <x v="1"/>
    <s v="Travel_Rarely"/>
    <n v="629"/>
    <x v="1"/>
    <n v="27"/>
    <n v="2"/>
    <s v="Medical"/>
    <n v="247"/>
    <n v="4"/>
    <x v="0"/>
    <n v="95"/>
    <n v="3"/>
    <n v="1"/>
    <s v="Research Scientist"/>
    <n v="2"/>
    <s v="Single"/>
    <n v="2311"/>
    <n v="5711"/>
    <n v="2"/>
    <x v="1"/>
    <n v="15"/>
    <n v="3"/>
    <n v="4"/>
    <n v="0"/>
    <n v="9"/>
    <n v="3"/>
    <n v="3"/>
    <n v="3"/>
    <n v="2"/>
    <n v="1"/>
    <n v="2"/>
  </r>
  <r>
    <n v="41"/>
    <x v="0"/>
    <s v="Travel_Rarely"/>
    <n v="1356"/>
    <x v="0"/>
    <n v="20"/>
    <n v="2"/>
    <s v="Marketing"/>
    <n v="248"/>
    <n v="2"/>
    <x v="0"/>
    <n v="70"/>
    <n v="3"/>
    <n v="1"/>
    <s v="Sales Representative"/>
    <n v="2"/>
    <s v="Single"/>
    <n v="3140"/>
    <n v="21728"/>
    <n v="1"/>
    <x v="0"/>
    <n v="22"/>
    <n v="4"/>
    <n v="4"/>
    <n v="0"/>
    <n v="4"/>
    <n v="5"/>
    <n v="2"/>
    <n v="4"/>
    <n v="3"/>
    <n v="0"/>
    <n v="2"/>
  </r>
  <r>
    <n v="50"/>
    <x v="1"/>
    <s v="Travel_Rarely"/>
    <n v="328"/>
    <x v="1"/>
    <n v="1"/>
    <n v="3"/>
    <s v="Medical"/>
    <n v="249"/>
    <n v="3"/>
    <x v="1"/>
    <n v="86"/>
    <n v="2"/>
    <n v="1"/>
    <s v="Laboratory Technician"/>
    <n v="3"/>
    <s v="Married"/>
    <n v="3690"/>
    <n v="3425"/>
    <n v="2"/>
    <x v="1"/>
    <n v="15"/>
    <n v="3"/>
    <n v="4"/>
    <n v="1"/>
    <n v="5"/>
    <n v="2"/>
    <n v="2"/>
    <n v="3"/>
    <n v="2"/>
    <n v="0"/>
    <n v="2"/>
  </r>
  <r>
    <n v="53"/>
    <x v="1"/>
    <s v="Travel_Rarely"/>
    <n v="1084"/>
    <x v="1"/>
    <n v="13"/>
    <n v="2"/>
    <s v="Medical"/>
    <n v="250"/>
    <n v="4"/>
    <x v="0"/>
    <n v="57"/>
    <n v="4"/>
    <n v="2"/>
    <s v="Manufacturing Director"/>
    <n v="1"/>
    <s v="Divorced"/>
    <n v="4450"/>
    <n v="26250"/>
    <n v="1"/>
    <x v="1"/>
    <n v="11"/>
    <n v="3"/>
    <n v="3"/>
    <n v="2"/>
    <n v="5"/>
    <n v="3"/>
    <n v="3"/>
    <n v="4"/>
    <n v="2"/>
    <n v="1"/>
    <n v="3"/>
  </r>
  <r>
    <n v="33"/>
    <x v="1"/>
    <s v="Travel_Rarely"/>
    <n v="931"/>
    <x v="1"/>
    <n v="14"/>
    <n v="3"/>
    <s v="Medical"/>
    <n v="252"/>
    <n v="4"/>
    <x v="0"/>
    <n v="72"/>
    <n v="3"/>
    <n v="1"/>
    <s v="Research Scientist"/>
    <n v="2"/>
    <s v="Married"/>
    <n v="2756"/>
    <n v="4673"/>
    <n v="1"/>
    <x v="1"/>
    <n v="13"/>
    <n v="3"/>
    <n v="4"/>
    <n v="1"/>
    <n v="8"/>
    <n v="5"/>
    <n v="3"/>
    <n v="8"/>
    <n v="7"/>
    <n v="1"/>
    <n v="6"/>
  </r>
  <r>
    <n v="40"/>
    <x v="1"/>
    <s v="Travel_Rarely"/>
    <n v="989"/>
    <x v="1"/>
    <n v="4"/>
    <n v="1"/>
    <s v="Medical"/>
    <n v="253"/>
    <n v="4"/>
    <x v="0"/>
    <n v="46"/>
    <n v="3"/>
    <n v="5"/>
    <s v="Manager"/>
    <n v="3"/>
    <s v="Married"/>
    <n v="19033"/>
    <n v="6499"/>
    <n v="1"/>
    <x v="1"/>
    <n v="14"/>
    <n v="3"/>
    <n v="2"/>
    <n v="1"/>
    <n v="21"/>
    <n v="2"/>
    <n v="3"/>
    <n v="20"/>
    <n v="8"/>
    <n v="9"/>
    <n v="9"/>
  </r>
  <r>
    <n v="55"/>
    <x v="1"/>
    <s v="Travel_Rarely"/>
    <n v="692"/>
    <x v="1"/>
    <n v="14"/>
    <n v="4"/>
    <s v="Medical"/>
    <n v="254"/>
    <n v="3"/>
    <x v="1"/>
    <n v="61"/>
    <n v="4"/>
    <n v="5"/>
    <s v="Research Director"/>
    <n v="2"/>
    <s v="Single"/>
    <n v="18722"/>
    <n v="13339"/>
    <n v="8"/>
    <x v="1"/>
    <n v="11"/>
    <n v="3"/>
    <n v="4"/>
    <n v="0"/>
    <n v="36"/>
    <n v="3"/>
    <n v="3"/>
    <n v="24"/>
    <n v="15"/>
    <n v="2"/>
    <n v="15"/>
  </r>
  <r>
    <n v="34"/>
    <x v="1"/>
    <s v="Travel_Frequently"/>
    <n v="1069"/>
    <x v="1"/>
    <n v="2"/>
    <n v="1"/>
    <s v="Life Sciences"/>
    <n v="256"/>
    <n v="4"/>
    <x v="1"/>
    <n v="45"/>
    <n v="2"/>
    <n v="2"/>
    <s v="Manufacturing Director"/>
    <n v="3"/>
    <s v="Married"/>
    <n v="9547"/>
    <n v="14074"/>
    <n v="1"/>
    <x v="1"/>
    <n v="17"/>
    <n v="3"/>
    <n v="3"/>
    <n v="0"/>
    <n v="10"/>
    <n v="2"/>
    <n v="2"/>
    <n v="10"/>
    <n v="9"/>
    <n v="1"/>
    <n v="9"/>
  </r>
  <r>
    <n v="51"/>
    <x v="1"/>
    <s v="Travel_Rarely"/>
    <n v="313"/>
    <x v="1"/>
    <n v="3"/>
    <n v="3"/>
    <s v="Medical"/>
    <n v="258"/>
    <n v="4"/>
    <x v="0"/>
    <n v="98"/>
    <n v="3"/>
    <n v="4"/>
    <s v="Healthcare Representative"/>
    <n v="2"/>
    <s v="Single"/>
    <n v="13734"/>
    <n v="7192"/>
    <n v="3"/>
    <x v="1"/>
    <n v="18"/>
    <n v="3"/>
    <n v="3"/>
    <n v="0"/>
    <n v="21"/>
    <n v="6"/>
    <n v="3"/>
    <n v="7"/>
    <n v="7"/>
    <n v="1"/>
    <n v="0"/>
  </r>
  <r>
    <n v="52"/>
    <x v="1"/>
    <s v="Travel_Rarely"/>
    <n v="699"/>
    <x v="1"/>
    <n v="1"/>
    <n v="4"/>
    <s v="Life Sciences"/>
    <n v="259"/>
    <n v="3"/>
    <x v="1"/>
    <n v="65"/>
    <n v="2"/>
    <n v="5"/>
    <s v="Manager"/>
    <n v="3"/>
    <s v="Married"/>
    <n v="19999"/>
    <n v="5678"/>
    <n v="0"/>
    <x v="1"/>
    <n v="14"/>
    <n v="3"/>
    <n v="1"/>
    <n v="1"/>
    <n v="34"/>
    <n v="5"/>
    <n v="3"/>
    <n v="33"/>
    <n v="18"/>
    <n v="11"/>
    <n v="9"/>
  </r>
  <r>
    <n v="27"/>
    <x v="1"/>
    <s v="Travel_Rarely"/>
    <n v="894"/>
    <x v="1"/>
    <n v="9"/>
    <n v="3"/>
    <s v="Medical"/>
    <n v="260"/>
    <n v="4"/>
    <x v="0"/>
    <n v="99"/>
    <n v="3"/>
    <n v="1"/>
    <s v="Research Scientist"/>
    <n v="2"/>
    <s v="Single"/>
    <n v="2279"/>
    <n v="11781"/>
    <n v="1"/>
    <x v="1"/>
    <n v="16"/>
    <n v="3"/>
    <n v="4"/>
    <n v="0"/>
    <n v="7"/>
    <n v="2"/>
    <n v="2"/>
    <n v="7"/>
    <n v="7"/>
    <n v="0"/>
    <n v="3"/>
  </r>
  <r>
    <n v="35"/>
    <x v="0"/>
    <s v="Travel_Rarely"/>
    <n v="556"/>
    <x v="1"/>
    <n v="23"/>
    <n v="2"/>
    <s v="Life Sciences"/>
    <n v="261"/>
    <n v="2"/>
    <x v="1"/>
    <n v="50"/>
    <n v="2"/>
    <n v="2"/>
    <s v="Manufacturing Director"/>
    <n v="3"/>
    <s v="Married"/>
    <n v="5916"/>
    <n v="15497"/>
    <n v="3"/>
    <x v="0"/>
    <n v="13"/>
    <n v="3"/>
    <n v="1"/>
    <n v="0"/>
    <n v="8"/>
    <n v="1"/>
    <n v="3"/>
    <n v="1"/>
    <n v="0"/>
    <n v="0"/>
    <n v="1"/>
  </r>
  <r>
    <n v="43"/>
    <x v="1"/>
    <s v="Non-Travel"/>
    <n v="1344"/>
    <x v="1"/>
    <n v="7"/>
    <n v="3"/>
    <s v="Medical"/>
    <n v="262"/>
    <n v="4"/>
    <x v="1"/>
    <n v="37"/>
    <n v="4"/>
    <n v="1"/>
    <s v="Research Scientist"/>
    <n v="4"/>
    <s v="Divorced"/>
    <n v="2089"/>
    <n v="5228"/>
    <n v="4"/>
    <x v="1"/>
    <n v="14"/>
    <n v="3"/>
    <n v="4"/>
    <n v="3"/>
    <n v="7"/>
    <n v="3"/>
    <n v="4"/>
    <n v="5"/>
    <n v="4"/>
    <n v="2"/>
    <n v="2"/>
  </r>
  <r>
    <n v="45"/>
    <x v="1"/>
    <s v="Non-Travel"/>
    <n v="1195"/>
    <x v="1"/>
    <n v="2"/>
    <n v="2"/>
    <s v="Medical"/>
    <n v="264"/>
    <n v="1"/>
    <x v="1"/>
    <n v="65"/>
    <n v="2"/>
    <n v="4"/>
    <s v="Manager"/>
    <n v="4"/>
    <s v="Married"/>
    <n v="16792"/>
    <n v="20462"/>
    <n v="9"/>
    <x v="1"/>
    <n v="23"/>
    <n v="4"/>
    <n v="4"/>
    <n v="1"/>
    <n v="22"/>
    <n v="1"/>
    <n v="3"/>
    <n v="20"/>
    <n v="8"/>
    <n v="11"/>
    <n v="8"/>
  </r>
  <r>
    <n v="37"/>
    <x v="1"/>
    <s v="Travel_Rarely"/>
    <n v="290"/>
    <x v="1"/>
    <n v="21"/>
    <n v="3"/>
    <s v="Life Sciences"/>
    <n v="267"/>
    <n v="2"/>
    <x v="1"/>
    <n v="65"/>
    <n v="4"/>
    <n v="1"/>
    <s v="Research Scientist"/>
    <n v="1"/>
    <s v="Married"/>
    <n v="3564"/>
    <n v="22977"/>
    <n v="1"/>
    <x v="0"/>
    <n v="12"/>
    <n v="3"/>
    <n v="1"/>
    <n v="1"/>
    <n v="8"/>
    <n v="3"/>
    <n v="2"/>
    <n v="8"/>
    <n v="7"/>
    <n v="1"/>
    <n v="7"/>
  </r>
  <r>
    <n v="35"/>
    <x v="1"/>
    <s v="Travel_Frequently"/>
    <n v="138"/>
    <x v="1"/>
    <n v="2"/>
    <n v="3"/>
    <s v="Medical"/>
    <n v="269"/>
    <n v="2"/>
    <x v="0"/>
    <n v="37"/>
    <n v="3"/>
    <n v="2"/>
    <s v="Laboratory Technician"/>
    <n v="2"/>
    <s v="Single"/>
    <n v="4425"/>
    <n v="15986"/>
    <n v="5"/>
    <x v="1"/>
    <n v="11"/>
    <n v="3"/>
    <n v="4"/>
    <n v="0"/>
    <n v="10"/>
    <n v="5"/>
    <n v="3"/>
    <n v="6"/>
    <n v="2"/>
    <n v="1"/>
    <n v="2"/>
  </r>
  <r>
    <n v="42"/>
    <x v="1"/>
    <s v="Non-Travel"/>
    <n v="926"/>
    <x v="1"/>
    <n v="21"/>
    <n v="2"/>
    <s v="Medical"/>
    <n v="270"/>
    <n v="3"/>
    <x v="0"/>
    <n v="36"/>
    <n v="3"/>
    <n v="2"/>
    <s v="Manufacturing Director"/>
    <n v="3"/>
    <s v="Divorced"/>
    <n v="5265"/>
    <n v="16439"/>
    <n v="2"/>
    <x v="1"/>
    <n v="16"/>
    <n v="3"/>
    <n v="2"/>
    <n v="1"/>
    <n v="11"/>
    <n v="5"/>
    <n v="3"/>
    <n v="5"/>
    <n v="3"/>
    <n v="0"/>
    <n v="2"/>
  </r>
  <r>
    <n v="38"/>
    <x v="1"/>
    <s v="Travel_Rarely"/>
    <n v="1261"/>
    <x v="1"/>
    <n v="2"/>
    <n v="4"/>
    <s v="Life Sciences"/>
    <n v="271"/>
    <n v="4"/>
    <x v="1"/>
    <n v="88"/>
    <n v="3"/>
    <n v="2"/>
    <s v="Manufacturing Director"/>
    <n v="3"/>
    <s v="Married"/>
    <n v="6553"/>
    <n v="7259"/>
    <n v="9"/>
    <x v="1"/>
    <n v="14"/>
    <n v="3"/>
    <n v="2"/>
    <n v="0"/>
    <n v="14"/>
    <n v="3"/>
    <n v="3"/>
    <n v="1"/>
    <n v="0"/>
    <n v="0"/>
    <n v="0"/>
  </r>
  <r>
    <n v="38"/>
    <x v="1"/>
    <s v="Travel_Rarely"/>
    <n v="1084"/>
    <x v="1"/>
    <n v="29"/>
    <n v="3"/>
    <s v="Technical Degree"/>
    <n v="273"/>
    <n v="4"/>
    <x v="1"/>
    <n v="54"/>
    <n v="3"/>
    <n v="2"/>
    <s v="Manufacturing Director"/>
    <n v="4"/>
    <s v="Married"/>
    <n v="6261"/>
    <n v="4185"/>
    <n v="3"/>
    <x v="1"/>
    <n v="18"/>
    <n v="3"/>
    <n v="1"/>
    <n v="1"/>
    <n v="9"/>
    <n v="3"/>
    <n v="1"/>
    <n v="7"/>
    <n v="7"/>
    <n v="1"/>
    <n v="7"/>
  </r>
  <r>
    <n v="27"/>
    <x v="1"/>
    <s v="Travel_Frequently"/>
    <n v="472"/>
    <x v="1"/>
    <n v="1"/>
    <n v="1"/>
    <s v="Technical Degree"/>
    <n v="274"/>
    <n v="3"/>
    <x v="1"/>
    <n v="60"/>
    <n v="2"/>
    <n v="2"/>
    <s v="Manufacturing Director"/>
    <n v="1"/>
    <s v="Married"/>
    <n v="4298"/>
    <n v="9679"/>
    <n v="5"/>
    <x v="1"/>
    <n v="19"/>
    <n v="3"/>
    <n v="3"/>
    <n v="1"/>
    <n v="6"/>
    <n v="1"/>
    <n v="3"/>
    <n v="2"/>
    <n v="2"/>
    <n v="2"/>
    <n v="0"/>
  </r>
  <r>
    <n v="49"/>
    <x v="1"/>
    <s v="Non-Travel"/>
    <n v="1002"/>
    <x v="1"/>
    <n v="18"/>
    <n v="4"/>
    <s v="Life Sciences"/>
    <n v="275"/>
    <n v="4"/>
    <x v="1"/>
    <n v="92"/>
    <n v="3"/>
    <n v="2"/>
    <s v="Manufacturing Director"/>
    <n v="4"/>
    <s v="Divorced"/>
    <n v="6804"/>
    <n v="23793"/>
    <n v="1"/>
    <x v="0"/>
    <n v="15"/>
    <n v="3"/>
    <n v="1"/>
    <n v="2"/>
    <n v="7"/>
    <n v="0"/>
    <n v="3"/>
    <n v="7"/>
    <n v="7"/>
    <n v="1"/>
    <n v="7"/>
  </r>
  <r>
    <n v="34"/>
    <x v="1"/>
    <s v="Travel_Frequently"/>
    <n v="878"/>
    <x v="1"/>
    <n v="10"/>
    <n v="4"/>
    <s v="Medical"/>
    <n v="277"/>
    <n v="4"/>
    <x v="1"/>
    <n v="43"/>
    <n v="3"/>
    <n v="1"/>
    <s v="Research Scientist"/>
    <n v="3"/>
    <s v="Divorced"/>
    <n v="3815"/>
    <n v="5972"/>
    <n v="1"/>
    <x v="0"/>
    <n v="17"/>
    <n v="3"/>
    <n v="4"/>
    <n v="1"/>
    <n v="5"/>
    <n v="4"/>
    <n v="4"/>
    <n v="5"/>
    <n v="3"/>
    <n v="2"/>
    <n v="0"/>
  </r>
  <r>
    <n v="40"/>
    <x v="1"/>
    <s v="Travel_Rarely"/>
    <n v="905"/>
    <x v="1"/>
    <n v="19"/>
    <n v="2"/>
    <s v="Medical"/>
    <n v="281"/>
    <n v="3"/>
    <x v="1"/>
    <n v="99"/>
    <n v="3"/>
    <n v="2"/>
    <s v="Laboratory Technician"/>
    <n v="4"/>
    <s v="Married"/>
    <n v="2741"/>
    <n v="16523"/>
    <n v="8"/>
    <x v="0"/>
    <n v="15"/>
    <n v="3"/>
    <n v="3"/>
    <n v="1"/>
    <n v="15"/>
    <n v="2"/>
    <n v="4"/>
    <n v="7"/>
    <n v="2"/>
    <n v="3"/>
    <n v="7"/>
  </r>
  <r>
    <n v="38"/>
    <x v="0"/>
    <s v="Travel_Rarely"/>
    <n v="1180"/>
    <x v="1"/>
    <n v="29"/>
    <n v="1"/>
    <s v="Medical"/>
    <n v="282"/>
    <n v="2"/>
    <x v="1"/>
    <n v="70"/>
    <n v="3"/>
    <n v="2"/>
    <s v="Healthcare Representative"/>
    <n v="1"/>
    <s v="Married"/>
    <n v="6673"/>
    <n v="11354"/>
    <n v="7"/>
    <x v="0"/>
    <n v="19"/>
    <n v="3"/>
    <n v="2"/>
    <n v="0"/>
    <n v="17"/>
    <n v="2"/>
    <n v="3"/>
    <n v="1"/>
    <n v="0"/>
    <n v="0"/>
    <n v="0"/>
  </r>
  <r>
    <n v="29"/>
    <x v="0"/>
    <s v="Travel_Rarely"/>
    <n v="121"/>
    <x v="0"/>
    <n v="27"/>
    <n v="3"/>
    <s v="Marketing"/>
    <n v="283"/>
    <n v="2"/>
    <x v="0"/>
    <n v="35"/>
    <n v="3"/>
    <n v="3"/>
    <s v="Sales Executive"/>
    <n v="4"/>
    <s v="Married"/>
    <n v="7639"/>
    <n v="24525"/>
    <n v="1"/>
    <x v="1"/>
    <n v="22"/>
    <n v="4"/>
    <n v="4"/>
    <n v="3"/>
    <n v="10"/>
    <n v="3"/>
    <n v="2"/>
    <n v="10"/>
    <n v="4"/>
    <n v="1"/>
    <n v="9"/>
  </r>
  <r>
    <n v="22"/>
    <x v="1"/>
    <s v="Travel_Rarely"/>
    <n v="1136"/>
    <x v="1"/>
    <n v="5"/>
    <n v="3"/>
    <s v="Life Sciences"/>
    <n v="284"/>
    <n v="4"/>
    <x v="1"/>
    <n v="60"/>
    <n v="4"/>
    <n v="1"/>
    <s v="Research Scientist"/>
    <n v="2"/>
    <s v="Divorced"/>
    <n v="2328"/>
    <n v="12392"/>
    <n v="1"/>
    <x v="0"/>
    <n v="16"/>
    <n v="3"/>
    <n v="1"/>
    <n v="1"/>
    <n v="4"/>
    <n v="2"/>
    <n v="2"/>
    <n v="4"/>
    <n v="2"/>
    <n v="2"/>
    <n v="2"/>
  </r>
  <r>
    <n v="36"/>
    <x v="1"/>
    <s v="Travel_Frequently"/>
    <n v="635"/>
    <x v="1"/>
    <n v="18"/>
    <n v="1"/>
    <s v="Medical"/>
    <n v="286"/>
    <n v="2"/>
    <x v="0"/>
    <n v="73"/>
    <n v="3"/>
    <n v="1"/>
    <s v="Laboratory Technician"/>
    <n v="4"/>
    <s v="Single"/>
    <n v="2153"/>
    <n v="7703"/>
    <n v="1"/>
    <x v="1"/>
    <n v="13"/>
    <n v="3"/>
    <n v="1"/>
    <n v="0"/>
    <n v="8"/>
    <n v="2"/>
    <n v="3"/>
    <n v="8"/>
    <n v="1"/>
    <n v="1"/>
    <n v="7"/>
  </r>
  <r>
    <n v="40"/>
    <x v="1"/>
    <s v="Non-Travel"/>
    <n v="1151"/>
    <x v="1"/>
    <n v="9"/>
    <n v="5"/>
    <s v="Life Sciences"/>
    <n v="287"/>
    <n v="4"/>
    <x v="1"/>
    <n v="63"/>
    <n v="2"/>
    <n v="2"/>
    <s v="Healthcare Representative"/>
    <n v="4"/>
    <s v="Married"/>
    <n v="4876"/>
    <n v="14242"/>
    <n v="9"/>
    <x v="1"/>
    <n v="14"/>
    <n v="3"/>
    <n v="4"/>
    <n v="1"/>
    <n v="5"/>
    <n v="5"/>
    <n v="1"/>
    <n v="3"/>
    <n v="2"/>
    <n v="0"/>
    <n v="2"/>
  </r>
  <r>
    <n v="46"/>
    <x v="1"/>
    <s v="Travel_Rarely"/>
    <n v="644"/>
    <x v="1"/>
    <n v="1"/>
    <n v="4"/>
    <s v="Medical"/>
    <n v="288"/>
    <n v="4"/>
    <x v="1"/>
    <n v="97"/>
    <n v="3"/>
    <n v="3"/>
    <s v="Healthcare Representative"/>
    <n v="1"/>
    <s v="Divorced"/>
    <n v="9396"/>
    <n v="12368"/>
    <n v="7"/>
    <x v="1"/>
    <n v="16"/>
    <n v="3"/>
    <n v="3"/>
    <n v="1"/>
    <n v="17"/>
    <n v="3"/>
    <n v="3"/>
    <n v="4"/>
    <n v="2"/>
    <n v="0"/>
    <n v="3"/>
  </r>
  <r>
    <n v="32"/>
    <x v="0"/>
    <s v="Travel_Rarely"/>
    <n v="1045"/>
    <x v="0"/>
    <n v="4"/>
    <n v="4"/>
    <s v="Medical"/>
    <n v="291"/>
    <n v="4"/>
    <x v="1"/>
    <n v="32"/>
    <n v="1"/>
    <n v="3"/>
    <s v="Sales Executive"/>
    <n v="4"/>
    <s v="Married"/>
    <n v="10400"/>
    <n v="25812"/>
    <n v="1"/>
    <x v="1"/>
    <n v="11"/>
    <n v="3"/>
    <n v="3"/>
    <n v="0"/>
    <n v="14"/>
    <n v="2"/>
    <n v="2"/>
    <n v="14"/>
    <n v="8"/>
    <n v="9"/>
    <n v="8"/>
  </r>
  <r>
    <n v="30"/>
    <x v="1"/>
    <s v="Non-Travel"/>
    <n v="829"/>
    <x v="1"/>
    <n v="1"/>
    <n v="1"/>
    <s v="Life Sciences"/>
    <n v="292"/>
    <n v="3"/>
    <x v="1"/>
    <n v="88"/>
    <n v="2"/>
    <n v="3"/>
    <s v="Manufacturing Director"/>
    <n v="3"/>
    <s v="Single"/>
    <n v="8474"/>
    <n v="20925"/>
    <n v="1"/>
    <x v="1"/>
    <n v="22"/>
    <n v="4"/>
    <n v="3"/>
    <n v="0"/>
    <n v="12"/>
    <n v="2"/>
    <n v="3"/>
    <n v="11"/>
    <n v="8"/>
    <n v="5"/>
    <n v="8"/>
  </r>
  <r>
    <n v="27"/>
    <x v="1"/>
    <s v="Travel_Frequently"/>
    <n v="1242"/>
    <x v="0"/>
    <n v="20"/>
    <n v="3"/>
    <s v="Life Sciences"/>
    <n v="293"/>
    <n v="4"/>
    <x v="0"/>
    <n v="90"/>
    <n v="3"/>
    <n v="2"/>
    <s v="Sales Executive"/>
    <n v="3"/>
    <s v="Single"/>
    <n v="9981"/>
    <n v="12916"/>
    <n v="1"/>
    <x v="1"/>
    <n v="14"/>
    <n v="3"/>
    <n v="4"/>
    <n v="0"/>
    <n v="7"/>
    <n v="2"/>
    <n v="3"/>
    <n v="7"/>
    <n v="7"/>
    <n v="0"/>
    <n v="7"/>
  </r>
  <r>
    <n v="51"/>
    <x v="1"/>
    <s v="Travel_Rarely"/>
    <n v="1469"/>
    <x v="1"/>
    <n v="8"/>
    <n v="4"/>
    <s v="Life Sciences"/>
    <n v="296"/>
    <n v="2"/>
    <x v="1"/>
    <n v="81"/>
    <n v="2"/>
    <n v="3"/>
    <s v="Research Director"/>
    <n v="2"/>
    <s v="Married"/>
    <n v="12490"/>
    <n v="15736"/>
    <n v="5"/>
    <x v="1"/>
    <n v="16"/>
    <n v="3"/>
    <n v="4"/>
    <n v="2"/>
    <n v="16"/>
    <n v="5"/>
    <n v="1"/>
    <n v="10"/>
    <n v="9"/>
    <n v="4"/>
    <n v="7"/>
  </r>
  <r>
    <n v="30"/>
    <x v="0"/>
    <s v="Travel_Rarely"/>
    <n v="1005"/>
    <x v="1"/>
    <n v="3"/>
    <n v="3"/>
    <s v="Technical Degree"/>
    <n v="297"/>
    <n v="4"/>
    <x v="0"/>
    <n v="88"/>
    <n v="3"/>
    <n v="1"/>
    <s v="Research Scientist"/>
    <n v="1"/>
    <s v="Single"/>
    <n v="2657"/>
    <n v="8556"/>
    <n v="5"/>
    <x v="0"/>
    <n v="11"/>
    <n v="3"/>
    <n v="3"/>
    <n v="0"/>
    <n v="8"/>
    <n v="5"/>
    <n v="3"/>
    <n v="5"/>
    <n v="2"/>
    <n v="0"/>
    <n v="4"/>
  </r>
  <r>
    <n v="41"/>
    <x v="1"/>
    <s v="Travel_Rarely"/>
    <n v="896"/>
    <x v="0"/>
    <n v="6"/>
    <n v="3"/>
    <s v="Life Sciences"/>
    <n v="298"/>
    <n v="4"/>
    <x v="0"/>
    <n v="75"/>
    <n v="3"/>
    <n v="3"/>
    <s v="Manager"/>
    <n v="4"/>
    <s v="Single"/>
    <n v="13591"/>
    <n v="14674"/>
    <n v="3"/>
    <x v="0"/>
    <n v="18"/>
    <n v="3"/>
    <n v="3"/>
    <n v="0"/>
    <n v="16"/>
    <n v="3"/>
    <n v="3"/>
    <n v="1"/>
    <n v="0"/>
    <n v="0"/>
    <n v="0"/>
  </r>
  <r>
    <n v="30"/>
    <x v="0"/>
    <s v="Travel_Frequently"/>
    <n v="334"/>
    <x v="0"/>
    <n v="26"/>
    <n v="4"/>
    <s v="Marketing"/>
    <n v="299"/>
    <n v="3"/>
    <x v="0"/>
    <n v="52"/>
    <n v="2"/>
    <n v="2"/>
    <s v="Sales Executive"/>
    <n v="1"/>
    <s v="Single"/>
    <n v="6696"/>
    <n v="22967"/>
    <n v="5"/>
    <x v="1"/>
    <n v="15"/>
    <n v="3"/>
    <n v="3"/>
    <n v="0"/>
    <n v="9"/>
    <n v="5"/>
    <n v="2"/>
    <n v="6"/>
    <n v="3"/>
    <n v="0"/>
    <n v="1"/>
  </r>
  <r>
    <n v="29"/>
    <x v="0"/>
    <s v="Travel_Rarely"/>
    <n v="992"/>
    <x v="1"/>
    <n v="1"/>
    <n v="3"/>
    <s v="Technical Degree"/>
    <n v="300"/>
    <n v="3"/>
    <x v="1"/>
    <n v="85"/>
    <n v="3"/>
    <n v="1"/>
    <s v="Research Scientist"/>
    <n v="3"/>
    <s v="Single"/>
    <n v="2058"/>
    <n v="19757"/>
    <n v="0"/>
    <x v="1"/>
    <n v="14"/>
    <n v="3"/>
    <n v="4"/>
    <n v="0"/>
    <n v="7"/>
    <n v="1"/>
    <n v="2"/>
    <n v="6"/>
    <n v="2"/>
    <n v="1"/>
    <n v="5"/>
  </r>
  <r>
    <n v="45"/>
    <x v="1"/>
    <s v="Non-Travel"/>
    <n v="1052"/>
    <x v="0"/>
    <n v="6"/>
    <n v="3"/>
    <s v="Medical"/>
    <n v="302"/>
    <n v="4"/>
    <x v="0"/>
    <n v="57"/>
    <n v="2"/>
    <n v="3"/>
    <s v="Sales Executive"/>
    <n v="4"/>
    <s v="Single"/>
    <n v="8865"/>
    <n v="16840"/>
    <n v="6"/>
    <x v="1"/>
    <n v="12"/>
    <n v="3"/>
    <n v="4"/>
    <n v="0"/>
    <n v="23"/>
    <n v="2"/>
    <n v="3"/>
    <n v="19"/>
    <n v="7"/>
    <n v="12"/>
    <n v="8"/>
  </r>
  <r>
    <n v="54"/>
    <x v="1"/>
    <s v="Travel_Rarely"/>
    <n v="1147"/>
    <x v="0"/>
    <n v="3"/>
    <n v="3"/>
    <s v="Marketing"/>
    <n v="303"/>
    <n v="4"/>
    <x v="0"/>
    <n v="52"/>
    <n v="3"/>
    <n v="2"/>
    <s v="Sales Executive"/>
    <n v="1"/>
    <s v="Married"/>
    <n v="5940"/>
    <n v="17011"/>
    <n v="2"/>
    <x v="1"/>
    <n v="14"/>
    <n v="3"/>
    <n v="4"/>
    <n v="1"/>
    <n v="16"/>
    <n v="4"/>
    <n v="3"/>
    <n v="6"/>
    <n v="2"/>
    <n v="0"/>
    <n v="5"/>
  </r>
  <r>
    <n v="36"/>
    <x v="1"/>
    <s v="Travel_Rarely"/>
    <n v="1396"/>
    <x v="1"/>
    <n v="5"/>
    <n v="2"/>
    <s v="Life Sciences"/>
    <n v="304"/>
    <n v="4"/>
    <x v="1"/>
    <n v="62"/>
    <n v="3"/>
    <n v="2"/>
    <s v="Laboratory Technician"/>
    <n v="2"/>
    <s v="Single"/>
    <n v="5914"/>
    <n v="9945"/>
    <n v="8"/>
    <x v="1"/>
    <n v="16"/>
    <n v="3"/>
    <n v="4"/>
    <n v="0"/>
    <n v="16"/>
    <n v="3"/>
    <n v="4"/>
    <n v="13"/>
    <n v="11"/>
    <n v="3"/>
    <n v="7"/>
  </r>
  <r>
    <n v="33"/>
    <x v="1"/>
    <s v="Travel_Rarely"/>
    <n v="147"/>
    <x v="1"/>
    <n v="4"/>
    <n v="4"/>
    <s v="Medical"/>
    <n v="305"/>
    <n v="3"/>
    <x v="0"/>
    <n v="47"/>
    <n v="2"/>
    <n v="1"/>
    <s v="Research Scientist"/>
    <n v="2"/>
    <s v="Married"/>
    <n v="2622"/>
    <n v="13248"/>
    <n v="6"/>
    <x v="1"/>
    <n v="21"/>
    <n v="4"/>
    <n v="4"/>
    <n v="0"/>
    <n v="7"/>
    <n v="3"/>
    <n v="3"/>
    <n v="3"/>
    <n v="2"/>
    <n v="1"/>
    <n v="1"/>
  </r>
  <r>
    <n v="37"/>
    <x v="1"/>
    <s v="Travel_Frequently"/>
    <n v="663"/>
    <x v="1"/>
    <n v="11"/>
    <n v="3"/>
    <s v="Other"/>
    <n v="306"/>
    <n v="2"/>
    <x v="1"/>
    <n v="47"/>
    <n v="3"/>
    <n v="3"/>
    <s v="Research Director"/>
    <n v="4"/>
    <s v="Divorced"/>
    <n v="12185"/>
    <n v="10056"/>
    <n v="1"/>
    <x v="0"/>
    <n v="14"/>
    <n v="3"/>
    <n v="3"/>
    <n v="3"/>
    <n v="10"/>
    <n v="1"/>
    <n v="3"/>
    <n v="10"/>
    <n v="8"/>
    <n v="0"/>
    <n v="7"/>
  </r>
  <r>
    <n v="38"/>
    <x v="1"/>
    <s v="Travel_Rarely"/>
    <n v="119"/>
    <x v="0"/>
    <n v="3"/>
    <n v="3"/>
    <s v="Life Sciences"/>
    <n v="307"/>
    <n v="1"/>
    <x v="1"/>
    <n v="76"/>
    <n v="3"/>
    <n v="3"/>
    <s v="Sales Executive"/>
    <n v="3"/>
    <s v="Divorced"/>
    <n v="10609"/>
    <n v="9647"/>
    <n v="0"/>
    <x v="1"/>
    <n v="12"/>
    <n v="3"/>
    <n v="3"/>
    <n v="2"/>
    <n v="17"/>
    <n v="6"/>
    <n v="2"/>
    <n v="16"/>
    <n v="10"/>
    <n v="5"/>
    <n v="13"/>
  </r>
  <r>
    <n v="31"/>
    <x v="1"/>
    <s v="Non-Travel"/>
    <n v="979"/>
    <x v="1"/>
    <n v="1"/>
    <n v="4"/>
    <s v="Medical"/>
    <n v="308"/>
    <n v="3"/>
    <x v="1"/>
    <n v="90"/>
    <n v="1"/>
    <n v="2"/>
    <s v="Manufacturing Director"/>
    <n v="3"/>
    <s v="Married"/>
    <n v="4345"/>
    <n v="4381"/>
    <n v="0"/>
    <x v="1"/>
    <n v="12"/>
    <n v="3"/>
    <n v="4"/>
    <n v="1"/>
    <n v="6"/>
    <n v="2"/>
    <n v="3"/>
    <n v="5"/>
    <n v="4"/>
    <n v="1"/>
    <n v="4"/>
  </r>
  <r>
    <n v="59"/>
    <x v="1"/>
    <s v="Travel_Rarely"/>
    <n v="142"/>
    <x v="1"/>
    <n v="3"/>
    <n v="3"/>
    <s v="Life Sciences"/>
    <n v="309"/>
    <n v="3"/>
    <x v="1"/>
    <n v="70"/>
    <n v="2"/>
    <n v="1"/>
    <s v="Research Scientist"/>
    <n v="4"/>
    <s v="Married"/>
    <n v="2177"/>
    <n v="8456"/>
    <n v="3"/>
    <x v="1"/>
    <n v="17"/>
    <n v="3"/>
    <n v="1"/>
    <n v="1"/>
    <n v="7"/>
    <n v="6"/>
    <n v="3"/>
    <n v="1"/>
    <n v="0"/>
    <n v="0"/>
    <n v="0"/>
  </r>
  <r>
    <n v="37"/>
    <x v="1"/>
    <s v="Travel_Frequently"/>
    <n v="319"/>
    <x v="0"/>
    <n v="4"/>
    <n v="4"/>
    <s v="Marketing"/>
    <n v="311"/>
    <n v="1"/>
    <x v="1"/>
    <n v="41"/>
    <n v="3"/>
    <n v="1"/>
    <s v="Sales Representative"/>
    <n v="4"/>
    <s v="Divorced"/>
    <n v="2793"/>
    <n v="2539"/>
    <n v="4"/>
    <x v="1"/>
    <n v="17"/>
    <n v="3"/>
    <n v="3"/>
    <n v="1"/>
    <n v="13"/>
    <n v="2"/>
    <n v="3"/>
    <n v="9"/>
    <n v="8"/>
    <n v="5"/>
    <n v="8"/>
  </r>
  <r>
    <n v="29"/>
    <x v="1"/>
    <s v="Travel_Frequently"/>
    <n v="1413"/>
    <x v="0"/>
    <n v="1"/>
    <n v="1"/>
    <s v="Medical"/>
    <n v="312"/>
    <n v="2"/>
    <x v="0"/>
    <n v="42"/>
    <n v="3"/>
    <n v="3"/>
    <s v="Sales Executive"/>
    <n v="4"/>
    <s v="Married"/>
    <n v="7918"/>
    <n v="6599"/>
    <n v="1"/>
    <x v="1"/>
    <n v="14"/>
    <n v="3"/>
    <n v="4"/>
    <n v="1"/>
    <n v="11"/>
    <n v="5"/>
    <n v="3"/>
    <n v="11"/>
    <n v="10"/>
    <n v="4"/>
    <n v="1"/>
  </r>
  <r>
    <n v="35"/>
    <x v="1"/>
    <s v="Travel_Frequently"/>
    <n v="944"/>
    <x v="0"/>
    <n v="1"/>
    <n v="3"/>
    <s v="Marketing"/>
    <n v="314"/>
    <n v="3"/>
    <x v="0"/>
    <n v="92"/>
    <n v="3"/>
    <n v="3"/>
    <s v="Sales Executive"/>
    <n v="3"/>
    <s v="Single"/>
    <n v="8789"/>
    <n v="9096"/>
    <n v="1"/>
    <x v="1"/>
    <n v="14"/>
    <n v="3"/>
    <n v="1"/>
    <n v="0"/>
    <n v="10"/>
    <n v="3"/>
    <n v="4"/>
    <n v="10"/>
    <n v="7"/>
    <n v="0"/>
    <n v="8"/>
  </r>
  <r>
    <n v="29"/>
    <x v="0"/>
    <s v="Travel_Rarely"/>
    <n v="896"/>
    <x v="1"/>
    <n v="18"/>
    <n v="1"/>
    <s v="Medical"/>
    <n v="315"/>
    <n v="3"/>
    <x v="1"/>
    <n v="86"/>
    <n v="2"/>
    <n v="1"/>
    <s v="Research Scientist"/>
    <n v="4"/>
    <s v="Single"/>
    <n v="2389"/>
    <n v="14961"/>
    <n v="1"/>
    <x v="0"/>
    <n v="13"/>
    <n v="3"/>
    <n v="3"/>
    <n v="0"/>
    <n v="4"/>
    <n v="3"/>
    <n v="2"/>
    <n v="4"/>
    <n v="3"/>
    <n v="0"/>
    <n v="1"/>
  </r>
  <r>
    <n v="52"/>
    <x v="1"/>
    <s v="Travel_Rarely"/>
    <n v="1323"/>
    <x v="1"/>
    <n v="2"/>
    <n v="3"/>
    <s v="Life Sciences"/>
    <n v="316"/>
    <n v="3"/>
    <x v="0"/>
    <n v="89"/>
    <n v="2"/>
    <n v="1"/>
    <s v="Laboratory Technician"/>
    <n v="4"/>
    <s v="Single"/>
    <n v="3212"/>
    <n v="3300"/>
    <n v="7"/>
    <x v="1"/>
    <n v="15"/>
    <n v="3"/>
    <n v="2"/>
    <n v="0"/>
    <n v="6"/>
    <n v="3"/>
    <n v="2"/>
    <n v="2"/>
    <n v="2"/>
    <n v="2"/>
    <n v="2"/>
  </r>
  <r>
    <n v="42"/>
    <x v="1"/>
    <s v="Travel_Rarely"/>
    <n v="532"/>
    <x v="1"/>
    <n v="4"/>
    <n v="2"/>
    <s v="Technical Degree"/>
    <n v="319"/>
    <n v="3"/>
    <x v="1"/>
    <n v="58"/>
    <n v="3"/>
    <n v="5"/>
    <s v="Manager"/>
    <n v="4"/>
    <s v="Married"/>
    <n v="19232"/>
    <n v="4933"/>
    <n v="1"/>
    <x v="1"/>
    <n v="11"/>
    <n v="3"/>
    <n v="4"/>
    <n v="0"/>
    <n v="22"/>
    <n v="3"/>
    <n v="3"/>
    <n v="22"/>
    <n v="17"/>
    <n v="11"/>
    <n v="15"/>
  </r>
  <r>
    <n v="59"/>
    <x v="1"/>
    <s v="Travel_Rarely"/>
    <n v="818"/>
    <x v="2"/>
    <n v="6"/>
    <n v="2"/>
    <s v="Medical"/>
    <n v="321"/>
    <n v="2"/>
    <x v="1"/>
    <n v="52"/>
    <n v="3"/>
    <n v="1"/>
    <s v="Human Resources"/>
    <n v="3"/>
    <s v="Married"/>
    <n v="2267"/>
    <n v="25657"/>
    <n v="8"/>
    <x v="1"/>
    <n v="17"/>
    <n v="3"/>
    <n v="4"/>
    <n v="0"/>
    <n v="7"/>
    <n v="2"/>
    <n v="2"/>
    <n v="2"/>
    <n v="2"/>
    <n v="2"/>
    <n v="2"/>
  </r>
  <r>
    <n v="50"/>
    <x v="1"/>
    <s v="Travel_Rarely"/>
    <n v="854"/>
    <x v="0"/>
    <n v="1"/>
    <n v="4"/>
    <s v="Medical"/>
    <n v="323"/>
    <n v="4"/>
    <x v="0"/>
    <n v="68"/>
    <n v="3"/>
    <n v="5"/>
    <s v="Manager"/>
    <n v="4"/>
    <s v="Divorced"/>
    <n v="19517"/>
    <n v="24118"/>
    <n v="3"/>
    <x v="1"/>
    <n v="11"/>
    <n v="3"/>
    <n v="3"/>
    <n v="1"/>
    <n v="32"/>
    <n v="3"/>
    <n v="2"/>
    <n v="7"/>
    <n v="0"/>
    <n v="0"/>
    <n v="6"/>
  </r>
  <r>
    <n v="33"/>
    <x v="0"/>
    <s v="Travel_Rarely"/>
    <n v="813"/>
    <x v="1"/>
    <n v="14"/>
    <n v="3"/>
    <s v="Medical"/>
    <n v="325"/>
    <n v="3"/>
    <x v="1"/>
    <n v="58"/>
    <n v="3"/>
    <n v="1"/>
    <s v="Laboratory Technician"/>
    <n v="4"/>
    <s v="Married"/>
    <n v="2436"/>
    <n v="22149"/>
    <n v="5"/>
    <x v="0"/>
    <n v="13"/>
    <n v="3"/>
    <n v="3"/>
    <n v="1"/>
    <n v="8"/>
    <n v="2"/>
    <n v="1"/>
    <n v="5"/>
    <n v="4"/>
    <n v="0"/>
    <n v="4"/>
  </r>
  <r>
    <n v="43"/>
    <x v="1"/>
    <s v="Travel_Rarely"/>
    <n v="1034"/>
    <x v="0"/>
    <n v="16"/>
    <n v="3"/>
    <s v="Marketing"/>
    <n v="327"/>
    <n v="4"/>
    <x v="0"/>
    <n v="80"/>
    <n v="3"/>
    <n v="4"/>
    <s v="Manager"/>
    <n v="4"/>
    <s v="Married"/>
    <n v="16064"/>
    <n v="7744"/>
    <n v="5"/>
    <x v="0"/>
    <n v="22"/>
    <n v="4"/>
    <n v="3"/>
    <n v="1"/>
    <n v="22"/>
    <n v="3"/>
    <n v="3"/>
    <n v="17"/>
    <n v="13"/>
    <n v="1"/>
    <n v="9"/>
  </r>
  <r>
    <n v="33"/>
    <x v="0"/>
    <s v="Travel_Rarely"/>
    <n v="465"/>
    <x v="1"/>
    <n v="2"/>
    <n v="2"/>
    <s v="Life Sciences"/>
    <n v="328"/>
    <n v="1"/>
    <x v="0"/>
    <n v="39"/>
    <n v="3"/>
    <n v="1"/>
    <s v="Laboratory Technician"/>
    <n v="1"/>
    <s v="Married"/>
    <n v="2707"/>
    <n v="21509"/>
    <n v="7"/>
    <x v="1"/>
    <n v="20"/>
    <n v="4"/>
    <n v="1"/>
    <n v="0"/>
    <n v="13"/>
    <n v="3"/>
    <n v="4"/>
    <n v="9"/>
    <n v="7"/>
    <n v="1"/>
    <n v="7"/>
  </r>
  <r>
    <n v="52"/>
    <x v="1"/>
    <s v="Non-Travel"/>
    <n v="771"/>
    <x v="0"/>
    <n v="2"/>
    <n v="4"/>
    <s v="Life Sciences"/>
    <n v="329"/>
    <n v="1"/>
    <x v="1"/>
    <n v="79"/>
    <n v="2"/>
    <n v="5"/>
    <s v="Manager"/>
    <n v="3"/>
    <s v="Single"/>
    <n v="19068"/>
    <n v="21030"/>
    <n v="1"/>
    <x v="0"/>
    <n v="18"/>
    <n v="3"/>
    <n v="4"/>
    <n v="0"/>
    <n v="33"/>
    <n v="2"/>
    <n v="4"/>
    <n v="33"/>
    <n v="7"/>
    <n v="15"/>
    <n v="12"/>
  </r>
  <r>
    <n v="32"/>
    <x v="1"/>
    <s v="Travel_Rarely"/>
    <n v="1401"/>
    <x v="0"/>
    <n v="4"/>
    <n v="2"/>
    <s v="Life Sciences"/>
    <n v="330"/>
    <n v="3"/>
    <x v="0"/>
    <n v="56"/>
    <n v="3"/>
    <n v="1"/>
    <s v="Sales Representative"/>
    <n v="2"/>
    <s v="Married"/>
    <n v="3931"/>
    <n v="20990"/>
    <n v="2"/>
    <x v="1"/>
    <n v="11"/>
    <n v="3"/>
    <n v="1"/>
    <n v="1"/>
    <n v="6"/>
    <n v="5"/>
    <n v="3"/>
    <n v="4"/>
    <n v="3"/>
    <n v="1"/>
    <n v="2"/>
  </r>
  <r>
    <n v="32"/>
    <x v="0"/>
    <s v="Travel_Rarely"/>
    <n v="515"/>
    <x v="1"/>
    <n v="1"/>
    <n v="3"/>
    <s v="Life Sciences"/>
    <n v="331"/>
    <n v="4"/>
    <x v="1"/>
    <n v="62"/>
    <n v="2"/>
    <n v="1"/>
    <s v="Laboratory Technician"/>
    <n v="3"/>
    <s v="Single"/>
    <n v="3730"/>
    <n v="9571"/>
    <n v="0"/>
    <x v="0"/>
    <n v="14"/>
    <n v="3"/>
    <n v="4"/>
    <n v="0"/>
    <n v="4"/>
    <n v="2"/>
    <n v="1"/>
    <n v="3"/>
    <n v="2"/>
    <n v="1"/>
    <n v="2"/>
  </r>
  <r>
    <n v="39"/>
    <x v="1"/>
    <s v="Travel_Rarely"/>
    <n v="1431"/>
    <x v="1"/>
    <n v="1"/>
    <n v="4"/>
    <s v="Medical"/>
    <n v="332"/>
    <n v="3"/>
    <x v="0"/>
    <n v="96"/>
    <n v="3"/>
    <n v="1"/>
    <s v="Laboratory Technician"/>
    <n v="3"/>
    <s v="Divorced"/>
    <n v="2232"/>
    <n v="15417"/>
    <n v="7"/>
    <x v="1"/>
    <n v="14"/>
    <n v="3"/>
    <n v="3"/>
    <n v="3"/>
    <n v="7"/>
    <n v="1"/>
    <n v="3"/>
    <n v="3"/>
    <n v="2"/>
    <n v="1"/>
    <n v="2"/>
  </r>
  <r>
    <n v="32"/>
    <x v="1"/>
    <s v="Non-Travel"/>
    <n v="976"/>
    <x v="0"/>
    <n v="26"/>
    <n v="4"/>
    <s v="Marketing"/>
    <n v="333"/>
    <n v="3"/>
    <x v="1"/>
    <n v="100"/>
    <n v="3"/>
    <n v="2"/>
    <s v="Sales Executive"/>
    <n v="4"/>
    <s v="Married"/>
    <n v="4465"/>
    <n v="12069"/>
    <n v="0"/>
    <x v="1"/>
    <n v="18"/>
    <n v="3"/>
    <n v="1"/>
    <n v="0"/>
    <n v="4"/>
    <n v="2"/>
    <n v="3"/>
    <n v="3"/>
    <n v="2"/>
    <n v="2"/>
    <n v="2"/>
  </r>
  <r>
    <n v="41"/>
    <x v="1"/>
    <s v="Travel_Rarely"/>
    <n v="1411"/>
    <x v="1"/>
    <n v="19"/>
    <n v="2"/>
    <s v="Life Sciences"/>
    <n v="334"/>
    <n v="3"/>
    <x v="1"/>
    <n v="36"/>
    <n v="3"/>
    <n v="2"/>
    <s v="Research Scientist"/>
    <n v="1"/>
    <s v="Divorced"/>
    <n v="3072"/>
    <n v="19877"/>
    <n v="2"/>
    <x v="1"/>
    <n v="16"/>
    <n v="3"/>
    <n v="1"/>
    <n v="2"/>
    <n v="17"/>
    <n v="2"/>
    <n v="2"/>
    <n v="1"/>
    <n v="0"/>
    <n v="0"/>
    <n v="0"/>
  </r>
  <r>
    <n v="40"/>
    <x v="1"/>
    <s v="Travel_Rarely"/>
    <n v="1300"/>
    <x v="1"/>
    <n v="24"/>
    <n v="2"/>
    <s v="Technical Degree"/>
    <n v="335"/>
    <n v="1"/>
    <x v="1"/>
    <n v="62"/>
    <n v="3"/>
    <n v="2"/>
    <s v="Research Scientist"/>
    <n v="4"/>
    <s v="Divorced"/>
    <n v="3319"/>
    <n v="24447"/>
    <n v="1"/>
    <x v="1"/>
    <n v="17"/>
    <n v="3"/>
    <n v="1"/>
    <n v="2"/>
    <n v="9"/>
    <n v="3"/>
    <n v="3"/>
    <n v="9"/>
    <n v="8"/>
    <n v="4"/>
    <n v="7"/>
  </r>
  <r>
    <n v="45"/>
    <x v="1"/>
    <s v="Travel_Rarely"/>
    <n v="252"/>
    <x v="1"/>
    <n v="1"/>
    <n v="3"/>
    <s v="Other"/>
    <n v="336"/>
    <n v="3"/>
    <x v="1"/>
    <n v="70"/>
    <n v="4"/>
    <n v="5"/>
    <s v="Manager"/>
    <n v="4"/>
    <s v="Married"/>
    <n v="19202"/>
    <n v="15970"/>
    <n v="0"/>
    <x v="1"/>
    <n v="11"/>
    <n v="3"/>
    <n v="3"/>
    <n v="1"/>
    <n v="25"/>
    <n v="2"/>
    <n v="3"/>
    <n v="24"/>
    <n v="0"/>
    <n v="1"/>
    <n v="7"/>
  </r>
  <r>
    <n v="31"/>
    <x v="1"/>
    <s v="Travel_Frequently"/>
    <n v="1327"/>
    <x v="1"/>
    <n v="3"/>
    <n v="4"/>
    <s v="Medical"/>
    <n v="337"/>
    <n v="2"/>
    <x v="1"/>
    <n v="73"/>
    <n v="3"/>
    <n v="3"/>
    <s v="Research Director"/>
    <n v="3"/>
    <s v="Divorced"/>
    <n v="13675"/>
    <n v="13523"/>
    <n v="9"/>
    <x v="1"/>
    <n v="12"/>
    <n v="3"/>
    <n v="1"/>
    <n v="1"/>
    <n v="9"/>
    <n v="3"/>
    <n v="3"/>
    <n v="2"/>
    <n v="2"/>
    <n v="2"/>
    <n v="2"/>
  </r>
  <r>
    <n v="33"/>
    <x v="1"/>
    <s v="Travel_Rarely"/>
    <n v="832"/>
    <x v="1"/>
    <n v="5"/>
    <n v="4"/>
    <s v="Life Sciences"/>
    <n v="338"/>
    <n v="3"/>
    <x v="0"/>
    <n v="63"/>
    <n v="2"/>
    <n v="1"/>
    <s v="Research Scientist"/>
    <n v="4"/>
    <s v="Married"/>
    <n v="2911"/>
    <n v="14776"/>
    <n v="1"/>
    <x v="1"/>
    <n v="13"/>
    <n v="3"/>
    <n v="3"/>
    <n v="1"/>
    <n v="2"/>
    <n v="2"/>
    <n v="2"/>
    <n v="2"/>
    <n v="2"/>
    <n v="0"/>
    <n v="2"/>
  </r>
  <r>
    <n v="34"/>
    <x v="1"/>
    <s v="Travel_Rarely"/>
    <n v="470"/>
    <x v="1"/>
    <n v="2"/>
    <n v="4"/>
    <s v="Life Sciences"/>
    <n v="339"/>
    <n v="4"/>
    <x v="1"/>
    <n v="84"/>
    <n v="2"/>
    <n v="2"/>
    <s v="Manufacturing Director"/>
    <n v="1"/>
    <s v="Married"/>
    <n v="5957"/>
    <n v="23687"/>
    <n v="6"/>
    <x v="1"/>
    <n v="13"/>
    <n v="3"/>
    <n v="2"/>
    <n v="1"/>
    <n v="13"/>
    <n v="3"/>
    <n v="3"/>
    <n v="11"/>
    <n v="9"/>
    <n v="5"/>
    <n v="9"/>
  </r>
  <r>
    <n v="37"/>
    <x v="1"/>
    <s v="Travel_Rarely"/>
    <n v="1017"/>
    <x v="1"/>
    <n v="1"/>
    <n v="2"/>
    <s v="Medical"/>
    <n v="340"/>
    <n v="3"/>
    <x v="0"/>
    <n v="83"/>
    <n v="2"/>
    <n v="1"/>
    <s v="Research Scientist"/>
    <n v="1"/>
    <s v="Married"/>
    <n v="3920"/>
    <n v="18697"/>
    <n v="2"/>
    <x v="1"/>
    <n v="14"/>
    <n v="3"/>
    <n v="1"/>
    <n v="1"/>
    <n v="17"/>
    <n v="2"/>
    <n v="2"/>
    <n v="3"/>
    <n v="1"/>
    <n v="0"/>
    <n v="2"/>
  </r>
  <r>
    <n v="45"/>
    <x v="1"/>
    <s v="Travel_Frequently"/>
    <n v="1199"/>
    <x v="1"/>
    <n v="7"/>
    <n v="4"/>
    <s v="Life Sciences"/>
    <n v="341"/>
    <n v="1"/>
    <x v="1"/>
    <n v="77"/>
    <n v="4"/>
    <n v="2"/>
    <s v="Manufacturing Director"/>
    <n v="3"/>
    <s v="Married"/>
    <n v="6434"/>
    <n v="5118"/>
    <n v="4"/>
    <x v="1"/>
    <n v="17"/>
    <n v="3"/>
    <n v="4"/>
    <n v="1"/>
    <n v="9"/>
    <n v="1"/>
    <n v="3"/>
    <n v="3"/>
    <n v="2"/>
    <n v="0"/>
    <n v="2"/>
  </r>
  <r>
    <n v="37"/>
    <x v="0"/>
    <s v="Travel_Frequently"/>
    <n v="504"/>
    <x v="1"/>
    <n v="10"/>
    <n v="3"/>
    <s v="Medical"/>
    <n v="342"/>
    <n v="1"/>
    <x v="1"/>
    <n v="61"/>
    <n v="3"/>
    <n v="3"/>
    <s v="Manufacturing Director"/>
    <n v="3"/>
    <s v="Divorced"/>
    <n v="10048"/>
    <n v="22573"/>
    <n v="6"/>
    <x v="1"/>
    <n v="11"/>
    <n v="3"/>
    <n v="2"/>
    <n v="2"/>
    <n v="17"/>
    <n v="5"/>
    <n v="3"/>
    <n v="1"/>
    <n v="0"/>
    <n v="0"/>
    <n v="0"/>
  </r>
  <r>
    <n v="39"/>
    <x v="1"/>
    <s v="Travel_Frequently"/>
    <n v="505"/>
    <x v="1"/>
    <n v="2"/>
    <n v="4"/>
    <s v="Technical Degree"/>
    <n v="343"/>
    <n v="3"/>
    <x v="0"/>
    <n v="64"/>
    <n v="3"/>
    <n v="3"/>
    <s v="Healthcare Representative"/>
    <n v="3"/>
    <s v="Single"/>
    <n v="10938"/>
    <n v="6420"/>
    <n v="0"/>
    <x v="1"/>
    <n v="25"/>
    <n v="4"/>
    <n v="4"/>
    <n v="0"/>
    <n v="20"/>
    <n v="1"/>
    <n v="3"/>
    <n v="19"/>
    <n v="6"/>
    <n v="11"/>
    <n v="8"/>
  </r>
  <r>
    <n v="29"/>
    <x v="1"/>
    <s v="Travel_Rarely"/>
    <n v="665"/>
    <x v="1"/>
    <n v="15"/>
    <n v="3"/>
    <s v="Life Sciences"/>
    <n v="346"/>
    <n v="3"/>
    <x v="1"/>
    <n v="60"/>
    <n v="3"/>
    <n v="1"/>
    <s v="Research Scientist"/>
    <n v="4"/>
    <s v="Single"/>
    <n v="2340"/>
    <n v="22673"/>
    <n v="1"/>
    <x v="1"/>
    <n v="19"/>
    <n v="3"/>
    <n v="1"/>
    <n v="0"/>
    <n v="6"/>
    <n v="1"/>
    <n v="3"/>
    <n v="6"/>
    <n v="5"/>
    <n v="1"/>
    <n v="5"/>
  </r>
  <r>
    <n v="42"/>
    <x v="1"/>
    <s v="Travel_Rarely"/>
    <n v="916"/>
    <x v="1"/>
    <n v="17"/>
    <n v="2"/>
    <s v="Life Sciences"/>
    <n v="347"/>
    <n v="4"/>
    <x v="0"/>
    <n v="82"/>
    <n v="4"/>
    <n v="2"/>
    <s v="Research Scientist"/>
    <n v="1"/>
    <s v="Single"/>
    <n v="6545"/>
    <n v="23016"/>
    <n v="3"/>
    <x v="0"/>
    <n v="13"/>
    <n v="3"/>
    <n v="3"/>
    <n v="0"/>
    <n v="10"/>
    <n v="1"/>
    <n v="3"/>
    <n v="3"/>
    <n v="2"/>
    <n v="0"/>
    <n v="2"/>
  </r>
  <r>
    <n v="29"/>
    <x v="1"/>
    <s v="Travel_Rarely"/>
    <n v="1247"/>
    <x v="0"/>
    <n v="20"/>
    <n v="2"/>
    <s v="Marketing"/>
    <n v="349"/>
    <n v="4"/>
    <x v="1"/>
    <n v="45"/>
    <n v="3"/>
    <n v="2"/>
    <s v="Sales Executive"/>
    <n v="4"/>
    <s v="Divorced"/>
    <n v="6931"/>
    <n v="10732"/>
    <n v="2"/>
    <x v="1"/>
    <n v="14"/>
    <n v="3"/>
    <n v="4"/>
    <n v="1"/>
    <n v="10"/>
    <n v="2"/>
    <n v="3"/>
    <n v="3"/>
    <n v="2"/>
    <n v="0"/>
    <n v="2"/>
  </r>
  <r>
    <n v="25"/>
    <x v="1"/>
    <s v="Travel_Rarely"/>
    <n v="685"/>
    <x v="1"/>
    <n v="1"/>
    <n v="3"/>
    <s v="Life Sciences"/>
    <n v="350"/>
    <n v="1"/>
    <x v="0"/>
    <n v="62"/>
    <n v="3"/>
    <n v="2"/>
    <s v="Manufacturing Director"/>
    <n v="3"/>
    <s v="Married"/>
    <n v="4898"/>
    <n v="7505"/>
    <n v="0"/>
    <x v="1"/>
    <n v="12"/>
    <n v="3"/>
    <n v="4"/>
    <n v="2"/>
    <n v="5"/>
    <n v="3"/>
    <n v="3"/>
    <n v="4"/>
    <n v="2"/>
    <n v="1"/>
    <n v="2"/>
  </r>
  <r>
    <n v="42"/>
    <x v="1"/>
    <s v="Travel_Rarely"/>
    <n v="269"/>
    <x v="1"/>
    <n v="2"/>
    <n v="3"/>
    <s v="Medical"/>
    <n v="351"/>
    <n v="4"/>
    <x v="0"/>
    <n v="56"/>
    <n v="2"/>
    <n v="1"/>
    <s v="Laboratory Technician"/>
    <n v="1"/>
    <s v="Divorced"/>
    <n v="2593"/>
    <n v="8007"/>
    <n v="0"/>
    <x v="0"/>
    <n v="11"/>
    <n v="3"/>
    <n v="3"/>
    <n v="1"/>
    <n v="10"/>
    <n v="4"/>
    <n v="3"/>
    <n v="9"/>
    <n v="6"/>
    <n v="7"/>
    <n v="8"/>
  </r>
  <r>
    <n v="40"/>
    <x v="1"/>
    <s v="Travel_Rarely"/>
    <n v="1416"/>
    <x v="1"/>
    <n v="2"/>
    <n v="2"/>
    <s v="Medical"/>
    <n v="352"/>
    <n v="1"/>
    <x v="1"/>
    <n v="49"/>
    <n v="3"/>
    <n v="5"/>
    <s v="Research Director"/>
    <n v="3"/>
    <s v="Divorced"/>
    <n v="19436"/>
    <n v="5949"/>
    <n v="0"/>
    <x v="1"/>
    <n v="19"/>
    <n v="3"/>
    <n v="4"/>
    <n v="1"/>
    <n v="22"/>
    <n v="5"/>
    <n v="3"/>
    <n v="21"/>
    <n v="7"/>
    <n v="3"/>
    <n v="9"/>
  </r>
  <r>
    <n v="51"/>
    <x v="1"/>
    <s v="Travel_Rarely"/>
    <n v="833"/>
    <x v="1"/>
    <n v="1"/>
    <n v="3"/>
    <s v="Life Sciences"/>
    <n v="353"/>
    <n v="3"/>
    <x v="1"/>
    <n v="96"/>
    <n v="3"/>
    <n v="1"/>
    <s v="Research Scientist"/>
    <n v="4"/>
    <s v="Married"/>
    <n v="2723"/>
    <n v="23231"/>
    <n v="1"/>
    <x v="1"/>
    <n v="11"/>
    <n v="3"/>
    <n v="2"/>
    <n v="0"/>
    <n v="1"/>
    <n v="0"/>
    <n v="2"/>
    <n v="1"/>
    <n v="0"/>
    <n v="0"/>
    <n v="0"/>
  </r>
  <r>
    <n v="31"/>
    <x v="0"/>
    <s v="Travel_Frequently"/>
    <n v="307"/>
    <x v="1"/>
    <n v="29"/>
    <n v="2"/>
    <s v="Medical"/>
    <n v="355"/>
    <n v="3"/>
    <x v="1"/>
    <n v="71"/>
    <n v="2"/>
    <n v="1"/>
    <s v="Laboratory Technician"/>
    <n v="2"/>
    <s v="Single"/>
    <n v="3479"/>
    <n v="11652"/>
    <n v="0"/>
    <x v="1"/>
    <n v="11"/>
    <n v="3"/>
    <n v="2"/>
    <n v="0"/>
    <n v="6"/>
    <n v="2"/>
    <n v="4"/>
    <n v="5"/>
    <n v="4"/>
    <n v="1"/>
    <n v="4"/>
  </r>
  <r>
    <n v="32"/>
    <x v="1"/>
    <s v="Travel_Frequently"/>
    <n v="1311"/>
    <x v="1"/>
    <n v="7"/>
    <n v="3"/>
    <s v="Life Sciences"/>
    <n v="359"/>
    <n v="2"/>
    <x v="1"/>
    <n v="100"/>
    <n v="4"/>
    <n v="1"/>
    <s v="Laboratory Technician"/>
    <n v="2"/>
    <s v="Married"/>
    <n v="2794"/>
    <n v="26062"/>
    <n v="1"/>
    <x v="1"/>
    <n v="20"/>
    <n v="4"/>
    <n v="3"/>
    <n v="0"/>
    <n v="5"/>
    <n v="3"/>
    <n v="1"/>
    <n v="5"/>
    <n v="1"/>
    <n v="0"/>
    <n v="3"/>
  </r>
  <r>
    <n v="38"/>
    <x v="1"/>
    <s v="Non-Travel"/>
    <n v="1327"/>
    <x v="0"/>
    <n v="2"/>
    <n v="2"/>
    <s v="Life Sciences"/>
    <n v="361"/>
    <n v="4"/>
    <x v="1"/>
    <n v="39"/>
    <n v="2"/>
    <n v="2"/>
    <s v="Sales Executive"/>
    <n v="4"/>
    <s v="Married"/>
    <n v="5249"/>
    <n v="19682"/>
    <n v="3"/>
    <x v="1"/>
    <n v="18"/>
    <n v="3"/>
    <n v="4"/>
    <n v="1"/>
    <n v="13"/>
    <n v="0"/>
    <n v="3"/>
    <n v="8"/>
    <n v="7"/>
    <n v="7"/>
    <n v="5"/>
  </r>
  <r>
    <n v="32"/>
    <x v="1"/>
    <s v="Travel_Rarely"/>
    <n v="128"/>
    <x v="1"/>
    <n v="2"/>
    <n v="1"/>
    <s v="Technical Degree"/>
    <n v="362"/>
    <n v="4"/>
    <x v="1"/>
    <n v="84"/>
    <n v="2"/>
    <n v="2"/>
    <s v="Laboratory Technician"/>
    <n v="1"/>
    <s v="Single"/>
    <n v="2176"/>
    <n v="19737"/>
    <n v="4"/>
    <x v="1"/>
    <n v="13"/>
    <n v="3"/>
    <n v="4"/>
    <n v="0"/>
    <n v="9"/>
    <n v="5"/>
    <n v="3"/>
    <n v="6"/>
    <n v="2"/>
    <n v="0"/>
    <n v="4"/>
  </r>
  <r>
    <n v="46"/>
    <x v="1"/>
    <s v="Travel_Rarely"/>
    <n v="488"/>
    <x v="0"/>
    <n v="2"/>
    <n v="3"/>
    <s v="Technical Degree"/>
    <n v="363"/>
    <n v="3"/>
    <x v="0"/>
    <n v="75"/>
    <n v="1"/>
    <n v="4"/>
    <s v="Manager"/>
    <n v="2"/>
    <s v="Married"/>
    <n v="16872"/>
    <n v="14977"/>
    <n v="3"/>
    <x v="0"/>
    <n v="12"/>
    <n v="3"/>
    <n v="2"/>
    <n v="1"/>
    <n v="28"/>
    <n v="2"/>
    <n v="2"/>
    <n v="7"/>
    <n v="7"/>
    <n v="7"/>
    <n v="7"/>
  </r>
  <r>
    <n v="28"/>
    <x v="0"/>
    <s v="Travel_Rarely"/>
    <n v="529"/>
    <x v="1"/>
    <n v="2"/>
    <n v="4"/>
    <s v="Life Sciences"/>
    <n v="364"/>
    <n v="1"/>
    <x v="1"/>
    <n v="79"/>
    <n v="3"/>
    <n v="1"/>
    <s v="Laboratory Technician"/>
    <n v="3"/>
    <s v="Single"/>
    <n v="3485"/>
    <n v="14935"/>
    <n v="2"/>
    <x v="1"/>
    <n v="11"/>
    <n v="3"/>
    <n v="3"/>
    <n v="0"/>
    <n v="5"/>
    <n v="5"/>
    <n v="1"/>
    <n v="0"/>
    <n v="0"/>
    <n v="0"/>
    <n v="0"/>
  </r>
  <r>
    <n v="29"/>
    <x v="1"/>
    <s v="Travel_Rarely"/>
    <n v="1210"/>
    <x v="0"/>
    <n v="2"/>
    <n v="3"/>
    <s v="Medical"/>
    <n v="366"/>
    <n v="1"/>
    <x v="1"/>
    <n v="78"/>
    <n v="2"/>
    <n v="2"/>
    <s v="Sales Executive"/>
    <n v="2"/>
    <s v="Married"/>
    <n v="6644"/>
    <n v="3687"/>
    <n v="2"/>
    <x v="1"/>
    <n v="19"/>
    <n v="3"/>
    <n v="2"/>
    <n v="2"/>
    <n v="10"/>
    <n v="2"/>
    <n v="3"/>
    <n v="0"/>
    <n v="0"/>
    <n v="0"/>
    <n v="0"/>
  </r>
  <r>
    <n v="31"/>
    <x v="1"/>
    <s v="Travel_Rarely"/>
    <n v="1463"/>
    <x v="1"/>
    <n v="23"/>
    <n v="3"/>
    <s v="Medical"/>
    <n v="367"/>
    <n v="2"/>
    <x v="1"/>
    <n v="64"/>
    <n v="2"/>
    <n v="2"/>
    <s v="Healthcare Representative"/>
    <n v="4"/>
    <s v="Married"/>
    <n v="5582"/>
    <n v="14408"/>
    <n v="0"/>
    <x v="1"/>
    <n v="21"/>
    <n v="4"/>
    <n v="2"/>
    <n v="1"/>
    <n v="10"/>
    <n v="2"/>
    <n v="3"/>
    <n v="9"/>
    <n v="0"/>
    <n v="7"/>
    <n v="8"/>
  </r>
  <r>
    <n v="25"/>
    <x v="1"/>
    <s v="Non-Travel"/>
    <n v="675"/>
    <x v="1"/>
    <n v="5"/>
    <n v="2"/>
    <s v="Life Sciences"/>
    <n v="369"/>
    <n v="2"/>
    <x v="1"/>
    <n v="85"/>
    <n v="4"/>
    <n v="2"/>
    <s v="Healthcare Representative"/>
    <n v="1"/>
    <s v="Divorced"/>
    <n v="4000"/>
    <n v="18384"/>
    <n v="1"/>
    <x v="1"/>
    <n v="12"/>
    <n v="3"/>
    <n v="4"/>
    <n v="2"/>
    <n v="6"/>
    <n v="2"/>
    <n v="3"/>
    <n v="6"/>
    <n v="3"/>
    <n v="1"/>
    <n v="5"/>
  </r>
  <r>
    <n v="45"/>
    <x v="1"/>
    <s v="Travel_Rarely"/>
    <n v="1385"/>
    <x v="1"/>
    <n v="20"/>
    <n v="2"/>
    <s v="Medical"/>
    <n v="372"/>
    <n v="3"/>
    <x v="1"/>
    <n v="79"/>
    <n v="3"/>
    <n v="4"/>
    <s v="Healthcare Representative"/>
    <n v="4"/>
    <s v="Married"/>
    <n v="13496"/>
    <n v="7501"/>
    <n v="0"/>
    <x v="0"/>
    <n v="14"/>
    <n v="3"/>
    <n v="2"/>
    <n v="0"/>
    <n v="21"/>
    <n v="2"/>
    <n v="3"/>
    <n v="20"/>
    <n v="7"/>
    <n v="4"/>
    <n v="10"/>
  </r>
  <r>
    <n v="36"/>
    <x v="1"/>
    <s v="Travel_Rarely"/>
    <n v="1403"/>
    <x v="1"/>
    <n v="6"/>
    <n v="3"/>
    <s v="Life Sciences"/>
    <n v="373"/>
    <n v="4"/>
    <x v="1"/>
    <n v="47"/>
    <n v="3"/>
    <n v="1"/>
    <s v="Laboratory Technician"/>
    <n v="4"/>
    <s v="Married"/>
    <n v="3210"/>
    <n v="20251"/>
    <n v="0"/>
    <x v="1"/>
    <n v="11"/>
    <n v="3"/>
    <n v="3"/>
    <n v="1"/>
    <n v="16"/>
    <n v="4"/>
    <n v="3"/>
    <n v="15"/>
    <n v="13"/>
    <n v="10"/>
    <n v="11"/>
  </r>
  <r>
    <n v="55"/>
    <x v="1"/>
    <s v="Travel_Rarely"/>
    <n v="452"/>
    <x v="1"/>
    <n v="1"/>
    <n v="3"/>
    <s v="Medical"/>
    <n v="374"/>
    <n v="4"/>
    <x v="1"/>
    <n v="81"/>
    <n v="3"/>
    <n v="5"/>
    <s v="Manager"/>
    <n v="1"/>
    <s v="Single"/>
    <n v="19045"/>
    <n v="18938"/>
    <n v="0"/>
    <x v="0"/>
    <n v="14"/>
    <n v="3"/>
    <n v="3"/>
    <n v="0"/>
    <n v="37"/>
    <n v="2"/>
    <n v="3"/>
    <n v="36"/>
    <n v="10"/>
    <n v="4"/>
    <n v="13"/>
  </r>
  <r>
    <n v="47"/>
    <x v="0"/>
    <s v="Non-Travel"/>
    <n v="666"/>
    <x v="1"/>
    <n v="29"/>
    <n v="4"/>
    <s v="Life Sciences"/>
    <n v="376"/>
    <n v="1"/>
    <x v="1"/>
    <n v="88"/>
    <n v="3"/>
    <n v="3"/>
    <s v="Manager"/>
    <n v="2"/>
    <s v="Married"/>
    <n v="11849"/>
    <n v="10268"/>
    <n v="1"/>
    <x v="0"/>
    <n v="12"/>
    <n v="3"/>
    <n v="4"/>
    <n v="1"/>
    <n v="10"/>
    <n v="2"/>
    <n v="2"/>
    <n v="10"/>
    <n v="7"/>
    <n v="9"/>
    <n v="9"/>
  </r>
  <r>
    <n v="28"/>
    <x v="1"/>
    <s v="Travel_Rarely"/>
    <n v="1158"/>
    <x v="1"/>
    <n v="9"/>
    <n v="3"/>
    <s v="Medical"/>
    <n v="377"/>
    <n v="4"/>
    <x v="1"/>
    <n v="94"/>
    <n v="3"/>
    <n v="1"/>
    <s v="Research Scientist"/>
    <n v="4"/>
    <s v="Married"/>
    <n v="2070"/>
    <n v="2613"/>
    <n v="1"/>
    <x v="1"/>
    <n v="23"/>
    <n v="4"/>
    <n v="4"/>
    <n v="1"/>
    <n v="5"/>
    <n v="3"/>
    <n v="2"/>
    <n v="5"/>
    <n v="2"/>
    <n v="0"/>
    <n v="4"/>
  </r>
  <r>
    <n v="37"/>
    <x v="1"/>
    <s v="Travel_Rarely"/>
    <n v="228"/>
    <x v="0"/>
    <n v="6"/>
    <n v="4"/>
    <s v="Medical"/>
    <n v="378"/>
    <n v="3"/>
    <x v="1"/>
    <n v="98"/>
    <n v="3"/>
    <n v="2"/>
    <s v="Sales Executive"/>
    <n v="4"/>
    <s v="Married"/>
    <n v="6502"/>
    <n v="22825"/>
    <n v="4"/>
    <x v="1"/>
    <n v="14"/>
    <n v="3"/>
    <n v="2"/>
    <n v="1"/>
    <n v="7"/>
    <n v="5"/>
    <n v="4"/>
    <n v="5"/>
    <n v="4"/>
    <n v="0"/>
    <n v="1"/>
  </r>
  <r>
    <n v="21"/>
    <x v="1"/>
    <s v="Travel_Rarely"/>
    <n v="996"/>
    <x v="1"/>
    <n v="3"/>
    <n v="2"/>
    <s v="Medical"/>
    <n v="379"/>
    <n v="4"/>
    <x v="1"/>
    <n v="100"/>
    <n v="2"/>
    <n v="1"/>
    <s v="Research Scientist"/>
    <n v="3"/>
    <s v="Single"/>
    <n v="3230"/>
    <n v="10531"/>
    <n v="1"/>
    <x v="1"/>
    <n v="17"/>
    <n v="3"/>
    <n v="1"/>
    <n v="0"/>
    <n v="3"/>
    <n v="4"/>
    <n v="4"/>
    <n v="3"/>
    <n v="2"/>
    <n v="1"/>
    <n v="0"/>
  </r>
  <r>
    <n v="37"/>
    <x v="1"/>
    <s v="Non-Travel"/>
    <n v="728"/>
    <x v="1"/>
    <n v="1"/>
    <n v="4"/>
    <s v="Medical"/>
    <n v="380"/>
    <n v="1"/>
    <x v="0"/>
    <n v="80"/>
    <n v="3"/>
    <n v="3"/>
    <s v="Research Director"/>
    <n v="4"/>
    <s v="Divorced"/>
    <n v="13603"/>
    <n v="11677"/>
    <n v="2"/>
    <x v="0"/>
    <n v="18"/>
    <n v="3"/>
    <n v="1"/>
    <n v="2"/>
    <n v="15"/>
    <n v="2"/>
    <n v="3"/>
    <n v="5"/>
    <n v="2"/>
    <n v="0"/>
    <n v="2"/>
  </r>
  <r>
    <n v="35"/>
    <x v="1"/>
    <s v="Travel_Rarely"/>
    <n v="1315"/>
    <x v="1"/>
    <n v="22"/>
    <n v="3"/>
    <s v="Life Sciences"/>
    <n v="381"/>
    <n v="2"/>
    <x v="0"/>
    <n v="71"/>
    <n v="4"/>
    <n v="3"/>
    <s v="Manager"/>
    <n v="2"/>
    <s v="Divorced"/>
    <n v="11996"/>
    <n v="19100"/>
    <n v="7"/>
    <x v="1"/>
    <n v="18"/>
    <n v="3"/>
    <n v="2"/>
    <n v="1"/>
    <n v="10"/>
    <n v="6"/>
    <n v="2"/>
    <n v="7"/>
    <n v="7"/>
    <n v="6"/>
    <n v="2"/>
  </r>
  <r>
    <n v="38"/>
    <x v="1"/>
    <s v="Travel_Rarely"/>
    <n v="322"/>
    <x v="0"/>
    <n v="7"/>
    <n v="2"/>
    <s v="Medical"/>
    <n v="382"/>
    <n v="1"/>
    <x v="0"/>
    <n v="44"/>
    <n v="4"/>
    <n v="2"/>
    <s v="Sales Executive"/>
    <n v="1"/>
    <s v="Divorced"/>
    <n v="5605"/>
    <n v="19191"/>
    <n v="1"/>
    <x v="0"/>
    <n v="24"/>
    <n v="4"/>
    <n v="3"/>
    <n v="1"/>
    <n v="8"/>
    <n v="3"/>
    <n v="3"/>
    <n v="8"/>
    <n v="0"/>
    <n v="7"/>
    <n v="7"/>
  </r>
  <r>
    <n v="26"/>
    <x v="1"/>
    <s v="Travel_Frequently"/>
    <n v="1479"/>
    <x v="1"/>
    <n v="1"/>
    <n v="3"/>
    <s v="Life Sciences"/>
    <n v="384"/>
    <n v="3"/>
    <x v="0"/>
    <n v="84"/>
    <n v="3"/>
    <n v="2"/>
    <s v="Manufacturing Director"/>
    <n v="2"/>
    <s v="Divorced"/>
    <n v="6397"/>
    <n v="26767"/>
    <n v="1"/>
    <x v="1"/>
    <n v="20"/>
    <n v="4"/>
    <n v="1"/>
    <n v="1"/>
    <n v="6"/>
    <n v="6"/>
    <n v="1"/>
    <n v="6"/>
    <n v="5"/>
    <n v="1"/>
    <n v="4"/>
  </r>
  <r>
    <n v="50"/>
    <x v="1"/>
    <s v="Travel_Rarely"/>
    <n v="797"/>
    <x v="1"/>
    <n v="4"/>
    <n v="1"/>
    <s v="Life Sciences"/>
    <n v="385"/>
    <n v="1"/>
    <x v="1"/>
    <n v="96"/>
    <n v="3"/>
    <n v="5"/>
    <s v="Research Director"/>
    <n v="2"/>
    <s v="Divorced"/>
    <n v="19144"/>
    <n v="15815"/>
    <n v="3"/>
    <x v="1"/>
    <n v="14"/>
    <n v="3"/>
    <n v="1"/>
    <n v="2"/>
    <n v="28"/>
    <n v="4"/>
    <n v="2"/>
    <n v="10"/>
    <n v="4"/>
    <n v="1"/>
    <n v="6"/>
  </r>
  <r>
    <n v="53"/>
    <x v="1"/>
    <s v="Travel_Rarely"/>
    <n v="1070"/>
    <x v="1"/>
    <n v="3"/>
    <n v="4"/>
    <s v="Medical"/>
    <n v="386"/>
    <n v="3"/>
    <x v="1"/>
    <n v="45"/>
    <n v="3"/>
    <n v="4"/>
    <s v="Research Director"/>
    <n v="3"/>
    <s v="Married"/>
    <n v="17584"/>
    <n v="21016"/>
    <n v="3"/>
    <x v="0"/>
    <n v="16"/>
    <n v="3"/>
    <n v="4"/>
    <n v="3"/>
    <n v="21"/>
    <n v="5"/>
    <n v="2"/>
    <n v="5"/>
    <n v="3"/>
    <n v="1"/>
    <n v="3"/>
  </r>
  <r>
    <n v="42"/>
    <x v="1"/>
    <s v="Travel_Rarely"/>
    <n v="635"/>
    <x v="0"/>
    <n v="1"/>
    <n v="1"/>
    <s v="Life Sciences"/>
    <n v="387"/>
    <n v="2"/>
    <x v="1"/>
    <n v="99"/>
    <n v="3"/>
    <n v="2"/>
    <s v="Sales Executive"/>
    <n v="3"/>
    <s v="Married"/>
    <n v="4907"/>
    <n v="24532"/>
    <n v="1"/>
    <x v="1"/>
    <n v="25"/>
    <n v="4"/>
    <n v="3"/>
    <n v="0"/>
    <n v="20"/>
    <n v="3"/>
    <n v="3"/>
    <n v="20"/>
    <n v="16"/>
    <n v="11"/>
    <n v="6"/>
  </r>
  <r>
    <n v="29"/>
    <x v="1"/>
    <s v="Travel_Frequently"/>
    <n v="442"/>
    <x v="0"/>
    <n v="2"/>
    <n v="2"/>
    <s v="Life Sciences"/>
    <n v="388"/>
    <n v="2"/>
    <x v="1"/>
    <n v="44"/>
    <n v="3"/>
    <n v="2"/>
    <s v="Sales Executive"/>
    <n v="4"/>
    <s v="Single"/>
    <n v="4554"/>
    <n v="20260"/>
    <n v="1"/>
    <x v="1"/>
    <n v="18"/>
    <n v="3"/>
    <n v="1"/>
    <n v="0"/>
    <n v="10"/>
    <n v="3"/>
    <n v="2"/>
    <n v="10"/>
    <n v="7"/>
    <n v="0"/>
    <n v="9"/>
  </r>
  <r>
    <n v="55"/>
    <x v="1"/>
    <s v="Travel_Rarely"/>
    <n v="147"/>
    <x v="1"/>
    <n v="20"/>
    <n v="2"/>
    <s v="Technical Degree"/>
    <n v="389"/>
    <n v="2"/>
    <x v="1"/>
    <n v="37"/>
    <n v="3"/>
    <n v="2"/>
    <s v="Laboratory Technician"/>
    <n v="4"/>
    <s v="Married"/>
    <n v="5415"/>
    <n v="15972"/>
    <n v="3"/>
    <x v="0"/>
    <n v="19"/>
    <n v="3"/>
    <n v="4"/>
    <n v="1"/>
    <n v="12"/>
    <n v="4"/>
    <n v="3"/>
    <n v="10"/>
    <n v="7"/>
    <n v="0"/>
    <n v="8"/>
  </r>
  <r>
    <n v="26"/>
    <x v="1"/>
    <s v="Travel_Frequently"/>
    <n v="496"/>
    <x v="1"/>
    <n v="11"/>
    <n v="2"/>
    <s v="Medical"/>
    <n v="390"/>
    <n v="1"/>
    <x v="1"/>
    <n v="60"/>
    <n v="3"/>
    <n v="2"/>
    <s v="Healthcare Representative"/>
    <n v="1"/>
    <s v="Married"/>
    <n v="4741"/>
    <n v="22722"/>
    <n v="1"/>
    <x v="0"/>
    <n v="13"/>
    <n v="3"/>
    <n v="3"/>
    <n v="1"/>
    <n v="5"/>
    <n v="3"/>
    <n v="3"/>
    <n v="5"/>
    <n v="3"/>
    <n v="3"/>
    <n v="3"/>
  </r>
  <r>
    <n v="37"/>
    <x v="1"/>
    <s v="Travel_Rarely"/>
    <n v="1372"/>
    <x v="1"/>
    <n v="1"/>
    <n v="3"/>
    <s v="Life Sciences"/>
    <n v="391"/>
    <n v="4"/>
    <x v="0"/>
    <n v="42"/>
    <n v="3"/>
    <n v="1"/>
    <s v="Research Scientist"/>
    <n v="4"/>
    <s v="Single"/>
    <n v="2115"/>
    <n v="15881"/>
    <n v="1"/>
    <x v="1"/>
    <n v="12"/>
    <n v="3"/>
    <n v="2"/>
    <n v="0"/>
    <n v="17"/>
    <n v="3"/>
    <n v="3"/>
    <n v="17"/>
    <n v="12"/>
    <n v="5"/>
    <n v="7"/>
  </r>
  <r>
    <n v="44"/>
    <x v="0"/>
    <s v="Travel_Frequently"/>
    <n v="920"/>
    <x v="1"/>
    <n v="24"/>
    <n v="3"/>
    <s v="Life Sciences"/>
    <n v="392"/>
    <n v="4"/>
    <x v="1"/>
    <n v="43"/>
    <n v="3"/>
    <n v="1"/>
    <s v="Laboratory Technician"/>
    <n v="3"/>
    <s v="Divorced"/>
    <n v="3161"/>
    <n v="19920"/>
    <n v="3"/>
    <x v="0"/>
    <n v="22"/>
    <n v="4"/>
    <n v="4"/>
    <n v="1"/>
    <n v="19"/>
    <n v="0"/>
    <n v="1"/>
    <n v="1"/>
    <n v="0"/>
    <n v="0"/>
    <n v="0"/>
  </r>
  <r>
    <n v="38"/>
    <x v="1"/>
    <s v="Travel_Rarely"/>
    <n v="688"/>
    <x v="1"/>
    <n v="23"/>
    <n v="4"/>
    <s v="Life Sciences"/>
    <n v="393"/>
    <n v="4"/>
    <x v="1"/>
    <n v="82"/>
    <n v="3"/>
    <n v="2"/>
    <s v="Healthcare Representative"/>
    <n v="4"/>
    <s v="Divorced"/>
    <n v="5745"/>
    <n v="18899"/>
    <n v="9"/>
    <x v="1"/>
    <n v="14"/>
    <n v="3"/>
    <n v="2"/>
    <n v="1"/>
    <n v="10"/>
    <n v="2"/>
    <n v="3"/>
    <n v="2"/>
    <n v="2"/>
    <n v="1"/>
    <n v="2"/>
  </r>
  <r>
    <n v="26"/>
    <x v="0"/>
    <s v="Travel_Rarely"/>
    <n v="1449"/>
    <x v="1"/>
    <n v="16"/>
    <n v="4"/>
    <s v="Medical"/>
    <n v="394"/>
    <n v="1"/>
    <x v="1"/>
    <n v="45"/>
    <n v="3"/>
    <n v="1"/>
    <s v="Laboratory Technician"/>
    <n v="2"/>
    <s v="Divorced"/>
    <n v="2373"/>
    <n v="14180"/>
    <n v="2"/>
    <x v="0"/>
    <n v="13"/>
    <n v="3"/>
    <n v="4"/>
    <n v="1"/>
    <n v="5"/>
    <n v="2"/>
    <n v="3"/>
    <n v="3"/>
    <n v="2"/>
    <n v="0"/>
    <n v="2"/>
  </r>
  <r>
    <n v="28"/>
    <x v="1"/>
    <s v="Travel_Rarely"/>
    <n v="1117"/>
    <x v="1"/>
    <n v="8"/>
    <n v="2"/>
    <s v="Life Sciences"/>
    <n v="395"/>
    <n v="4"/>
    <x v="0"/>
    <n v="66"/>
    <n v="3"/>
    <n v="1"/>
    <s v="Research Scientist"/>
    <n v="4"/>
    <s v="Single"/>
    <n v="3310"/>
    <n v="4488"/>
    <n v="1"/>
    <x v="1"/>
    <n v="21"/>
    <n v="4"/>
    <n v="4"/>
    <n v="0"/>
    <n v="5"/>
    <n v="3"/>
    <n v="3"/>
    <n v="5"/>
    <n v="3"/>
    <n v="0"/>
    <n v="2"/>
  </r>
  <r>
    <n v="49"/>
    <x v="1"/>
    <s v="Travel_Frequently"/>
    <n v="636"/>
    <x v="1"/>
    <n v="10"/>
    <n v="4"/>
    <s v="Life Sciences"/>
    <n v="396"/>
    <n v="3"/>
    <x v="0"/>
    <n v="35"/>
    <n v="3"/>
    <n v="5"/>
    <s v="Research Director"/>
    <n v="1"/>
    <s v="Single"/>
    <n v="18665"/>
    <n v="25594"/>
    <n v="9"/>
    <x v="0"/>
    <n v="11"/>
    <n v="3"/>
    <n v="4"/>
    <n v="0"/>
    <n v="22"/>
    <n v="4"/>
    <n v="3"/>
    <n v="3"/>
    <n v="2"/>
    <n v="1"/>
    <n v="2"/>
  </r>
  <r>
    <n v="36"/>
    <x v="1"/>
    <s v="Travel_Rarely"/>
    <n v="506"/>
    <x v="1"/>
    <n v="3"/>
    <n v="3"/>
    <s v="Technical Degree"/>
    <n v="397"/>
    <n v="3"/>
    <x v="1"/>
    <n v="30"/>
    <n v="3"/>
    <n v="2"/>
    <s v="Research Scientist"/>
    <n v="2"/>
    <s v="Single"/>
    <n v="4485"/>
    <n v="26285"/>
    <n v="4"/>
    <x v="1"/>
    <n v="12"/>
    <n v="3"/>
    <n v="4"/>
    <n v="0"/>
    <n v="10"/>
    <n v="2"/>
    <n v="3"/>
    <n v="8"/>
    <n v="0"/>
    <n v="7"/>
    <n v="7"/>
  </r>
  <r>
    <n v="31"/>
    <x v="1"/>
    <s v="Travel_Frequently"/>
    <n v="444"/>
    <x v="0"/>
    <n v="5"/>
    <n v="3"/>
    <s v="Marketing"/>
    <n v="399"/>
    <n v="4"/>
    <x v="0"/>
    <n v="84"/>
    <n v="3"/>
    <n v="1"/>
    <s v="Sales Representative"/>
    <n v="2"/>
    <s v="Divorced"/>
    <n v="2789"/>
    <n v="3909"/>
    <n v="1"/>
    <x v="1"/>
    <n v="11"/>
    <n v="3"/>
    <n v="3"/>
    <n v="1"/>
    <n v="2"/>
    <n v="5"/>
    <n v="2"/>
    <n v="2"/>
    <n v="2"/>
    <n v="2"/>
    <n v="2"/>
  </r>
  <r>
    <n v="26"/>
    <x v="0"/>
    <s v="Travel_Rarely"/>
    <n v="950"/>
    <x v="0"/>
    <n v="4"/>
    <n v="4"/>
    <s v="Marketing"/>
    <n v="401"/>
    <n v="4"/>
    <x v="1"/>
    <n v="48"/>
    <n v="2"/>
    <n v="2"/>
    <s v="Sales Executive"/>
    <n v="4"/>
    <s v="Single"/>
    <n v="5828"/>
    <n v="8450"/>
    <n v="1"/>
    <x v="0"/>
    <n v="12"/>
    <n v="3"/>
    <n v="2"/>
    <n v="0"/>
    <n v="8"/>
    <n v="0"/>
    <n v="3"/>
    <n v="8"/>
    <n v="7"/>
    <n v="7"/>
    <n v="4"/>
  </r>
  <r>
    <n v="37"/>
    <x v="1"/>
    <s v="Travel_Frequently"/>
    <n v="889"/>
    <x v="1"/>
    <n v="9"/>
    <n v="3"/>
    <s v="Medical"/>
    <n v="403"/>
    <n v="2"/>
    <x v="1"/>
    <n v="53"/>
    <n v="3"/>
    <n v="1"/>
    <s v="Research Scientist"/>
    <n v="4"/>
    <s v="Married"/>
    <n v="2326"/>
    <n v="11411"/>
    <n v="1"/>
    <x v="0"/>
    <n v="12"/>
    <n v="3"/>
    <n v="3"/>
    <n v="3"/>
    <n v="4"/>
    <n v="3"/>
    <n v="2"/>
    <n v="4"/>
    <n v="2"/>
    <n v="1"/>
    <n v="2"/>
  </r>
  <r>
    <n v="42"/>
    <x v="1"/>
    <s v="Travel_Frequently"/>
    <n v="555"/>
    <x v="0"/>
    <n v="26"/>
    <n v="3"/>
    <s v="Marketing"/>
    <n v="404"/>
    <n v="3"/>
    <x v="0"/>
    <n v="77"/>
    <n v="3"/>
    <n v="4"/>
    <s v="Sales Executive"/>
    <n v="2"/>
    <s v="Married"/>
    <n v="13525"/>
    <n v="14864"/>
    <n v="5"/>
    <x v="1"/>
    <n v="14"/>
    <n v="3"/>
    <n v="4"/>
    <n v="1"/>
    <n v="23"/>
    <n v="2"/>
    <n v="4"/>
    <n v="20"/>
    <n v="4"/>
    <n v="4"/>
    <n v="8"/>
  </r>
  <r>
    <n v="18"/>
    <x v="0"/>
    <s v="Travel_Rarely"/>
    <n v="230"/>
    <x v="1"/>
    <n v="3"/>
    <n v="3"/>
    <s v="Life Sciences"/>
    <n v="405"/>
    <n v="3"/>
    <x v="1"/>
    <n v="54"/>
    <n v="3"/>
    <n v="1"/>
    <s v="Laboratory Technician"/>
    <n v="3"/>
    <s v="Single"/>
    <n v="1420"/>
    <n v="25233"/>
    <n v="1"/>
    <x v="1"/>
    <n v="13"/>
    <n v="3"/>
    <n v="3"/>
    <n v="0"/>
    <n v="0"/>
    <n v="2"/>
    <n v="3"/>
    <n v="0"/>
    <n v="0"/>
    <n v="0"/>
    <n v="0"/>
  </r>
  <r>
    <n v="35"/>
    <x v="1"/>
    <s v="Travel_Rarely"/>
    <n v="1232"/>
    <x v="0"/>
    <n v="16"/>
    <n v="3"/>
    <s v="Marketing"/>
    <n v="406"/>
    <n v="3"/>
    <x v="1"/>
    <n v="96"/>
    <n v="3"/>
    <n v="3"/>
    <s v="Sales Executive"/>
    <n v="2"/>
    <s v="Married"/>
    <n v="8020"/>
    <n v="5100"/>
    <n v="0"/>
    <x v="1"/>
    <n v="15"/>
    <n v="3"/>
    <n v="3"/>
    <n v="2"/>
    <n v="12"/>
    <n v="3"/>
    <n v="2"/>
    <n v="11"/>
    <n v="9"/>
    <n v="6"/>
    <n v="9"/>
  </r>
  <r>
    <n v="36"/>
    <x v="1"/>
    <s v="Travel_Frequently"/>
    <n v="566"/>
    <x v="1"/>
    <n v="18"/>
    <n v="4"/>
    <s v="Life Sciences"/>
    <n v="407"/>
    <n v="3"/>
    <x v="1"/>
    <n v="81"/>
    <n v="4"/>
    <n v="1"/>
    <s v="Laboratory Technician"/>
    <n v="4"/>
    <s v="Married"/>
    <n v="3688"/>
    <n v="7122"/>
    <n v="4"/>
    <x v="1"/>
    <n v="18"/>
    <n v="3"/>
    <n v="4"/>
    <n v="2"/>
    <n v="4"/>
    <n v="2"/>
    <n v="3"/>
    <n v="1"/>
    <n v="0"/>
    <n v="0"/>
    <n v="0"/>
  </r>
  <r>
    <n v="51"/>
    <x v="1"/>
    <s v="Travel_Rarely"/>
    <n v="1302"/>
    <x v="1"/>
    <n v="2"/>
    <n v="3"/>
    <s v="Medical"/>
    <n v="408"/>
    <n v="4"/>
    <x v="1"/>
    <n v="84"/>
    <n v="1"/>
    <n v="2"/>
    <s v="Manufacturing Director"/>
    <n v="2"/>
    <s v="Divorced"/>
    <n v="5482"/>
    <n v="16321"/>
    <n v="5"/>
    <x v="1"/>
    <n v="18"/>
    <n v="3"/>
    <n v="4"/>
    <n v="1"/>
    <n v="13"/>
    <n v="3"/>
    <n v="3"/>
    <n v="4"/>
    <n v="1"/>
    <n v="1"/>
    <n v="2"/>
  </r>
  <r>
    <n v="41"/>
    <x v="1"/>
    <s v="Travel_Rarely"/>
    <n v="334"/>
    <x v="0"/>
    <n v="2"/>
    <n v="4"/>
    <s v="Life Sciences"/>
    <n v="410"/>
    <n v="4"/>
    <x v="1"/>
    <n v="88"/>
    <n v="3"/>
    <n v="4"/>
    <s v="Manager"/>
    <n v="2"/>
    <s v="Single"/>
    <n v="16015"/>
    <n v="15896"/>
    <n v="1"/>
    <x v="1"/>
    <n v="19"/>
    <n v="3"/>
    <n v="2"/>
    <n v="0"/>
    <n v="22"/>
    <n v="2"/>
    <n v="3"/>
    <n v="22"/>
    <n v="10"/>
    <n v="0"/>
    <n v="4"/>
  </r>
  <r>
    <n v="18"/>
    <x v="1"/>
    <s v="Travel_Rarely"/>
    <n v="812"/>
    <x v="0"/>
    <n v="10"/>
    <n v="3"/>
    <s v="Medical"/>
    <n v="411"/>
    <n v="4"/>
    <x v="0"/>
    <n v="69"/>
    <n v="2"/>
    <n v="1"/>
    <s v="Sales Representative"/>
    <n v="3"/>
    <s v="Single"/>
    <n v="1200"/>
    <n v="9724"/>
    <n v="1"/>
    <x v="1"/>
    <n v="12"/>
    <n v="3"/>
    <n v="1"/>
    <n v="0"/>
    <n v="0"/>
    <n v="2"/>
    <n v="3"/>
    <n v="0"/>
    <n v="0"/>
    <n v="0"/>
    <n v="0"/>
  </r>
  <r>
    <n v="28"/>
    <x v="1"/>
    <s v="Travel_Rarely"/>
    <n v="1476"/>
    <x v="1"/>
    <n v="16"/>
    <n v="2"/>
    <s v="Medical"/>
    <n v="412"/>
    <n v="2"/>
    <x v="1"/>
    <n v="68"/>
    <n v="4"/>
    <n v="2"/>
    <s v="Healthcare Representative"/>
    <n v="1"/>
    <s v="Single"/>
    <n v="5661"/>
    <n v="4824"/>
    <n v="0"/>
    <x v="1"/>
    <n v="19"/>
    <n v="3"/>
    <n v="3"/>
    <n v="0"/>
    <n v="9"/>
    <n v="2"/>
    <n v="3"/>
    <n v="8"/>
    <n v="3"/>
    <n v="0"/>
    <n v="7"/>
  </r>
  <r>
    <n v="31"/>
    <x v="1"/>
    <s v="Travel_Rarely"/>
    <n v="218"/>
    <x v="0"/>
    <n v="7"/>
    <n v="3"/>
    <s v="Technical Degree"/>
    <n v="416"/>
    <n v="2"/>
    <x v="1"/>
    <n v="100"/>
    <n v="4"/>
    <n v="2"/>
    <s v="Sales Executive"/>
    <n v="4"/>
    <s v="Married"/>
    <n v="6929"/>
    <n v="12241"/>
    <n v="4"/>
    <x v="1"/>
    <n v="11"/>
    <n v="3"/>
    <n v="2"/>
    <n v="1"/>
    <n v="10"/>
    <n v="3"/>
    <n v="2"/>
    <n v="8"/>
    <n v="7"/>
    <n v="7"/>
    <n v="7"/>
  </r>
  <r>
    <n v="39"/>
    <x v="1"/>
    <s v="Travel_Rarely"/>
    <n v="1132"/>
    <x v="1"/>
    <n v="1"/>
    <n v="3"/>
    <s v="Medical"/>
    <n v="417"/>
    <n v="3"/>
    <x v="1"/>
    <n v="48"/>
    <n v="4"/>
    <n v="3"/>
    <s v="Healthcare Representative"/>
    <n v="4"/>
    <s v="Divorced"/>
    <n v="9613"/>
    <n v="10942"/>
    <n v="0"/>
    <x v="1"/>
    <n v="17"/>
    <n v="3"/>
    <n v="1"/>
    <n v="3"/>
    <n v="19"/>
    <n v="5"/>
    <n v="2"/>
    <n v="18"/>
    <n v="10"/>
    <n v="3"/>
    <n v="7"/>
  </r>
  <r>
    <n v="36"/>
    <x v="1"/>
    <s v="Non-Travel"/>
    <n v="1105"/>
    <x v="1"/>
    <n v="24"/>
    <n v="4"/>
    <s v="Life Sciences"/>
    <n v="419"/>
    <n v="2"/>
    <x v="0"/>
    <n v="47"/>
    <n v="3"/>
    <n v="2"/>
    <s v="Laboratory Technician"/>
    <n v="2"/>
    <s v="Married"/>
    <n v="5674"/>
    <n v="6927"/>
    <n v="7"/>
    <x v="1"/>
    <n v="15"/>
    <n v="3"/>
    <n v="3"/>
    <n v="1"/>
    <n v="11"/>
    <n v="3"/>
    <n v="3"/>
    <n v="9"/>
    <n v="8"/>
    <n v="0"/>
    <n v="8"/>
  </r>
  <r>
    <n v="32"/>
    <x v="1"/>
    <s v="Travel_Rarely"/>
    <n v="906"/>
    <x v="0"/>
    <n v="7"/>
    <n v="3"/>
    <s v="Life Sciences"/>
    <n v="420"/>
    <n v="4"/>
    <x v="1"/>
    <n v="91"/>
    <n v="2"/>
    <n v="2"/>
    <s v="Sales Executive"/>
    <n v="3"/>
    <s v="Married"/>
    <n v="5484"/>
    <n v="16985"/>
    <n v="1"/>
    <x v="1"/>
    <n v="14"/>
    <n v="3"/>
    <n v="3"/>
    <n v="1"/>
    <n v="13"/>
    <n v="3"/>
    <n v="2"/>
    <n v="13"/>
    <n v="8"/>
    <n v="4"/>
    <n v="8"/>
  </r>
  <r>
    <n v="38"/>
    <x v="1"/>
    <s v="Travel_Rarely"/>
    <n v="849"/>
    <x v="1"/>
    <n v="25"/>
    <n v="2"/>
    <s v="Life Sciences"/>
    <n v="421"/>
    <n v="1"/>
    <x v="0"/>
    <n v="81"/>
    <n v="2"/>
    <n v="3"/>
    <s v="Research Director"/>
    <n v="2"/>
    <s v="Married"/>
    <n v="12061"/>
    <n v="26707"/>
    <n v="3"/>
    <x v="1"/>
    <n v="17"/>
    <n v="3"/>
    <n v="3"/>
    <n v="1"/>
    <n v="19"/>
    <n v="2"/>
    <n v="3"/>
    <n v="10"/>
    <n v="8"/>
    <n v="0"/>
    <n v="1"/>
  </r>
  <r>
    <n v="58"/>
    <x v="1"/>
    <s v="Non-Travel"/>
    <n v="390"/>
    <x v="1"/>
    <n v="1"/>
    <n v="4"/>
    <s v="Life Sciences"/>
    <n v="422"/>
    <n v="4"/>
    <x v="1"/>
    <n v="32"/>
    <n v="1"/>
    <n v="2"/>
    <s v="Healthcare Representative"/>
    <n v="3"/>
    <s v="Divorced"/>
    <n v="5660"/>
    <n v="17056"/>
    <n v="2"/>
    <x v="0"/>
    <n v="13"/>
    <n v="3"/>
    <n v="4"/>
    <n v="1"/>
    <n v="12"/>
    <n v="2"/>
    <n v="3"/>
    <n v="5"/>
    <n v="3"/>
    <n v="1"/>
    <n v="2"/>
  </r>
  <r>
    <n v="31"/>
    <x v="1"/>
    <s v="Travel_Rarely"/>
    <n v="691"/>
    <x v="1"/>
    <n v="5"/>
    <n v="4"/>
    <s v="Technical Degree"/>
    <n v="423"/>
    <n v="3"/>
    <x v="1"/>
    <n v="86"/>
    <n v="3"/>
    <n v="1"/>
    <s v="Research Scientist"/>
    <n v="4"/>
    <s v="Married"/>
    <n v="4821"/>
    <n v="10077"/>
    <n v="0"/>
    <x v="0"/>
    <n v="12"/>
    <n v="3"/>
    <n v="3"/>
    <n v="1"/>
    <n v="6"/>
    <n v="4"/>
    <n v="3"/>
    <n v="5"/>
    <n v="2"/>
    <n v="0"/>
    <n v="3"/>
  </r>
  <r>
    <n v="31"/>
    <x v="1"/>
    <s v="Travel_Rarely"/>
    <n v="106"/>
    <x v="2"/>
    <n v="2"/>
    <n v="3"/>
    <s v="Human Resources"/>
    <n v="424"/>
    <n v="1"/>
    <x v="1"/>
    <n v="62"/>
    <n v="2"/>
    <n v="2"/>
    <s v="Human Resources"/>
    <n v="1"/>
    <s v="Married"/>
    <n v="6410"/>
    <n v="17822"/>
    <n v="3"/>
    <x v="1"/>
    <n v="12"/>
    <n v="3"/>
    <n v="4"/>
    <n v="0"/>
    <n v="9"/>
    <n v="1"/>
    <n v="3"/>
    <n v="2"/>
    <n v="2"/>
    <n v="1"/>
    <n v="0"/>
  </r>
  <r>
    <n v="45"/>
    <x v="1"/>
    <s v="Travel_Frequently"/>
    <n v="1249"/>
    <x v="1"/>
    <n v="7"/>
    <n v="3"/>
    <s v="Life Sciences"/>
    <n v="425"/>
    <n v="1"/>
    <x v="1"/>
    <n v="97"/>
    <n v="3"/>
    <n v="3"/>
    <s v="Laboratory Technician"/>
    <n v="1"/>
    <s v="Divorced"/>
    <n v="5210"/>
    <n v="20308"/>
    <n v="1"/>
    <x v="1"/>
    <n v="18"/>
    <n v="3"/>
    <n v="1"/>
    <n v="1"/>
    <n v="24"/>
    <n v="2"/>
    <n v="3"/>
    <n v="24"/>
    <n v="9"/>
    <n v="9"/>
    <n v="11"/>
  </r>
  <r>
    <n v="31"/>
    <x v="1"/>
    <s v="Travel_Rarely"/>
    <n v="192"/>
    <x v="1"/>
    <n v="2"/>
    <n v="4"/>
    <s v="Life Sciences"/>
    <n v="426"/>
    <n v="3"/>
    <x v="1"/>
    <n v="32"/>
    <n v="3"/>
    <n v="1"/>
    <s v="Research Scientist"/>
    <n v="4"/>
    <s v="Divorced"/>
    <n v="2695"/>
    <n v="7747"/>
    <n v="0"/>
    <x v="0"/>
    <n v="18"/>
    <n v="3"/>
    <n v="2"/>
    <n v="1"/>
    <n v="3"/>
    <n v="2"/>
    <n v="1"/>
    <n v="2"/>
    <n v="2"/>
    <n v="2"/>
    <n v="2"/>
  </r>
  <r>
    <n v="33"/>
    <x v="1"/>
    <s v="Travel_Frequently"/>
    <n v="553"/>
    <x v="1"/>
    <n v="5"/>
    <n v="4"/>
    <s v="Life Sciences"/>
    <n v="428"/>
    <n v="4"/>
    <x v="0"/>
    <n v="74"/>
    <n v="3"/>
    <n v="3"/>
    <s v="Manager"/>
    <n v="2"/>
    <s v="Married"/>
    <n v="11878"/>
    <n v="23364"/>
    <n v="6"/>
    <x v="1"/>
    <n v="11"/>
    <n v="3"/>
    <n v="2"/>
    <n v="2"/>
    <n v="12"/>
    <n v="2"/>
    <n v="3"/>
    <n v="10"/>
    <n v="6"/>
    <n v="8"/>
    <n v="8"/>
  </r>
  <r>
    <n v="39"/>
    <x v="1"/>
    <s v="Travel_Rarely"/>
    <n v="117"/>
    <x v="1"/>
    <n v="10"/>
    <n v="1"/>
    <s v="Medical"/>
    <n v="429"/>
    <n v="3"/>
    <x v="1"/>
    <n v="99"/>
    <n v="3"/>
    <n v="4"/>
    <s v="Manager"/>
    <n v="1"/>
    <s v="Married"/>
    <n v="17068"/>
    <n v="5355"/>
    <n v="1"/>
    <x v="0"/>
    <n v="14"/>
    <n v="3"/>
    <n v="4"/>
    <n v="0"/>
    <n v="21"/>
    <n v="3"/>
    <n v="3"/>
    <n v="21"/>
    <n v="9"/>
    <n v="11"/>
    <n v="10"/>
  </r>
  <r>
    <n v="43"/>
    <x v="1"/>
    <s v="Travel_Frequently"/>
    <n v="185"/>
    <x v="1"/>
    <n v="10"/>
    <n v="4"/>
    <s v="Life Sciences"/>
    <n v="430"/>
    <n v="3"/>
    <x v="0"/>
    <n v="33"/>
    <n v="3"/>
    <n v="1"/>
    <s v="Laboratory Technician"/>
    <n v="4"/>
    <s v="Single"/>
    <n v="2455"/>
    <n v="10675"/>
    <n v="0"/>
    <x v="1"/>
    <n v="19"/>
    <n v="3"/>
    <n v="1"/>
    <n v="0"/>
    <n v="9"/>
    <n v="5"/>
    <n v="3"/>
    <n v="8"/>
    <n v="7"/>
    <n v="1"/>
    <n v="7"/>
  </r>
  <r>
    <n v="49"/>
    <x v="1"/>
    <s v="Travel_Rarely"/>
    <n v="1091"/>
    <x v="1"/>
    <n v="1"/>
    <n v="2"/>
    <s v="Technical Degree"/>
    <n v="431"/>
    <n v="3"/>
    <x v="0"/>
    <n v="90"/>
    <n v="2"/>
    <n v="4"/>
    <s v="Healthcare Representative"/>
    <n v="3"/>
    <s v="Single"/>
    <n v="13964"/>
    <n v="17810"/>
    <n v="7"/>
    <x v="0"/>
    <n v="12"/>
    <n v="3"/>
    <n v="4"/>
    <n v="0"/>
    <n v="25"/>
    <n v="2"/>
    <n v="3"/>
    <n v="7"/>
    <n v="1"/>
    <n v="0"/>
    <n v="7"/>
  </r>
  <r>
    <n v="52"/>
    <x v="0"/>
    <s v="Travel_Rarely"/>
    <n v="723"/>
    <x v="1"/>
    <n v="8"/>
    <n v="4"/>
    <s v="Medical"/>
    <n v="433"/>
    <n v="3"/>
    <x v="1"/>
    <n v="85"/>
    <n v="2"/>
    <n v="2"/>
    <s v="Research Scientist"/>
    <n v="2"/>
    <s v="Married"/>
    <n v="4941"/>
    <n v="17747"/>
    <n v="2"/>
    <x v="1"/>
    <n v="15"/>
    <n v="3"/>
    <n v="1"/>
    <n v="0"/>
    <n v="11"/>
    <n v="3"/>
    <n v="2"/>
    <n v="8"/>
    <n v="2"/>
    <n v="7"/>
    <n v="7"/>
  </r>
  <r>
    <n v="27"/>
    <x v="1"/>
    <s v="Travel_Rarely"/>
    <n v="1220"/>
    <x v="1"/>
    <n v="5"/>
    <n v="3"/>
    <s v="Life Sciences"/>
    <n v="434"/>
    <n v="3"/>
    <x v="0"/>
    <n v="85"/>
    <n v="3"/>
    <n v="1"/>
    <s v="Research Scientist"/>
    <n v="2"/>
    <s v="Single"/>
    <n v="2478"/>
    <n v="20938"/>
    <n v="1"/>
    <x v="0"/>
    <n v="12"/>
    <n v="3"/>
    <n v="2"/>
    <n v="0"/>
    <n v="4"/>
    <n v="2"/>
    <n v="2"/>
    <n v="4"/>
    <n v="3"/>
    <n v="1"/>
    <n v="2"/>
  </r>
  <r>
    <n v="32"/>
    <x v="1"/>
    <s v="Travel_Rarely"/>
    <n v="588"/>
    <x v="0"/>
    <n v="8"/>
    <n v="2"/>
    <s v="Technical Degree"/>
    <n v="436"/>
    <n v="3"/>
    <x v="0"/>
    <n v="65"/>
    <n v="2"/>
    <n v="2"/>
    <s v="Sales Executive"/>
    <n v="2"/>
    <s v="Married"/>
    <n v="5228"/>
    <n v="24624"/>
    <n v="1"/>
    <x v="0"/>
    <n v="11"/>
    <n v="3"/>
    <n v="4"/>
    <n v="0"/>
    <n v="13"/>
    <n v="2"/>
    <n v="3"/>
    <n v="13"/>
    <n v="12"/>
    <n v="11"/>
    <n v="9"/>
  </r>
  <r>
    <n v="27"/>
    <x v="1"/>
    <s v="Travel_Rarely"/>
    <n v="1377"/>
    <x v="0"/>
    <n v="2"/>
    <n v="3"/>
    <s v="Life Sciences"/>
    <n v="437"/>
    <n v="4"/>
    <x v="1"/>
    <n v="74"/>
    <n v="3"/>
    <n v="2"/>
    <s v="Sales Executive"/>
    <n v="3"/>
    <s v="Single"/>
    <n v="4478"/>
    <n v="5242"/>
    <n v="1"/>
    <x v="0"/>
    <n v="11"/>
    <n v="3"/>
    <n v="1"/>
    <n v="0"/>
    <n v="5"/>
    <n v="3"/>
    <n v="3"/>
    <n v="5"/>
    <n v="4"/>
    <n v="0"/>
    <n v="4"/>
  </r>
  <r>
    <n v="31"/>
    <x v="1"/>
    <s v="Travel_Rarely"/>
    <n v="691"/>
    <x v="0"/>
    <n v="7"/>
    <n v="3"/>
    <s v="Marketing"/>
    <n v="438"/>
    <n v="4"/>
    <x v="1"/>
    <n v="73"/>
    <n v="3"/>
    <n v="2"/>
    <s v="Sales Executive"/>
    <n v="4"/>
    <s v="Divorced"/>
    <n v="7547"/>
    <n v="7143"/>
    <n v="4"/>
    <x v="1"/>
    <n v="12"/>
    <n v="3"/>
    <n v="4"/>
    <n v="3"/>
    <n v="13"/>
    <n v="3"/>
    <n v="3"/>
    <n v="7"/>
    <n v="7"/>
    <n v="1"/>
    <n v="7"/>
  </r>
  <r>
    <n v="32"/>
    <x v="1"/>
    <s v="Travel_Rarely"/>
    <n v="1018"/>
    <x v="1"/>
    <n v="2"/>
    <n v="4"/>
    <s v="Medical"/>
    <n v="439"/>
    <n v="1"/>
    <x v="0"/>
    <n v="74"/>
    <n v="4"/>
    <n v="2"/>
    <s v="Research Scientist"/>
    <n v="4"/>
    <s v="Single"/>
    <n v="5055"/>
    <n v="10557"/>
    <n v="7"/>
    <x v="1"/>
    <n v="16"/>
    <n v="3"/>
    <n v="3"/>
    <n v="0"/>
    <n v="10"/>
    <n v="0"/>
    <n v="2"/>
    <n v="7"/>
    <n v="7"/>
    <n v="0"/>
    <n v="7"/>
  </r>
  <r>
    <n v="28"/>
    <x v="0"/>
    <s v="Travel_Rarely"/>
    <n v="1157"/>
    <x v="1"/>
    <n v="2"/>
    <n v="4"/>
    <s v="Medical"/>
    <n v="440"/>
    <n v="1"/>
    <x v="1"/>
    <n v="84"/>
    <n v="1"/>
    <n v="1"/>
    <s v="Research Scientist"/>
    <n v="4"/>
    <s v="Married"/>
    <n v="3464"/>
    <n v="24737"/>
    <n v="5"/>
    <x v="0"/>
    <n v="13"/>
    <n v="3"/>
    <n v="4"/>
    <n v="0"/>
    <n v="5"/>
    <n v="4"/>
    <n v="2"/>
    <n v="3"/>
    <n v="2"/>
    <n v="2"/>
    <n v="2"/>
  </r>
  <r>
    <n v="30"/>
    <x v="1"/>
    <s v="Travel_Rarely"/>
    <n v="1275"/>
    <x v="1"/>
    <n v="28"/>
    <n v="2"/>
    <s v="Medical"/>
    <n v="441"/>
    <n v="4"/>
    <x v="0"/>
    <n v="64"/>
    <n v="3"/>
    <n v="2"/>
    <s v="Research Scientist"/>
    <n v="4"/>
    <s v="Married"/>
    <n v="5775"/>
    <n v="11934"/>
    <n v="1"/>
    <x v="1"/>
    <n v="13"/>
    <n v="3"/>
    <n v="4"/>
    <n v="2"/>
    <n v="11"/>
    <n v="2"/>
    <n v="3"/>
    <n v="10"/>
    <n v="8"/>
    <n v="1"/>
    <n v="9"/>
  </r>
  <r>
    <n v="31"/>
    <x v="1"/>
    <s v="Travel_Frequently"/>
    <n v="798"/>
    <x v="1"/>
    <n v="7"/>
    <n v="2"/>
    <s v="Life Sciences"/>
    <n v="442"/>
    <n v="3"/>
    <x v="0"/>
    <n v="48"/>
    <n v="2"/>
    <n v="3"/>
    <s v="Manufacturing Director"/>
    <n v="3"/>
    <s v="Married"/>
    <n v="8943"/>
    <n v="14034"/>
    <n v="1"/>
    <x v="1"/>
    <n v="24"/>
    <n v="4"/>
    <n v="1"/>
    <n v="1"/>
    <n v="10"/>
    <n v="2"/>
    <n v="3"/>
    <n v="10"/>
    <n v="9"/>
    <n v="8"/>
    <n v="9"/>
  </r>
  <r>
    <n v="39"/>
    <x v="1"/>
    <s v="Travel_Frequently"/>
    <n v="672"/>
    <x v="1"/>
    <n v="7"/>
    <n v="2"/>
    <s v="Medical"/>
    <n v="444"/>
    <n v="3"/>
    <x v="1"/>
    <n v="54"/>
    <n v="2"/>
    <n v="5"/>
    <s v="Manager"/>
    <n v="4"/>
    <s v="Married"/>
    <n v="19272"/>
    <n v="21141"/>
    <n v="1"/>
    <x v="1"/>
    <n v="15"/>
    <n v="3"/>
    <n v="1"/>
    <n v="1"/>
    <n v="21"/>
    <n v="2"/>
    <n v="3"/>
    <n v="21"/>
    <n v="9"/>
    <n v="13"/>
    <n v="3"/>
  </r>
  <r>
    <n v="39"/>
    <x v="0"/>
    <s v="Travel_Rarely"/>
    <n v="1162"/>
    <x v="0"/>
    <n v="3"/>
    <n v="2"/>
    <s v="Medical"/>
    <n v="445"/>
    <n v="4"/>
    <x v="0"/>
    <n v="41"/>
    <n v="3"/>
    <n v="2"/>
    <s v="Sales Executive"/>
    <n v="3"/>
    <s v="Married"/>
    <n v="5238"/>
    <n v="17778"/>
    <n v="4"/>
    <x v="0"/>
    <n v="18"/>
    <n v="3"/>
    <n v="1"/>
    <n v="0"/>
    <n v="12"/>
    <n v="3"/>
    <n v="2"/>
    <n v="1"/>
    <n v="0"/>
    <n v="0"/>
    <n v="0"/>
  </r>
  <r>
    <n v="33"/>
    <x v="1"/>
    <s v="Travel_Frequently"/>
    <n v="508"/>
    <x v="0"/>
    <n v="10"/>
    <n v="3"/>
    <s v="Marketing"/>
    <n v="446"/>
    <n v="2"/>
    <x v="1"/>
    <n v="46"/>
    <n v="2"/>
    <n v="2"/>
    <s v="Sales Executive"/>
    <n v="4"/>
    <s v="Single"/>
    <n v="4682"/>
    <n v="4317"/>
    <n v="3"/>
    <x v="1"/>
    <n v="14"/>
    <n v="3"/>
    <n v="3"/>
    <n v="0"/>
    <n v="9"/>
    <n v="6"/>
    <n v="2"/>
    <n v="7"/>
    <n v="7"/>
    <n v="0"/>
    <n v="1"/>
  </r>
  <r>
    <n v="47"/>
    <x v="1"/>
    <s v="Travel_Rarely"/>
    <n v="1482"/>
    <x v="1"/>
    <n v="5"/>
    <n v="5"/>
    <s v="Life Sciences"/>
    <n v="447"/>
    <n v="4"/>
    <x v="1"/>
    <n v="42"/>
    <n v="3"/>
    <n v="5"/>
    <s v="Research Director"/>
    <n v="3"/>
    <s v="Married"/>
    <n v="18300"/>
    <n v="16375"/>
    <n v="4"/>
    <x v="1"/>
    <n v="11"/>
    <n v="3"/>
    <n v="2"/>
    <n v="1"/>
    <n v="21"/>
    <n v="2"/>
    <n v="3"/>
    <n v="3"/>
    <n v="2"/>
    <n v="1"/>
    <n v="1"/>
  </r>
  <r>
    <n v="43"/>
    <x v="1"/>
    <s v="Travel_Frequently"/>
    <n v="559"/>
    <x v="1"/>
    <n v="10"/>
    <n v="4"/>
    <s v="Life Sciences"/>
    <n v="448"/>
    <n v="3"/>
    <x v="0"/>
    <n v="82"/>
    <n v="2"/>
    <n v="2"/>
    <s v="Laboratory Technician"/>
    <n v="3"/>
    <s v="Divorced"/>
    <n v="5257"/>
    <n v="6227"/>
    <n v="1"/>
    <x v="1"/>
    <n v="11"/>
    <n v="3"/>
    <n v="2"/>
    <n v="1"/>
    <n v="9"/>
    <n v="3"/>
    <n v="4"/>
    <n v="9"/>
    <n v="7"/>
    <n v="0"/>
    <n v="0"/>
  </r>
  <r>
    <n v="27"/>
    <x v="1"/>
    <s v="Non-Travel"/>
    <n v="210"/>
    <x v="0"/>
    <n v="1"/>
    <n v="1"/>
    <s v="Marketing"/>
    <n v="449"/>
    <n v="3"/>
    <x v="1"/>
    <n v="73"/>
    <n v="3"/>
    <n v="2"/>
    <s v="Sales Executive"/>
    <n v="2"/>
    <s v="Married"/>
    <n v="6349"/>
    <n v="22107"/>
    <n v="0"/>
    <x v="0"/>
    <n v="13"/>
    <n v="3"/>
    <n v="4"/>
    <n v="1"/>
    <n v="6"/>
    <n v="0"/>
    <n v="3"/>
    <n v="5"/>
    <n v="4"/>
    <n v="1"/>
    <n v="4"/>
  </r>
  <r>
    <n v="54"/>
    <x v="1"/>
    <s v="Travel_Frequently"/>
    <n v="928"/>
    <x v="1"/>
    <n v="20"/>
    <n v="4"/>
    <s v="Life Sciences"/>
    <n v="450"/>
    <n v="4"/>
    <x v="0"/>
    <n v="31"/>
    <n v="3"/>
    <n v="2"/>
    <s v="Research Scientist"/>
    <n v="3"/>
    <s v="Single"/>
    <n v="4869"/>
    <n v="16885"/>
    <n v="3"/>
    <x v="1"/>
    <n v="12"/>
    <n v="3"/>
    <n v="4"/>
    <n v="0"/>
    <n v="20"/>
    <n v="4"/>
    <n v="2"/>
    <n v="4"/>
    <n v="3"/>
    <n v="0"/>
    <n v="3"/>
  </r>
  <r>
    <n v="43"/>
    <x v="1"/>
    <s v="Travel_Rarely"/>
    <n v="1001"/>
    <x v="1"/>
    <n v="7"/>
    <n v="3"/>
    <s v="Life Sciences"/>
    <n v="451"/>
    <n v="3"/>
    <x v="0"/>
    <n v="43"/>
    <n v="3"/>
    <n v="3"/>
    <s v="Healthcare Representative"/>
    <n v="1"/>
    <s v="Married"/>
    <n v="9985"/>
    <n v="9262"/>
    <n v="8"/>
    <x v="1"/>
    <n v="16"/>
    <n v="3"/>
    <n v="1"/>
    <n v="1"/>
    <n v="10"/>
    <n v="1"/>
    <n v="2"/>
    <n v="1"/>
    <n v="0"/>
    <n v="0"/>
    <n v="0"/>
  </r>
  <r>
    <n v="45"/>
    <x v="1"/>
    <s v="Travel_Rarely"/>
    <n v="549"/>
    <x v="1"/>
    <n v="8"/>
    <n v="4"/>
    <s v="Other"/>
    <n v="452"/>
    <n v="4"/>
    <x v="1"/>
    <n v="75"/>
    <n v="3"/>
    <n v="2"/>
    <s v="Research Scientist"/>
    <n v="4"/>
    <s v="Married"/>
    <n v="3697"/>
    <n v="9278"/>
    <n v="9"/>
    <x v="1"/>
    <n v="14"/>
    <n v="3"/>
    <n v="1"/>
    <n v="2"/>
    <n v="12"/>
    <n v="3"/>
    <n v="3"/>
    <n v="10"/>
    <n v="9"/>
    <n v="9"/>
    <n v="8"/>
  </r>
  <r>
    <n v="40"/>
    <x v="1"/>
    <s v="Travel_Rarely"/>
    <n v="1124"/>
    <x v="0"/>
    <n v="1"/>
    <n v="2"/>
    <s v="Medical"/>
    <n v="453"/>
    <n v="2"/>
    <x v="1"/>
    <n v="57"/>
    <n v="1"/>
    <n v="2"/>
    <s v="Sales Executive"/>
    <n v="4"/>
    <s v="Married"/>
    <n v="7457"/>
    <n v="13273"/>
    <n v="2"/>
    <x v="0"/>
    <n v="22"/>
    <n v="4"/>
    <n v="3"/>
    <n v="3"/>
    <n v="6"/>
    <n v="2"/>
    <n v="2"/>
    <n v="4"/>
    <n v="3"/>
    <n v="0"/>
    <n v="2"/>
  </r>
  <r>
    <n v="29"/>
    <x v="0"/>
    <s v="Travel_Rarely"/>
    <n v="318"/>
    <x v="1"/>
    <n v="8"/>
    <n v="4"/>
    <s v="Other"/>
    <n v="454"/>
    <n v="2"/>
    <x v="1"/>
    <n v="77"/>
    <n v="1"/>
    <n v="1"/>
    <s v="Laboratory Technician"/>
    <n v="1"/>
    <s v="Married"/>
    <n v="2119"/>
    <n v="4759"/>
    <n v="1"/>
    <x v="0"/>
    <n v="11"/>
    <n v="3"/>
    <n v="4"/>
    <n v="0"/>
    <n v="7"/>
    <n v="4"/>
    <n v="2"/>
    <n v="7"/>
    <n v="7"/>
    <n v="0"/>
    <n v="7"/>
  </r>
  <r>
    <n v="29"/>
    <x v="1"/>
    <s v="Travel_Rarely"/>
    <n v="738"/>
    <x v="1"/>
    <n v="9"/>
    <n v="5"/>
    <s v="Other"/>
    <n v="455"/>
    <n v="2"/>
    <x v="1"/>
    <n v="30"/>
    <n v="2"/>
    <n v="1"/>
    <s v="Laboratory Technician"/>
    <n v="4"/>
    <s v="Single"/>
    <n v="3983"/>
    <n v="7621"/>
    <n v="0"/>
    <x v="1"/>
    <n v="17"/>
    <n v="3"/>
    <n v="3"/>
    <n v="0"/>
    <n v="4"/>
    <n v="2"/>
    <n v="3"/>
    <n v="3"/>
    <n v="2"/>
    <n v="2"/>
    <n v="2"/>
  </r>
  <r>
    <n v="30"/>
    <x v="1"/>
    <s v="Travel_Rarely"/>
    <n v="570"/>
    <x v="0"/>
    <n v="5"/>
    <n v="3"/>
    <s v="Marketing"/>
    <n v="456"/>
    <n v="4"/>
    <x v="0"/>
    <n v="30"/>
    <n v="2"/>
    <n v="2"/>
    <s v="Sales Executive"/>
    <n v="3"/>
    <s v="Divorced"/>
    <n v="6118"/>
    <n v="5431"/>
    <n v="1"/>
    <x v="1"/>
    <n v="13"/>
    <n v="3"/>
    <n v="3"/>
    <n v="3"/>
    <n v="10"/>
    <n v="2"/>
    <n v="3"/>
    <n v="10"/>
    <n v="9"/>
    <n v="1"/>
    <n v="2"/>
  </r>
  <r>
    <n v="27"/>
    <x v="1"/>
    <s v="Travel_Rarely"/>
    <n v="1130"/>
    <x v="0"/>
    <n v="8"/>
    <n v="4"/>
    <s v="Marketing"/>
    <n v="458"/>
    <n v="2"/>
    <x v="0"/>
    <n v="56"/>
    <n v="3"/>
    <n v="2"/>
    <s v="Sales Executive"/>
    <n v="2"/>
    <s v="Married"/>
    <n v="6214"/>
    <n v="3415"/>
    <n v="1"/>
    <x v="1"/>
    <n v="18"/>
    <n v="3"/>
    <n v="1"/>
    <n v="1"/>
    <n v="8"/>
    <n v="3"/>
    <n v="3"/>
    <n v="8"/>
    <n v="7"/>
    <n v="0"/>
    <n v="7"/>
  </r>
  <r>
    <n v="37"/>
    <x v="1"/>
    <s v="Travel_Rarely"/>
    <n v="1192"/>
    <x v="1"/>
    <n v="5"/>
    <n v="2"/>
    <s v="Medical"/>
    <n v="460"/>
    <n v="4"/>
    <x v="1"/>
    <n v="61"/>
    <n v="3"/>
    <n v="2"/>
    <s v="Manufacturing Director"/>
    <n v="4"/>
    <s v="Divorced"/>
    <n v="6347"/>
    <n v="23177"/>
    <n v="7"/>
    <x v="1"/>
    <n v="16"/>
    <n v="3"/>
    <n v="3"/>
    <n v="2"/>
    <n v="8"/>
    <n v="2"/>
    <n v="2"/>
    <n v="6"/>
    <n v="2"/>
    <n v="0"/>
    <n v="4"/>
  </r>
  <r>
    <n v="38"/>
    <x v="1"/>
    <s v="Travel_Rarely"/>
    <n v="343"/>
    <x v="1"/>
    <n v="15"/>
    <n v="2"/>
    <s v="Life Sciences"/>
    <n v="461"/>
    <n v="3"/>
    <x v="1"/>
    <n v="92"/>
    <n v="2"/>
    <n v="3"/>
    <s v="Research Director"/>
    <n v="4"/>
    <s v="Divorced"/>
    <n v="11510"/>
    <n v="15682"/>
    <n v="0"/>
    <x v="0"/>
    <n v="14"/>
    <n v="3"/>
    <n v="2"/>
    <n v="1"/>
    <n v="12"/>
    <n v="3"/>
    <n v="3"/>
    <n v="11"/>
    <n v="10"/>
    <n v="2"/>
    <n v="9"/>
  </r>
  <r>
    <n v="31"/>
    <x v="1"/>
    <s v="Travel_Rarely"/>
    <n v="1232"/>
    <x v="1"/>
    <n v="7"/>
    <n v="4"/>
    <s v="Medical"/>
    <n v="462"/>
    <n v="3"/>
    <x v="0"/>
    <n v="39"/>
    <n v="3"/>
    <n v="3"/>
    <s v="Manufacturing Director"/>
    <n v="4"/>
    <s v="Single"/>
    <n v="7143"/>
    <n v="25713"/>
    <n v="1"/>
    <x v="0"/>
    <n v="14"/>
    <n v="3"/>
    <n v="3"/>
    <n v="0"/>
    <n v="11"/>
    <n v="2"/>
    <n v="2"/>
    <n v="11"/>
    <n v="9"/>
    <n v="4"/>
    <n v="10"/>
  </r>
  <r>
    <n v="29"/>
    <x v="1"/>
    <s v="Travel_Rarely"/>
    <n v="144"/>
    <x v="0"/>
    <n v="10"/>
    <n v="1"/>
    <s v="Marketing"/>
    <n v="463"/>
    <n v="4"/>
    <x v="0"/>
    <n v="39"/>
    <n v="2"/>
    <n v="2"/>
    <s v="Sales Executive"/>
    <n v="2"/>
    <s v="Divorced"/>
    <n v="8268"/>
    <n v="11866"/>
    <n v="1"/>
    <x v="0"/>
    <n v="14"/>
    <n v="3"/>
    <n v="1"/>
    <n v="2"/>
    <n v="7"/>
    <n v="2"/>
    <n v="3"/>
    <n v="7"/>
    <n v="7"/>
    <n v="1"/>
    <n v="7"/>
  </r>
  <r>
    <n v="35"/>
    <x v="1"/>
    <s v="Travel_Rarely"/>
    <n v="1296"/>
    <x v="1"/>
    <n v="5"/>
    <n v="4"/>
    <s v="Technical Degree"/>
    <n v="464"/>
    <n v="3"/>
    <x v="1"/>
    <n v="62"/>
    <n v="3"/>
    <n v="3"/>
    <s v="Manufacturing Director"/>
    <n v="2"/>
    <s v="Single"/>
    <n v="8095"/>
    <n v="18264"/>
    <n v="0"/>
    <x v="1"/>
    <n v="13"/>
    <n v="3"/>
    <n v="4"/>
    <n v="0"/>
    <n v="17"/>
    <n v="5"/>
    <n v="3"/>
    <n v="16"/>
    <n v="6"/>
    <n v="0"/>
    <n v="13"/>
  </r>
  <r>
    <n v="23"/>
    <x v="1"/>
    <s v="Travel_Rarely"/>
    <n v="1309"/>
    <x v="1"/>
    <n v="26"/>
    <n v="1"/>
    <s v="Life Sciences"/>
    <n v="465"/>
    <n v="3"/>
    <x v="1"/>
    <n v="83"/>
    <n v="3"/>
    <n v="1"/>
    <s v="Research Scientist"/>
    <n v="4"/>
    <s v="Divorced"/>
    <n v="2904"/>
    <n v="16092"/>
    <n v="1"/>
    <x v="1"/>
    <n v="12"/>
    <n v="3"/>
    <n v="3"/>
    <n v="2"/>
    <n v="4"/>
    <n v="2"/>
    <n v="2"/>
    <n v="4"/>
    <n v="2"/>
    <n v="0"/>
    <n v="2"/>
  </r>
  <r>
    <n v="41"/>
    <x v="1"/>
    <s v="Travel_Rarely"/>
    <n v="483"/>
    <x v="1"/>
    <n v="6"/>
    <n v="3"/>
    <s v="Medical"/>
    <n v="466"/>
    <n v="4"/>
    <x v="1"/>
    <n v="95"/>
    <n v="2"/>
    <n v="2"/>
    <s v="Manufacturing Director"/>
    <n v="2"/>
    <s v="Single"/>
    <n v="6032"/>
    <n v="10110"/>
    <n v="6"/>
    <x v="0"/>
    <n v="15"/>
    <n v="3"/>
    <n v="4"/>
    <n v="0"/>
    <n v="8"/>
    <n v="3"/>
    <n v="3"/>
    <n v="5"/>
    <n v="4"/>
    <n v="1"/>
    <n v="2"/>
  </r>
  <r>
    <n v="47"/>
    <x v="1"/>
    <s v="Travel_Frequently"/>
    <n v="1309"/>
    <x v="0"/>
    <n v="4"/>
    <n v="1"/>
    <s v="Medical"/>
    <n v="467"/>
    <n v="2"/>
    <x v="1"/>
    <n v="99"/>
    <n v="3"/>
    <n v="2"/>
    <s v="Sales Representative"/>
    <n v="3"/>
    <s v="Single"/>
    <n v="2976"/>
    <n v="25751"/>
    <n v="3"/>
    <x v="1"/>
    <n v="19"/>
    <n v="3"/>
    <n v="1"/>
    <n v="0"/>
    <n v="5"/>
    <n v="3"/>
    <n v="3"/>
    <n v="0"/>
    <n v="0"/>
    <n v="0"/>
    <n v="0"/>
  </r>
  <r>
    <n v="42"/>
    <x v="1"/>
    <s v="Travel_Rarely"/>
    <n v="810"/>
    <x v="1"/>
    <n v="23"/>
    <n v="5"/>
    <s v="Life Sciences"/>
    <n v="468"/>
    <n v="1"/>
    <x v="0"/>
    <n v="44"/>
    <n v="3"/>
    <n v="4"/>
    <s v="Research Director"/>
    <n v="4"/>
    <s v="Single"/>
    <n v="15992"/>
    <n v="15901"/>
    <n v="2"/>
    <x v="1"/>
    <n v="14"/>
    <n v="3"/>
    <n v="2"/>
    <n v="0"/>
    <n v="16"/>
    <n v="2"/>
    <n v="3"/>
    <n v="1"/>
    <n v="0"/>
    <n v="0"/>
    <n v="0"/>
  </r>
  <r>
    <n v="29"/>
    <x v="1"/>
    <s v="Non-Travel"/>
    <n v="746"/>
    <x v="0"/>
    <n v="2"/>
    <n v="3"/>
    <s v="Life Sciences"/>
    <n v="469"/>
    <n v="4"/>
    <x v="1"/>
    <n v="61"/>
    <n v="3"/>
    <n v="2"/>
    <s v="Sales Executive"/>
    <n v="3"/>
    <s v="Married"/>
    <n v="4649"/>
    <n v="16928"/>
    <n v="1"/>
    <x v="1"/>
    <n v="14"/>
    <n v="3"/>
    <n v="1"/>
    <n v="1"/>
    <n v="4"/>
    <n v="3"/>
    <n v="2"/>
    <n v="4"/>
    <n v="3"/>
    <n v="0"/>
    <n v="2"/>
  </r>
  <r>
    <n v="42"/>
    <x v="1"/>
    <s v="Travel_Rarely"/>
    <n v="544"/>
    <x v="2"/>
    <n v="2"/>
    <n v="1"/>
    <s v="Technical Degree"/>
    <n v="470"/>
    <n v="3"/>
    <x v="1"/>
    <n v="52"/>
    <n v="3"/>
    <n v="1"/>
    <s v="Human Resources"/>
    <n v="3"/>
    <s v="Divorced"/>
    <n v="2696"/>
    <n v="24017"/>
    <n v="0"/>
    <x v="0"/>
    <n v="11"/>
    <n v="3"/>
    <n v="3"/>
    <n v="1"/>
    <n v="4"/>
    <n v="5"/>
    <n v="3"/>
    <n v="3"/>
    <n v="2"/>
    <n v="1"/>
    <n v="0"/>
  </r>
  <r>
    <n v="32"/>
    <x v="1"/>
    <s v="Travel_Rarely"/>
    <n v="1062"/>
    <x v="1"/>
    <n v="2"/>
    <n v="3"/>
    <s v="Medical"/>
    <n v="471"/>
    <n v="3"/>
    <x v="0"/>
    <n v="75"/>
    <n v="3"/>
    <n v="1"/>
    <s v="Laboratory Technician"/>
    <n v="2"/>
    <s v="Married"/>
    <n v="2370"/>
    <n v="3956"/>
    <n v="1"/>
    <x v="1"/>
    <n v="13"/>
    <n v="3"/>
    <n v="3"/>
    <n v="1"/>
    <n v="8"/>
    <n v="4"/>
    <n v="3"/>
    <n v="8"/>
    <n v="0"/>
    <n v="0"/>
    <n v="7"/>
  </r>
  <r>
    <n v="48"/>
    <x v="1"/>
    <s v="Travel_Rarely"/>
    <n v="530"/>
    <x v="0"/>
    <n v="29"/>
    <n v="1"/>
    <s v="Medical"/>
    <n v="473"/>
    <n v="1"/>
    <x v="0"/>
    <n v="91"/>
    <n v="3"/>
    <n v="3"/>
    <s v="Manager"/>
    <n v="3"/>
    <s v="Married"/>
    <n v="12504"/>
    <n v="23978"/>
    <n v="3"/>
    <x v="1"/>
    <n v="21"/>
    <n v="4"/>
    <n v="2"/>
    <n v="1"/>
    <n v="15"/>
    <n v="3"/>
    <n v="1"/>
    <n v="0"/>
    <n v="0"/>
    <n v="0"/>
    <n v="0"/>
  </r>
  <r>
    <n v="37"/>
    <x v="1"/>
    <s v="Travel_Rarely"/>
    <n v="1319"/>
    <x v="1"/>
    <n v="6"/>
    <n v="3"/>
    <s v="Medical"/>
    <n v="474"/>
    <n v="3"/>
    <x v="1"/>
    <n v="51"/>
    <n v="4"/>
    <n v="2"/>
    <s v="Research Scientist"/>
    <n v="1"/>
    <s v="Divorced"/>
    <n v="5974"/>
    <n v="17001"/>
    <n v="4"/>
    <x v="0"/>
    <n v="13"/>
    <n v="3"/>
    <n v="1"/>
    <n v="2"/>
    <n v="13"/>
    <n v="2"/>
    <n v="3"/>
    <n v="7"/>
    <n v="7"/>
    <n v="6"/>
    <n v="7"/>
  </r>
  <r>
    <n v="30"/>
    <x v="1"/>
    <s v="Non-Travel"/>
    <n v="641"/>
    <x v="0"/>
    <n v="25"/>
    <n v="2"/>
    <s v="Technical Degree"/>
    <n v="475"/>
    <n v="4"/>
    <x v="0"/>
    <n v="85"/>
    <n v="3"/>
    <n v="2"/>
    <s v="Sales Executive"/>
    <n v="3"/>
    <s v="Married"/>
    <n v="4736"/>
    <n v="6069"/>
    <n v="7"/>
    <x v="0"/>
    <n v="12"/>
    <n v="3"/>
    <n v="2"/>
    <n v="1"/>
    <n v="4"/>
    <n v="2"/>
    <n v="4"/>
    <n v="2"/>
    <n v="2"/>
    <n v="2"/>
    <n v="2"/>
  </r>
  <r>
    <n v="26"/>
    <x v="1"/>
    <s v="Travel_Rarely"/>
    <n v="933"/>
    <x v="0"/>
    <n v="1"/>
    <n v="3"/>
    <s v="Life Sciences"/>
    <n v="476"/>
    <n v="3"/>
    <x v="1"/>
    <n v="57"/>
    <n v="3"/>
    <n v="2"/>
    <s v="Sales Executive"/>
    <n v="3"/>
    <s v="Married"/>
    <n v="5296"/>
    <n v="20156"/>
    <n v="1"/>
    <x v="1"/>
    <n v="17"/>
    <n v="3"/>
    <n v="2"/>
    <n v="1"/>
    <n v="8"/>
    <n v="3"/>
    <n v="3"/>
    <n v="8"/>
    <n v="7"/>
    <n v="7"/>
    <n v="7"/>
  </r>
  <r>
    <n v="42"/>
    <x v="1"/>
    <s v="Travel_Rarely"/>
    <n v="1332"/>
    <x v="1"/>
    <n v="2"/>
    <n v="4"/>
    <s v="Other"/>
    <n v="477"/>
    <n v="1"/>
    <x v="1"/>
    <n v="98"/>
    <n v="2"/>
    <n v="2"/>
    <s v="Healthcare Representative"/>
    <n v="4"/>
    <s v="Single"/>
    <n v="6781"/>
    <n v="17078"/>
    <n v="3"/>
    <x v="1"/>
    <n v="23"/>
    <n v="4"/>
    <n v="2"/>
    <n v="0"/>
    <n v="14"/>
    <n v="6"/>
    <n v="3"/>
    <n v="1"/>
    <n v="0"/>
    <n v="0"/>
    <n v="0"/>
  </r>
  <r>
    <n v="21"/>
    <x v="0"/>
    <s v="Travel_Frequently"/>
    <n v="756"/>
    <x v="0"/>
    <n v="1"/>
    <n v="1"/>
    <s v="Technical Degree"/>
    <n v="478"/>
    <n v="1"/>
    <x v="0"/>
    <n v="99"/>
    <n v="2"/>
    <n v="1"/>
    <s v="Sales Representative"/>
    <n v="2"/>
    <s v="Single"/>
    <n v="2174"/>
    <n v="9150"/>
    <n v="1"/>
    <x v="0"/>
    <n v="11"/>
    <n v="3"/>
    <n v="3"/>
    <n v="0"/>
    <n v="3"/>
    <n v="3"/>
    <n v="3"/>
    <n v="3"/>
    <n v="2"/>
    <n v="1"/>
    <n v="2"/>
  </r>
  <r>
    <n v="36"/>
    <x v="1"/>
    <s v="Non-Travel"/>
    <n v="845"/>
    <x v="0"/>
    <n v="1"/>
    <n v="5"/>
    <s v="Medical"/>
    <n v="479"/>
    <n v="4"/>
    <x v="0"/>
    <n v="45"/>
    <n v="3"/>
    <n v="2"/>
    <s v="Sales Executive"/>
    <n v="4"/>
    <s v="Single"/>
    <n v="6653"/>
    <n v="15276"/>
    <n v="4"/>
    <x v="1"/>
    <n v="15"/>
    <n v="3"/>
    <n v="2"/>
    <n v="0"/>
    <n v="7"/>
    <n v="6"/>
    <n v="3"/>
    <n v="1"/>
    <n v="0"/>
    <n v="0"/>
    <n v="0"/>
  </r>
  <r>
    <n v="36"/>
    <x v="1"/>
    <s v="Travel_Frequently"/>
    <n v="541"/>
    <x v="0"/>
    <n v="3"/>
    <n v="4"/>
    <s v="Medical"/>
    <n v="481"/>
    <n v="1"/>
    <x v="1"/>
    <n v="48"/>
    <n v="2"/>
    <n v="3"/>
    <s v="Sales Executive"/>
    <n v="4"/>
    <s v="Married"/>
    <n v="9699"/>
    <n v="7246"/>
    <n v="4"/>
    <x v="1"/>
    <n v="11"/>
    <n v="3"/>
    <n v="1"/>
    <n v="1"/>
    <n v="16"/>
    <n v="2"/>
    <n v="3"/>
    <n v="13"/>
    <n v="9"/>
    <n v="1"/>
    <n v="12"/>
  </r>
  <r>
    <n v="57"/>
    <x v="1"/>
    <s v="Travel_Rarely"/>
    <n v="593"/>
    <x v="1"/>
    <n v="1"/>
    <n v="4"/>
    <s v="Medical"/>
    <n v="482"/>
    <n v="4"/>
    <x v="1"/>
    <n v="88"/>
    <n v="3"/>
    <n v="2"/>
    <s v="Healthcare Representative"/>
    <n v="3"/>
    <s v="Married"/>
    <n v="6755"/>
    <n v="2967"/>
    <n v="2"/>
    <x v="1"/>
    <n v="11"/>
    <n v="3"/>
    <n v="3"/>
    <n v="0"/>
    <n v="15"/>
    <n v="2"/>
    <n v="3"/>
    <n v="3"/>
    <n v="2"/>
    <n v="1"/>
    <n v="2"/>
  </r>
  <r>
    <n v="40"/>
    <x v="1"/>
    <s v="Travel_Rarely"/>
    <n v="1171"/>
    <x v="1"/>
    <n v="10"/>
    <n v="4"/>
    <s v="Life Sciences"/>
    <n v="483"/>
    <n v="4"/>
    <x v="0"/>
    <n v="46"/>
    <n v="4"/>
    <n v="1"/>
    <s v="Laboratory Technician"/>
    <n v="3"/>
    <s v="Married"/>
    <n v="2213"/>
    <n v="22495"/>
    <n v="3"/>
    <x v="0"/>
    <n v="13"/>
    <n v="3"/>
    <n v="3"/>
    <n v="1"/>
    <n v="10"/>
    <n v="3"/>
    <n v="3"/>
    <n v="7"/>
    <n v="7"/>
    <n v="1"/>
    <n v="7"/>
  </r>
  <r>
    <n v="21"/>
    <x v="1"/>
    <s v="Non-Travel"/>
    <n v="895"/>
    <x v="0"/>
    <n v="9"/>
    <n v="2"/>
    <s v="Medical"/>
    <n v="484"/>
    <n v="1"/>
    <x v="1"/>
    <n v="39"/>
    <n v="3"/>
    <n v="1"/>
    <s v="Sales Representative"/>
    <n v="4"/>
    <s v="Single"/>
    <n v="2610"/>
    <n v="2851"/>
    <n v="1"/>
    <x v="1"/>
    <n v="24"/>
    <n v="4"/>
    <n v="3"/>
    <n v="0"/>
    <n v="3"/>
    <n v="3"/>
    <n v="2"/>
    <n v="3"/>
    <n v="2"/>
    <n v="2"/>
    <n v="2"/>
  </r>
  <r>
    <n v="33"/>
    <x v="0"/>
    <s v="Travel_Rarely"/>
    <n v="350"/>
    <x v="0"/>
    <n v="5"/>
    <n v="3"/>
    <s v="Marketing"/>
    <n v="485"/>
    <n v="4"/>
    <x v="0"/>
    <n v="34"/>
    <n v="3"/>
    <n v="1"/>
    <s v="Sales Representative"/>
    <n v="3"/>
    <s v="Single"/>
    <n v="2851"/>
    <n v="9150"/>
    <n v="1"/>
    <x v="0"/>
    <n v="13"/>
    <n v="3"/>
    <n v="2"/>
    <n v="0"/>
    <n v="1"/>
    <n v="2"/>
    <n v="3"/>
    <n v="1"/>
    <n v="0"/>
    <n v="0"/>
    <n v="0"/>
  </r>
  <r>
    <n v="37"/>
    <x v="1"/>
    <s v="Travel_Rarely"/>
    <n v="921"/>
    <x v="1"/>
    <n v="10"/>
    <n v="3"/>
    <s v="Medical"/>
    <n v="486"/>
    <n v="3"/>
    <x v="0"/>
    <n v="98"/>
    <n v="3"/>
    <n v="1"/>
    <s v="Laboratory Technician"/>
    <n v="1"/>
    <s v="Married"/>
    <n v="3452"/>
    <n v="17663"/>
    <n v="6"/>
    <x v="1"/>
    <n v="20"/>
    <n v="4"/>
    <n v="2"/>
    <n v="1"/>
    <n v="17"/>
    <n v="3"/>
    <n v="3"/>
    <n v="5"/>
    <n v="4"/>
    <n v="0"/>
    <n v="3"/>
  </r>
  <r>
    <n v="46"/>
    <x v="1"/>
    <s v="Non-Travel"/>
    <n v="1144"/>
    <x v="1"/>
    <n v="7"/>
    <n v="4"/>
    <s v="Medical"/>
    <n v="487"/>
    <n v="3"/>
    <x v="0"/>
    <n v="30"/>
    <n v="3"/>
    <n v="2"/>
    <s v="Manufacturing Director"/>
    <n v="3"/>
    <s v="Married"/>
    <n v="5258"/>
    <n v="16044"/>
    <n v="2"/>
    <x v="1"/>
    <n v="14"/>
    <n v="3"/>
    <n v="3"/>
    <n v="0"/>
    <n v="7"/>
    <n v="2"/>
    <n v="4"/>
    <n v="1"/>
    <n v="0"/>
    <n v="0"/>
    <n v="0"/>
  </r>
  <r>
    <n v="41"/>
    <x v="0"/>
    <s v="Travel_Frequently"/>
    <n v="143"/>
    <x v="0"/>
    <n v="4"/>
    <n v="3"/>
    <s v="Marketing"/>
    <n v="488"/>
    <n v="1"/>
    <x v="1"/>
    <n v="56"/>
    <n v="3"/>
    <n v="2"/>
    <s v="Sales Executive"/>
    <n v="2"/>
    <s v="Single"/>
    <n v="9355"/>
    <n v="9558"/>
    <n v="1"/>
    <x v="1"/>
    <n v="18"/>
    <n v="3"/>
    <n v="3"/>
    <n v="0"/>
    <n v="8"/>
    <n v="5"/>
    <n v="3"/>
    <n v="8"/>
    <n v="7"/>
    <n v="7"/>
    <n v="7"/>
  </r>
  <r>
    <n v="50"/>
    <x v="1"/>
    <s v="Travel_Rarely"/>
    <n v="1046"/>
    <x v="1"/>
    <n v="10"/>
    <n v="3"/>
    <s v="Technical Degree"/>
    <n v="491"/>
    <n v="4"/>
    <x v="1"/>
    <n v="100"/>
    <n v="2"/>
    <n v="3"/>
    <s v="Healthcare Representative"/>
    <n v="4"/>
    <s v="Single"/>
    <n v="10496"/>
    <n v="2755"/>
    <n v="6"/>
    <x v="1"/>
    <n v="15"/>
    <n v="3"/>
    <n v="4"/>
    <n v="0"/>
    <n v="20"/>
    <n v="2"/>
    <n v="3"/>
    <n v="4"/>
    <n v="3"/>
    <n v="1"/>
    <n v="3"/>
  </r>
  <r>
    <n v="40"/>
    <x v="0"/>
    <s v="Travel_Rarely"/>
    <n v="575"/>
    <x v="0"/>
    <n v="22"/>
    <n v="2"/>
    <s v="Marketing"/>
    <n v="492"/>
    <n v="3"/>
    <x v="1"/>
    <n v="68"/>
    <n v="2"/>
    <n v="2"/>
    <s v="Sales Executive"/>
    <n v="3"/>
    <s v="Married"/>
    <n v="6380"/>
    <n v="6110"/>
    <n v="2"/>
    <x v="0"/>
    <n v="12"/>
    <n v="3"/>
    <n v="1"/>
    <n v="2"/>
    <n v="8"/>
    <n v="6"/>
    <n v="3"/>
    <n v="6"/>
    <n v="4"/>
    <n v="1"/>
    <n v="0"/>
  </r>
  <r>
    <n v="31"/>
    <x v="1"/>
    <s v="Travel_Rarely"/>
    <n v="408"/>
    <x v="1"/>
    <n v="9"/>
    <n v="4"/>
    <s v="Life Sciences"/>
    <n v="493"/>
    <n v="3"/>
    <x v="1"/>
    <n v="42"/>
    <n v="2"/>
    <n v="1"/>
    <s v="Research Scientist"/>
    <n v="2"/>
    <s v="Single"/>
    <n v="2657"/>
    <n v="7551"/>
    <n v="0"/>
    <x v="0"/>
    <n v="16"/>
    <n v="3"/>
    <n v="4"/>
    <n v="0"/>
    <n v="3"/>
    <n v="5"/>
    <n v="3"/>
    <n v="2"/>
    <n v="2"/>
    <n v="2"/>
    <n v="2"/>
  </r>
  <r>
    <n v="21"/>
    <x v="0"/>
    <s v="Travel_Rarely"/>
    <n v="156"/>
    <x v="0"/>
    <n v="12"/>
    <n v="3"/>
    <s v="Life Sciences"/>
    <n v="494"/>
    <n v="3"/>
    <x v="0"/>
    <n v="90"/>
    <n v="4"/>
    <n v="1"/>
    <s v="Sales Representative"/>
    <n v="2"/>
    <s v="Single"/>
    <n v="2716"/>
    <n v="25422"/>
    <n v="1"/>
    <x v="1"/>
    <n v="15"/>
    <n v="3"/>
    <n v="4"/>
    <n v="0"/>
    <n v="1"/>
    <n v="0"/>
    <n v="3"/>
    <n v="1"/>
    <n v="0"/>
    <n v="0"/>
    <n v="0"/>
  </r>
  <r>
    <n v="29"/>
    <x v="1"/>
    <s v="Travel_Rarely"/>
    <n v="1283"/>
    <x v="1"/>
    <n v="23"/>
    <n v="3"/>
    <s v="Life Sciences"/>
    <n v="495"/>
    <n v="4"/>
    <x v="1"/>
    <n v="54"/>
    <n v="3"/>
    <n v="1"/>
    <s v="Research Scientist"/>
    <n v="4"/>
    <s v="Single"/>
    <n v="2201"/>
    <n v="18168"/>
    <n v="9"/>
    <x v="1"/>
    <n v="16"/>
    <n v="3"/>
    <n v="4"/>
    <n v="0"/>
    <n v="6"/>
    <n v="4"/>
    <n v="3"/>
    <n v="3"/>
    <n v="2"/>
    <n v="1"/>
    <n v="2"/>
  </r>
  <r>
    <n v="35"/>
    <x v="1"/>
    <s v="Travel_Rarely"/>
    <n v="755"/>
    <x v="1"/>
    <n v="9"/>
    <n v="4"/>
    <s v="Life Sciences"/>
    <n v="496"/>
    <n v="3"/>
    <x v="1"/>
    <n v="97"/>
    <n v="2"/>
    <n v="2"/>
    <s v="Healthcare Representative"/>
    <n v="2"/>
    <s v="Single"/>
    <n v="6540"/>
    <n v="19394"/>
    <n v="9"/>
    <x v="1"/>
    <n v="19"/>
    <n v="3"/>
    <n v="3"/>
    <n v="0"/>
    <n v="10"/>
    <n v="5"/>
    <n v="3"/>
    <n v="1"/>
    <n v="1"/>
    <n v="0"/>
    <n v="0"/>
  </r>
  <r>
    <n v="27"/>
    <x v="1"/>
    <s v="Travel_Rarely"/>
    <n v="1469"/>
    <x v="1"/>
    <n v="1"/>
    <n v="2"/>
    <s v="Medical"/>
    <n v="497"/>
    <n v="4"/>
    <x v="1"/>
    <n v="82"/>
    <n v="3"/>
    <n v="1"/>
    <s v="Laboratory Technician"/>
    <n v="2"/>
    <s v="Divorced"/>
    <n v="3816"/>
    <n v="17881"/>
    <n v="1"/>
    <x v="1"/>
    <n v="11"/>
    <n v="3"/>
    <n v="2"/>
    <n v="1"/>
    <n v="5"/>
    <n v="2"/>
    <n v="3"/>
    <n v="5"/>
    <n v="2"/>
    <n v="0"/>
    <n v="4"/>
  </r>
  <r>
    <n v="28"/>
    <x v="1"/>
    <s v="Travel_Rarely"/>
    <n v="304"/>
    <x v="0"/>
    <n v="9"/>
    <n v="4"/>
    <s v="Life Sciences"/>
    <n v="498"/>
    <n v="2"/>
    <x v="1"/>
    <n v="92"/>
    <n v="3"/>
    <n v="2"/>
    <s v="Sales Executive"/>
    <n v="4"/>
    <s v="Single"/>
    <n v="5253"/>
    <n v="20750"/>
    <n v="1"/>
    <x v="1"/>
    <n v="16"/>
    <n v="3"/>
    <n v="4"/>
    <n v="0"/>
    <n v="7"/>
    <n v="1"/>
    <n v="3"/>
    <n v="7"/>
    <n v="5"/>
    <n v="0"/>
    <n v="7"/>
  </r>
  <r>
    <n v="49"/>
    <x v="1"/>
    <s v="Travel_Rarely"/>
    <n v="1261"/>
    <x v="1"/>
    <n v="7"/>
    <n v="3"/>
    <s v="Other"/>
    <n v="499"/>
    <n v="2"/>
    <x v="1"/>
    <n v="31"/>
    <n v="2"/>
    <n v="3"/>
    <s v="Healthcare Representative"/>
    <n v="3"/>
    <s v="Single"/>
    <n v="10965"/>
    <n v="12066"/>
    <n v="8"/>
    <x v="1"/>
    <n v="24"/>
    <n v="4"/>
    <n v="3"/>
    <n v="0"/>
    <n v="26"/>
    <n v="2"/>
    <n v="3"/>
    <n v="5"/>
    <n v="2"/>
    <n v="0"/>
    <n v="0"/>
  </r>
  <r>
    <n v="51"/>
    <x v="1"/>
    <s v="Travel_Rarely"/>
    <n v="1178"/>
    <x v="0"/>
    <n v="14"/>
    <n v="2"/>
    <s v="Life Sciences"/>
    <n v="500"/>
    <n v="3"/>
    <x v="0"/>
    <n v="87"/>
    <n v="3"/>
    <n v="2"/>
    <s v="Sales Executive"/>
    <n v="4"/>
    <s v="Married"/>
    <n v="4936"/>
    <n v="14862"/>
    <n v="4"/>
    <x v="1"/>
    <n v="11"/>
    <n v="3"/>
    <n v="3"/>
    <n v="1"/>
    <n v="18"/>
    <n v="2"/>
    <n v="2"/>
    <n v="7"/>
    <n v="7"/>
    <n v="0"/>
    <n v="7"/>
  </r>
  <r>
    <n v="36"/>
    <x v="1"/>
    <s v="Travel_Rarely"/>
    <n v="329"/>
    <x v="1"/>
    <n v="2"/>
    <n v="3"/>
    <s v="Life Sciences"/>
    <n v="501"/>
    <n v="4"/>
    <x v="0"/>
    <n v="96"/>
    <n v="3"/>
    <n v="1"/>
    <s v="Research Scientist"/>
    <n v="3"/>
    <s v="Married"/>
    <n v="2543"/>
    <n v="11868"/>
    <n v="4"/>
    <x v="1"/>
    <n v="13"/>
    <n v="3"/>
    <n v="2"/>
    <n v="1"/>
    <n v="6"/>
    <n v="3"/>
    <n v="3"/>
    <n v="2"/>
    <n v="2"/>
    <n v="2"/>
    <n v="2"/>
  </r>
  <r>
    <n v="34"/>
    <x v="0"/>
    <s v="Non-Travel"/>
    <n v="1362"/>
    <x v="0"/>
    <n v="19"/>
    <n v="3"/>
    <s v="Marketing"/>
    <n v="502"/>
    <n v="1"/>
    <x v="1"/>
    <n v="67"/>
    <n v="4"/>
    <n v="2"/>
    <s v="Sales Executive"/>
    <n v="4"/>
    <s v="Single"/>
    <n v="5304"/>
    <n v="4652"/>
    <n v="8"/>
    <x v="0"/>
    <n v="13"/>
    <n v="3"/>
    <n v="2"/>
    <n v="0"/>
    <n v="9"/>
    <n v="3"/>
    <n v="2"/>
    <n v="5"/>
    <n v="2"/>
    <n v="0"/>
    <n v="4"/>
  </r>
  <r>
    <n v="55"/>
    <x v="1"/>
    <s v="Travel_Rarely"/>
    <n v="1311"/>
    <x v="1"/>
    <n v="2"/>
    <n v="3"/>
    <s v="Life Sciences"/>
    <n v="505"/>
    <n v="3"/>
    <x v="0"/>
    <n v="97"/>
    <n v="3"/>
    <n v="4"/>
    <s v="Manager"/>
    <n v="4"/>
    <s v="Single"/>
    <n v="16659"/>
    <n v="23258"/>
    <n v="2"/>
    <x v="0"/>
    <n v="13"/>
    <n v="3"/>
    <n v="3"/>
    <n v="0"/>
    <n v="30"/>
    <n v="2"/>
    <n v="3"/>
    <n v="5"/>
    <n v="4"/>
    <n v="1"/>
    <n v="2"/>
  </r>
  <r>
    <n v="24"/>
    <x v="1"/>
    <s v="Travel_Rarely"/>
    <n v="1371"/>
    <x v="0"/>
    <n v="10"/>
    <n v="4"/>
    <s v="Marketing"/>
    <n v="507"/>
    <n v="4"/>
    <x v="0"/>
    <n v="77"/>
    <n v="3"/>
    <n v="2"/>
    <s v="Sales Executive"/>
    <n v="3"/>
    <s v="Divorced"/>
    <n v="4260"/>
    <n v="5915"/>
    <n v="1"/>
    <x v="0"/>
    <n v="12"/>
    <n v="3"/>
    <n v="4"/>
    <n v="1"/>
    <n v="5"/>
    <n v="2"/>
    <n v="4"/>
    <n v="5"/>
    <n v="2"/>
    <n v="0"/>
    <n v="3"/>
  </r>
  <r>
    <n v="30"/>
    <x v="1"/>
    <s v="Travel_Rarely"/>
    <n v="202"/>
    <x v="0"/>
    <n v="2"/>
    <n v="1"/>
    <s v="Technical Degree"/>
    <n v="508"/>
    <n v="3"/>
    <x v="1"/>
    <n v="72"/>
    <n v="3"/>
    <n v="1"/>
    <s v="Sales Representative"/>
    <n v="2"/>
    <s v="Married"/>
    <n v="2476"/>
    <n v="17434"/>
    <n v="1"/>
    <x v="1"/>
    <n v="18"/>
    <n v="3"/>
    <n v="1"/>
    <n v="1"/>
    <n v="1"/>
    <n v="3"/>
    <n v="3"/>
    <n v="1"/>
    <n v="0"/>
    <n v="0"/>
    <n v="0"/>
  </r>
  <r>
    <n v="26"/>
    <x v="0"/>
    <s v="Travel_Frequently"/>
    <n v="575"/>
    <x v="1"/>
    <n v="3"/>
    <n v="1"/>
    <s v="Technical Degree"/>
    <n v="510"/>
    <n v="3"/>
    <x v="1"/>
    <n v="73"/>
    <n v="3"/>
    <n v="1"/>
    <s v="Research Scientist"/>
    <n v="1"/>
    <s v="Single"/>
    <n v="3102"/>
    <n v="6582"/>
    <n v="0"/>
    <x v="1"/>
    <n v="22"/>
    <n v="4"/>
    <n v="3"/>
    <n v="0"/>
    <n v="7"/>
    <n v="2"/>
    <n v="3"/>
    <n v="6"/>
    <n v="4"/>
    <n v="0"/>
    <n v="4"/>
  </r>
  <r>
    <n v="22"/>
    <x v="1"/>
    <s v="Travel_Rarely"/>
    <n v="253"/>
    <x v="1"/>
    <n v="11"/>
    <n v="3"/>
    <s v="Medical"/>
    <n v="511"/>
    <n v="1"/>
    <x v="0"/>
    <n v="43"/>
    <n v="3"/>
    <n v="1"/>
    <s v="Research Scientist"/>
    <n v="2"/>
    <s v="Married"/>
    <n v="2244"/>
    <n v="24440"/>
    <n v="1"/>
    <x v="1"/>
    <n v="13"/>
    <n v="3"/>
    <n v="4"/>
    <n v="1"/>
    <n v="2"/>
    <n v="1"/>
    <n v="3"/>
    <n v="2"/>
    <n v="1"/>
    <n v="1"/>
    <n v="2"/>
  </r>
  <r>
    <n v="36"/>
    <x v="1"/>
    <s v="Travel_Rarely"/>
    <n v="164"/>
    <x v="0"/>
    <n v="2"/>
    <n v="2"/>
    <s v="Medical"/>
    <n v="513"/>
    <n v="2"/>
    <x v="1"/>
    <n v="61"/>
    <n v="2"/>
    <n v="3"/>
    <s v="Sales Executive"/>
    <n v="3"/>
    <s v="Married"/>
    <n v="7596"/>
    <n v="3809"/>
    <n v="1"/>
    <x v="1"/>
    <n v="13"/>
    <n v="3"/>
    <n v="2"/>
    <n v="2"/>
    <n v="10"/>
    <n v="2"/>
    <n v="3"/>
    <n v="10"/>
    <n v="9"/>
    <n v="9"/>
    <n v="0"/>
  </r>
  <r>
    <n v="30"/>
    <x v="0"/>
    <s v="Travel_Frequently"/>
    <n v="464"/>
    <x v="1"/>
    <n v="4"/>
    <n v="3"/>
    <s v="Technical Degree"/>
    <n v="514"/>
    <n v="3"/>
    <x v="1"/>
    <n v="40"/>
    <n v="3"/>
    <n v="1"/>
    <s v="Research Scientist"/>
    <n v="4"/>
    <s v="Single"/>
    <n v="2285"/>
    <n v="3427"/>
    <n v="9"/>
    <x v="0"/>
    <n v="23"/>
    <n v="4"/>
    <n v="3"/>
    <n v="0"/>
    <n v="3"/>
    <n v="4"/>
    <n v="3"/>
    <n v="1"/>
    <n v="0"/>
    <n v="0"/>
    <n v="0"/>
  </r>
  <r>
    <n v="37"/>
    <x v="1"/>
    <s v="Travel_Rarely"/>
    <n v="1107"/>
    <x v="1"/>
    <n v="14"/>
    <n v="3"/>
    <s v="Life Sciences"/>
    <n v="515"/>
    <n v="4"/>
    <x v="0"/>
    <n v="95"/>
    <n v="3"/>
    <n v="1"/>
    <s v="Laboratory Technician"/>
    <n v="1"/>
    <s v="Divorced"/>
    <n v="3034"/>
    <n v="26914"/>
    <n v="1"/>
    <x v="1"/>
    <n v="12"/>
    <n v="3"/>
    <n v="3"/>
    <n v="1"/>
    <n v="18"/>
    <n v="2"/>
    <n v="2"/>
    <n v="18"/>
    <n v="7"/>
    <n v="12"/>
    <n v="17"/>
  </r>
  <r>
    <n v="40"/>
    <x v="1"/>
    <s v="Travel_Rarely"/>
    <n v="759"/>
    <x v="0"/>
    <n v="2"/>
    <n v="2"/>
    <s v="Marketing"/>
    <n v="516"/>
    <n v="4"/>
    <x v="0"/>
    <n v="46"/>
    <n v="3"/>
    <n v="2"/>
    <s v="Sales Executive"/>
    <n v="2"/>
    <s v="Divorced"/>
    <n v="5715"/>
    <n v="22553"/>
    <n v="7"/>
    <x v="1"/>
    <n v="12"/>
    <n v="3"/>
    <n v="3"/>
    <n v="2"/>
    <n v="8"/>
    <n v="5"/>
    <n v="3"/>
    <n v="5"/>
    <n v="4"/>
    <n v="1"/>
    <n v="3"/>
  </r>
  <r>
    <n v="42"/>
    <x v="1"/>
    <s v="Travel_Rarely"/>
    <n v="201"/>
    <x v="1"/>
    <n v="1"/>
    <n v="4"/>
    <s v="Life Sciences"/>
    <n v="517"/>
    <n v="2"/>
    <x v="0"/>
    <n v="95"/>
    <n v="3"/>
    <n v="1"/>
    <s v="Laboratory Technician"/>
    <n v="1"/>
    <s v="Divorced"/>
    <n v="2576"/>
    <n v="20490"/>
    <n v="3"/>
    <x v="1"/>
    <n v="16"/>
    <n v="3"/>
    <n v="2"/>
    <n v="1"/>
    <n v="8"/>
    <n v="5"/>
    <n v="3"/>
    <n v="5"/>
    <n v="2"/>
    <n v="1"/>
    <n v="2"/>
  </r>
  <r>
    <n v="37"/>
    <x v="1"/>
    <s v="Travel_Rarely"/>
    <n v="1305"/>
    <x v="1"/>
    <n v="10"/>
    <n v="4"/>
    <s v="Life Sciences"/>
    <n v="518"/>
    <n v="3"/>
    <x v="1"/>
    <n v="49"/>
    <n v="3"/>
    <n v="2"/>
    <s v="Manufacturing Director"/>
    <n v="2"/>
    <s v="Single"/>
    <n v="4197"/>
    <n v="21123"/>
    <n v="2"/>
    <x v="0"/>
    <n v="12"/>
    <n v="3"/>
    <n v="4"/>
    <n v="0"/>
    <n v="18"/>
    <n v="2"/>
    <n v="2"/>
    <n v="1"/>
    <n v="0"/>
    <n v="0"/>
    <n v="1"/>
  </r>
  <r>
    <n v="43"/>
    <x v="1"/>
    <s v="Travel_Rarely"/>
    <n v="982"/>
    <x v="1"/>
    <n v="12"/>
    <n v="3"/>
    <s v="Life Sciences"/>
    <n v="520"/>
    <n v="1"/>
    <x v="1"/>
    <n v="59"/>
    <n v="2"/>
    <n v="4"/>
    <s v="Research Director"/>
    <n v="2"/>
    <s v="Divorced"/>
    <n v="14336"/>
    <n v="4345"/>
    <n v="1"/>
    <x v="1"/>
    <n v="11"/>
    <n v="3"/>
    <n v="3"/>
    <n v="1"/>
    <n v="25"/>
    <n v="3"/>
    <n v="3"/>
    <n v="25"/>
    <n v="10"/>
    <n v="3"/>
    <n v="9"/>
  </r>
  <r>
    <n v="40"/>
    <x v="1"/>
    <s v="Travel_Rarely"/>
    <n v="555"/>
    <x v="1"/>
    <n v="2"/>
    <n v="3"/>
    <s v="Medical"/>
    <n v="521"/>
    <n v="2"/>
    <x v="0"/>
    <n v="78"/>
    <n v="2"/>
    <n v="2"/>
    <s v="Laboratory Technician"/>
    <n v="3"/>
    <s v="Married"/>
    <n v="3448"/>
    <n v="13436"/>
    <n v="6"/>
    <x v="1"/>
    <n v="22"/>
    <n v="4"/>
    <n v="2"/>
    <n v="1"/>
    <n v="20"/>
    <n v="3"/>
    <n v="3"/>
    <n v="1"/>
    <n v="0"/>
    <n v="0"/>
    <n v="0"/>
  </r>
  <r>
    <n v="54"/>
    <x v="1"/>
    <s v="Travel_Rarely"/>
    <n v="821"/>
    <x v="1"/>
    <n v="5"/>
    <n v="2"/>
    <s v="Medical"/>
    <n v="522"/>
    <n v="1"/>
    <x v="1"/>
    <n v="86"/>
    <n v="3"/>
    <n v="5"/>
    <s v="Research Director"/>
    <n v="1"/>
    <s v="Married"/>
    <n v="19406"/>
    <n v="8509"/>
    <n v="4"/>
    <x v="1"/>
    <n v="11"/>
    <n v="3"/>
    <n v="3"/>
    <n v="1"/>
    <n v="24"/>
    <n v="4"/>
    <n v="2"/>
    <n v="4"/>
    <n v="2"/>
    <n v="1"/>
    <n v="2"/>
  </r>
  <r>
    <n v="34"/>
    <x v="1"/>
    <s v="Non-Travel"/>
    <n v="1381"/>
    <x v="0"/>
    <n v="4"/>
    <n v="4"/>
    <s v="Marketing"/>
    <n v="523"/>
    <n v="3"/>
    <x v="0"/>
    <n v="72"/>
    <n v="3"/>
    <n v="2"/>
    <s v="Sales Executive"/>
    <n v="3"/>
    <s v="Married"/>
    <n v="6538"/>
    <n v="12740"/>
    <n v="9"/>
    <x v="1"/>
    <n v="15"/>
    <n v="3"/>
    <n v="1"/>
    <n v="1"/>
    <n v="6"/>
    <n v="3"/>
    <n v="3"/>
    <n v="3"/>
    <n v="2"/>
    <n v="1"/>
    <n v="2"/>
  </r>
  <r>
    <n v="31"/>
    <x v="1"/>
    <s v="Travel_Rarely"/>
    <n v="480"/>
    <x v="1"/>
    <n v="7"/>
    <n v="2"/>
    <s v="Medical"/>
    <n v="524"/>
    <n v="2"/>
    <x v="0"/>
    <n v="31"/>
    <n v="3"/>
    <n v="2"/>
    <s v="Manufacturing Director"/>
    <n v="1"/>
    <s v="Married"/>
    <n v="4306"/>
    <n v="4156"/>
    <n v="1"/>
    <x v="1"/>
    <n v="12"/>
    <n v="3"/>
    <n v="2"/>
    <n v="1"/>
    <n v="13"/>
    <n v="5"/>
    <n v="1"/>
    <n v="13"/>
    <n v="10"/>
    <n v="3"/>
    <n v="12"/>
  </r>
  <r>
    <n v="43"/>
    <x v="1"/>
    <s v="Travel_Frequently"/>
    <n v="313"/>
    <x v="1"/>
    <n v="21"/>
    <n v="3"/>
    <s v="Medical"/>
    <n v="525"/>
    <n v="4"/>
    <x v="1"/>
    <n v="61"/>
    <n v="3"/>
    <n v="1"/>
    <s v="Laboratory Technician"/>
    <n v="4"/>
    <s v="Married"/>
    <n v="2258"/>
    <n v="15238"/>
    <n v="7"/>
    <x v="1"/>
    <n v="20"/>
    <n v="4"/>
    <n v="1"/>
    <n v="1"/>
    <n v="8"/>
    <n v="1"/>
    <n v="3"/>
    <n v="3"/>
    <n v="2"/>
    <n v="1"/>
    <n v="2"/>
  </r>
  <r>
    <n v="43"/>
    <x v="1"/>
    <s v="Travel_Rarely"/>
    <n v="1473"/>
    <x v="1"/>
    <n v="8"/>
    <n v="4"/>
    <s v="Other"/>
    <n v="526"/>
    <n v="3"/>
    <x v="0"/>
    <n v="74"/>
    <n v="3"/>
    <n v="2"/>
    <s v="Healthcare Representative"/>
    <n v="3"/>
    <s v="Divorced"/>
    <n v="4522"/>
    <n v="2227"/>
    <n v="4"/>
    <x v="0"/>
    <n v="14"/>
    <n v="3"/>
    <n v="4"/>
    <n v="0"/>
    <n v="8"/>
    <n v="3"/>
    <n v="3"/>
    <n v="5"/>
    <n v="2"/>
    <n v="0"/>
    <n v="2"/>
  </r>
  <r>
    <n v="25"/>
    <x v="1"/>
    <s v="Travel_Rarely"/>
    <n v="891"/>
    <x v="0"/>
    <n v="4"/>
    <n v="2"/>
    <s v="Life Sciences"/>
    <n v="527"/>
    <n v="2"/>
    <x v="0"/>
    <n v="99"/>
    <n v="2"/>
    <n v="2"/>
    <s v="Sales Executive"/>
    <n v="4"/>
    <s v="Single"/>
    <n v="4487"/>
    <n v="12090"/>
    <n v="1"/>
    <x v="0"/>
    <n v="11"/>
    <n v="3"/>
    <n v="2"/>
    <n v="0"/>
    <n v="5"/>
    <n v="3"/>
    <n v="3"/>
    <n v="5"/>
    <n v="4"/>
    <n v="1"/>
    <n v="3"/>
  </r>
  <r>
    <n v="37"/>
    <x v="1"/>
    <s v="Non-Travel"/>
    <n v="1063"/>
    <x v="1"/>
    <n v="25"/>
    <n v="5"/>
    <s v="Medical"/>
    <n v="529"/>
    <n v="2"/>
    <x v="0"/>
    <n v="72"/>
    <n v="3"/>
    <n v="2"/>
    <s v="Research Scientist"/>
    <n v="3"/>
    <s v="Married"/>
    <n v="4449"/>
    <n v="23866"/>
    <n v="3"/>
    <x v="0"/>
    <n v="15"/>
    <n v="3"/>
    <n v="1"/>
    <n v="2"/>
    <n v="15"/>
    <n v="2"/>
    <n v="3"/>
    <n v="13"/>
    <n v="11"/>
    <n v="10"/>
    <n v="7"/>
  </r>
  <r>
    <n v="31"/>
    <x v="1"/>
    <s v="Travel_Rarely"/>
    <n v="329"/>
    <x v="1"/>
    <n v="1"/>
    <n v="2"/>
    <s v="Life Sciences"/>
    <n v="530"/>
    <n v="4"/>
    <x v="1"/>
    <n v="98"/>
    <n v="2"/>
    <n v="1"/>
    <s v="Laboratory Technician"/>
    <n v="1"/>
    <s v="Married"/>
    <n v="2218"/>
    <n v="16193"/>
    <n v="1"/>
    <x v="1"/>
    <n v="12"/>
    <n v="3"/>
    <n v="3"/>
    <n v="1"/>
    <n v="4"/>
    <n v="3"/>
    <n v="3"/>
    <n v="4"/>
    <n v="2"/>
    <n v="3"/>
    <n v="2"/>
  </r>
  <r>
    <n v="39"/>
    <x v="1"/>
    <s v="Travel_Frequently"/>
    <n v="1218"/>
    <x v="1"/>
    <n v="1"/>
    <n v="1"/>
    <s v="Life Sciences"/>
    <n v="531"/>
    <n v="2"/>
    <x v="1"/>
    <n v="52"/>
    <n v="3"/>
    <n v="5"/>
    <s v="Manager"/>
    <n v="3"/>
    <s v="Divorced"/>
    <n v="19197"/>
    <n v="8213"/>
    <n v="1"/>
    <x v="0"/>
    <n v="14"/>
    <n v="3"/>
    <n v="3"/>
    <n v="1"/>
    <n v="21"/>
    <n v="3"/>
    <n v="3"/>
    <n v="21"/>
    <n v="8"/>
    <n v="1"/>
    <n v="6"/>
  </r>
  <r>
    <n v="56"/>
    <x v="1"/>
    <s v="Travel_Frequently"/>
    <n v="906"/>
    <x v="0"/>
    <n v="6"/>
    <n v="3"/>
    <s v="Life Sciences"/>
    <n v="532"/>
    <n v="3"/>
    <x v="0"/>
    <n v="86"/>
    <n v="4"/>
    <n v="4"/>
    <s v="Sales Executive"/>
    <n v="1"/>
    <s v="Married"/>
    <n v="13212"/>
    <n v="18256"/>
    <n v="9"/>
    <x v="1"/>
    <n v="11"/>
    <n v="3"/>
    <n v="4"/>
    <n v="3"/>
    <n v="36"/>
    <n v="0"/>
    <n v="2"/>
    <n v="7"/>
    <n v="7"/>
    <n v="7"/>
    <n v="7"/>
  </r>
  <r>
    <n v="30"/>
    <x v="1"/>
    <s v="Travel_Rarely"/>
    <n v="1082"/>
    <x v="0"/>
    <n v="12"/>
    <n v="3"/>
    <s v="Technical Degree"/>
    <n v="533"/>
    <n v="2"/>
    <x v="0"/>
    <n v="83"/>
    <n v="3"/>
    <n v="2"/>
    <s v="Sales Executive"/>
    <n v="3"/>
    <s v="Single"/>
    <n v="6577"/>
    <n v="19558"/>
    <n v="0"/>
    <x v="1"/>
    <n v="11"/>
    <n v="3"/>
    <n v="2"/>
    <n v="0"/>
    <n v="6"/>
    <n v="6"/>
    <n v="3"/>
    <n v="5"/>
    <n v="4"/>
    <n v="4"/>
    <n v="4"/>
  </r>
  <r>
    <n v="41"/>
    <x v="1"/>
    <s v="Travel_Rarely"/>
    <n v="645"/>
    <x v="0"/>
    <n v="1"/>
    <n v="3"/>
    <s v="Marketing"/>
    <n v="534"/>
    <n v="2"/>
    <x v="1"/>
    <n v="49"/>
    <n v="4"/>
    <n v="3"/>
    <s v="Sales Executive"/>
    <n v="1"/>
    <s v="Married"/>
    <n v="8392"/>
    <n v="19566"/>
    <n v="1"/>
    <x v="1"/>
    <n v="16"/>
    <n v="3"/>
    <n v="3"/>
    <n v="1"/>
    <n v="10"/>
    <n v="2"/>
    <n v="3"/>
    <n v="10"/>
    <n v="7"/>
    <n v="0"/>
    <n v="7"/>
  </r>
  <r>
    <n v="28"/>
    <x v="1"/>
    <s v="Travel_Rarely"/>
    <n v="1300"/>
    <x v="1"/>
    <n v="17"/>
    <n v="2"/>
    <s v="Medical"/>
    <n v="536"/>
    <n v="3"/>
    <x v="1"/>
    <n v="79"/>
    <n v="3"/>
    <n v="2"/>
    <s v="Laboratory Technician"/>
    <n v="1"/>
    <s v="Divorced"/>
    <n v="4558"/>
    <n v="13535"/>
    <n v="1"/>
    <x v="1"/>
    <n v="12"/>
    <n v="3"/>
    <n v="4"/>
    <n v="1"/>
    <n v="10"/>
    <n v="2"/>
    <n v="3"/>
    <n v="10"/>
    <n v="0"/>
    <n v="1"/>
    <n v="8"/>
  </r>
  <r>
    <n v="25"/>
    <x v="0"/>
    <s v="Travel_Rarely"/>
    <n v="688"/>
    <x v="1"/>
    <n v="3"/>
    <n v="3"/>
    <s v="Medical"/>
    <n v="538"/>
    <n v="1"/>
    <x v="1"/>
    <n v="91"/>
    <n v="3"/>
    <n v="1"/>
    <s v="Laboratory Technician"/>
    <n v="1"/>
    <s v="Married"/>
    <n v="4031"/>
    <n v="9396"/>
    <n v="5"/>
    <x v="1"/>
    <n v="13"/>
    <n v="3"/>
    <n v="3"/>
    <n v="1"/>
    <n v="6"/>
    <n v="5"/>
    <n v="3"/>
    <n v="2"/>
    <n v="2"/>
    <n v="0"/>
    <n v="2"/>
  </r>
  <r>
    <n v="52"/>
    <x v="1"/>
    <s v="Travel_Rarely"/>
    <n v="319"/>
    <x v="1"/>
    <n v="3"/>
    <n v="3"/>
    <s v="Medical"/>
    <n v="543"/>
    <n v="4"/>
    <x v="1"/>
    <n v="39"/>
    <n v="2"/>
    <n v="3"/>
    <s v="Manufacturing Director"/>
    <n v="3"/>
    <s v="Married"/>
    <n v="7969"/>
    <n v="19609"/>
    <n v="2"/>
    <x v="0"/>
    <n v="14"/>
    <n v="3"/>
    <n v="3"/>
    <n v="0"/>
    <n v="28"/>
    <n v="4"/>
    <n v="3"/>
    <n v="5"/>
    <n v="4"/>
    <n v="0"/>
    <n v="4"/>
  </r>
  <r>
    <n v="45"/>
    <x v="1"/>
    <s v="Travel_Rarely"/>
    <n v="192"/>
    <x v="1"/>
    <n v="10"/>
    <n v="2"/>
    <s v="Life Sciences"/>
    <n v="544"/>
    <n v="1"/>
    <x v="1"/>
    <n v="69"/>
    <n v="3"/>
    <n v="1"/>
    <s v="Research Scientist"/>
    <n v="4"/>
    <s v="Married"/>
    <n v="2654"/>
    <n v="9655"/>
    <n v="3"/>
    <x v="1"/>
    <n v="21"/>
    <n v="4"/>
    <n v="4"/>
    <n v="2"/>
    <n v="8"/>
    <n v="3"/>
    <n v="2"/>
    <n v="2"/>
    <n v="2"/>
    <n v="0"/>
    <n v="2"/>
  </r>
  <r>
    <n v="52"/>
    <x v="1"/>
    <s v="Travel_Rarely"/>
    <n v="1490"/>
    <x v="1"/>
    <n v="4"/>
    <n v="2"/>
    <s v="Life Sciences"/>
    <n v="546"/>
    <n v="4"/>
    <x v="0"/>
    <n v="30"/>
    <n v="3"/>
    <n v="4"/>
    <s v="Manager"/>
    <n v="4"/>
    <s v="Married"/>
    <n v="16555"/>
    <n v="10310"/>
    <n v="2"/>
    <x v="1"/>
    <n v="13"/>
    <n v="3"/>
    <n v="4"/>
    <n v="0"/>
    <n v="31"/>
    <n v="2"/>
    <n v="1"/>
    <n v="5"/>
    <n v="2"/>
    <n v="1"/>
    <n v="4"/>
  </r>
  <r>
    <n v="42"/>
    <x v="1"/>
    <s v="Travel_Frequently"/>
    <n v="532"/>
    <x v="1"/>
    <n v="29"/>
    <n v="2"/>
    <s v="Life Sciences"/>
    <n v="547"/>
    <n v="1"/>
    <x v="0"/>
    <n v="92"/>
    <n v="3"/>
    <n v="2"/>
    <s v="Research Scientist"/>
    <n v="3"/>
    <s v="Divorced"/>
    <n v="4556"/>
    <n v="12932"/>
    <n v="2"/>
    <x v="1"/>
    <n v="11"/>
    <n v="3"/>
    <n v="2"/>
    <n v="1"/>
    <n v="19"/>
    <n v="3"/>
    <n v="3"/>
    <n v="5"/>
    <n v="4"/>
    <n v="0"/>
    <n v="2"/>
  </r>
  <r>
    <n v="30"/>
    <x v="1"/>
    <s v="Travel_Rarely"/>
    <n v="317"/>
    <x v="1"/>
    <n v="2"/>
    <n v="3"/>
    <s v="Life Sciences"/>
    <n v="548"/>
    <n v="3"/>
    <x v="0"/>
    <n v="43"/>
    <n v="1"/>
    <n v="2"/>
    <s v="Manufacturing Director"/>
    <n v="4"/>
    <s v="Single"/>
    <n v="6091"/>
    <n v="24793"/>
    <n v="2"/>
    <x v="1"/>
    <n v="20"/>
    <n v="4"/>
    <n v="3"/>
    <n v="0"/>
    <n v="11"/>
    <n v="2"/>
    <n v="3"/>
    <n v="5"/>
    <n v="4"/>
    <n v="0"/>
    <n v="2"/>
  </r>
  <r>
    <n v="60"/>
    <x v="1"/>
    <s v="Travel_Rarely"/>
    <n v="422"/>
    <x v="1"/>
    <n v="7"/>
    <n v="3"/>
    <s v="Life Sciences"/>
    <n v="549"/>
    <n v="1"/>
    <x v="0"/>
    <n v="41"/>
    <n v="3"/>
    <n v="5"/>
    <s v="Manager"/>
    <n v="1"/>
    <s v="Married"/>
    <n v="19566"/>
    <n v="3854"/>
    <n v="5"/>
    <x v="1"/>
    <n v="11"/>
    <n v="3"/>
    <n v="4"/>
    <n v="0"/>
    <n v="33"/>
    <n v="5"/>
    <n v="1"/>
    <n v="29"/>
    <n v="8"/>
    <n v="11"/>
    <n v="10"/>
  </r>
  <r>
    <n v="46"/>
    <x v="1"/>
    <s v="Travel_Rarely"/>
    <n v="1485"/>
    <x v="1"/>
    <n v="18"/>
    <n v="3"/>
    <s v="Medical"/>
    <n v="550"/>
    <n v="3"/>
    <x v="0"/>
    <n v="87"/>
    <n v="3"/>
    <n v="2"/>
    <s v="Manufacturing Director"/>
    <n v="3"/>
    <s v="Divorced"/>
    <n v="4810"/>
    <n v="26314"/>
    <n v="2"/>
    <x v="1"/>
    <n v="14"/>
    <n v="3"/>
    <n v="3"/>
    <n v="1"/>
    <n v="19"/>
    <n v="5"/>
    <n v="2"/>
    <n v="10"/>
    <n v="7"/>
    <n v="0"/>
    <n v="8"/>
  </r>
  <r>
    <n v="42"/>
    <x v="1"/>
    <s v="Travel_Frequently"/>
    <n v="1368"/>
    <x v="1"/>
    <n v="28"/>
    <n v="4"/>
    <s v="Technical Degree"/>
    <n v="551"/>
    <n v="4"/>
    <x v="0"/>
    <n v="88"/>
    <n v="2"/>
    <n v="2"/>
    <s v="Healthcare Representative"/>
    <n v="4"/>
    <s v="Married"/>
    <n v="4523"/>
    <n v="4386"/>
    <n v="0"/>
    <x v="1"/>
    <n v="11"/>
    <n v="3"/>
    <n v="4"/>
    <n v="3"/>
    <n v="7"/>
    <n v="4"/>
    <n v="4"/>
    <n v="6"/>
    <n v="5"/>
    <n v="0"/>
    <n v="4"/>
  </r>
  <r>
    <n v="24"/>
    <x v="0"/>
    <s v="Travel_Rarely"/>
    <n v="1448"/>
    <x v="0"/>
    <n v="1"/>
    <n v="1"/>
    <s v="Technical Degree"/>
    <n v="554"/>
    <n v="1"/>
    <x v="0"/>
    <n v="62"/>
    <n v="3"/>
    <n v="1"/>
    <s v="Sales Representative"/>
    <n v="2"/>
    <s v="Single"/>
    <n v="3202"/>
    <n v="21972"/>
    <n v="1"/>
    <x v="0"/>
    <n v="16"/>
    <n v="3"/>
    <n v="2"/>
    <n v="0"/>
    <n v="6"/>
    <n v="4"/>
    <n v="3"/>
    <n v="5"/>
    <n v="3"/>
    <n v="1"/>
    <n v="4"/>
  </r>
  <r>
    <n v="34"/>
    <x v="0"/>
    <s v="Travel_Frequently"/>
    <n v="296"/>
    <x v="0"/>
    <n v="6"/>
    <n v="2"/>
    <s v="Marketing"/>
    <n v="555"/>
    <n v="4"/>
    <x v="0"/>
    <n v="33"/>
    <n v="1"/>
    <n v="1"/>
    <s v="Sales Representative"/>
    <n v="3"/>
    <s v="Divorced"/>
    <n v="2351"/>
    <n v="12253"/>
    <n v="0"/>
    <x v="1"/>
    <n v="16"/>
    <n v="3"/>
    <n v="4"/>
    <n v="1"/>
    <n v="3"/>
    <n v="3"/>
    <n v="2"/>
    <n v="2"/>
    <n v="2"/>
    <n v="1"/>
    <n v="0"/>
  </r>
  <r>
    <n v="38"/>
    <x v="1"/>
    <s v="Travel_Frequently"/>
    <n v="1490"/>
    <x v="1"/>
    <n v="2"/>
    <n v="2"/>
    <s v="Life Sciences"/>
    <n v="556"/>
    <n v="4"/>
    <x v="1"/>
    <n v="42"/>
    <n v="3"/>
    <n v="1"/>
    <s v="Laboratory Technician"/>
    <n v="4"/>
    <s v="Married"/>
    <n v="1702"/>
    <n v="12106"/>
    <n v="1"/>
    <x v="0"/>
    <n v="23"/>
    <n v="4"/>
    <n v="3"/>
    <n v="1"/>
    <n v="1"/>
    <n v="3"/>
    <n v="3"/>
    <n v="1"/>
    <n v="0"/>
    <n v="0"/>
    <n v="0"/>
  </r>
  <r>
    <n v="40"/>
    <x v="1"/>
    <s v="Travel_Rarely"/>
    <n v="1398"/>
    <x v="0"/>
    <n v="2"/>
    <n v="4"/>
    <s v="Life Sciences"/>
    <n v="558"/>
    <n v="3"/>
    <x v="0"/>
    <n v="79"/>
    <n v="3"/>
    <n v="5"/>
    <s v="Manager"/>
    <n v="3"/>
    <s v="Married"/>
    <n v="18041"/>
    <n v="13022"/>
    <n v="0"/>
    <x v="1"/>
    <n v="14"/>
    <n v="3"/>
    <n v="4"/>
    <n v="0"/>
    <n v="21"/>
    <n v="2"/>
    <n v="3"/>
    <n v="20"/>
    <n v="15"/>
    <n v="1"/>
    <n v="12"/>
  </r>
  <r>
    <n v="26"/>
    <x v="1"/>
    <s v="Travel_Rarely"/>
    <n v="1349"/>
    <x v="1"/>
    <n v="23"/>
    <n v="3"/>
    <s v="Life Sciences"/>
    <n v="560"/>
    <n v="1"/>
    <x v="0"/>
    <n v="90"/>
    <n v="3"/>
    <n v="1"/>
    <s v="Research Scientist"/>
    <n v="4"/>
    <s v="Divorced"/>
    <n v="2886"/>
    <n v="3032"/>
    <n v="1"/>
    <x v="1"/>
    <n v="22"/>
    <n v="4"/>
    <n v="2"/>
    <n v="2"/>
    <n v="3"/>
    <n v="3"/>
    <n v="1"/>
    <n v="3"/>
    <n v="2"/>
    <n v="0"/>
    <n v="2"/>
  </r>
  <r>
    <n v="30"/>
    <x v="1"/>
    <s v="Non-Travel"/>
    <n v="1400"/>
    <x v="1"/>
    <n v="3"/>
    <n v="3"/>
    <s v="Life Sciences"/>
    <n v="562"/>
    <n v="3"/>
    <x v="1"/>
    <n v="53"/>
    <n v="3"/>
    <n v="1"/>
    <s v="Laboratory Technician"/>
    <n v="4"/>
    <s v="Married"/>
    <n v="2097"/>
    <n v="16734"/>
    <n v="4"/>
    <x v="1"/>
    <n v="15"/>
    <n v="3"/>
    <n v="3"/>
    <n v="1"/>
    <n v="9"/>
    <n v="3"/>
    <n v="1"/>
    <n v="5"/>
    <n v="3"/>
    <n v="1"/>
    <n v="4"/>
  </r>
  <r>
    <n v="29"/>
    <x v="1"/>
    <s v="Travel_Rarely"/>
    <n v="986"/>
    <x v="1"/>
    <n v="3"/>
    <n v="4"/>
    <s v="Medical"/>
    <n v="564"/>
    <n v="2"/>
    <x v="1"/>
    <n v="93"/>
    <n v="2"/>
    <n v="3"/>
    <s v="Research Director"/>
    <n v="3"/>
    <s v="Married"/>
    <n v="11935"/>
    <n v="21526"/>
    <n v="1"/>
    <x v="1"/>
    <n v="18"/>
    <n v="3"/>
    <n v="3"/>
    <n v="0"/>
    <n v="10"/>
    <n v="2"/>
    <n v="3"/>
    <n v="10"/>
    <n v="2"/>
    <n v="0"/>
    <n v="7"/>
  </r>
  <r>
    <n v="29"/>
    <x v="0"/>
    <s v="Travel_Rarely"/>
    <n v="408"/>
    <x v="1"/>
    <n v="25"/>
    <n v="5"/>
    <s v="Technical Degree"/>
    <n v="565"/>
    <n v="3"/>
    <x v="0"/>
    <n v="71"/>
    <n v="2"/>
    <n v="1"/>
    <s v="Research Scientist"/>
    <n v="2"/>
    <s v="Married"/>
    <n v="2546"/>
    <n v="18300"/>
    <n v="5"/>
    <x v="1"/>
    <n v="16"/>
    <n v="3"/>
    <n v="2"/>
    <n v="0"/>
    <n v="6"/>
    <n v="2"/>
    <n v="4"/>
    <n v="2"/>
    <n v="2"/>
    <n v="1"/>
    <n v="1"/>
  </r>
  <r>
    <n v="19"/>
    <x v="0"/>
    <s v="Travel_Rarely"/>
    <n v="489"/>
    <x v="2"/>
    <n v="2"/>
    <n v="2"/>
    <s v="Technical Degree"/>
    <n v="566"/>
    <n v="1"/>
    <x v="1"/>
    <n v="52"/>
    <n v="2"/>
    <n v="1"/>
    <s v="Human Resources"/>
    <n v="4"/>
    <s v="Single"/>
    <n v="2564"/>
    <n v="18437"/>
    <n v="1"/>
    <x v="1"/>
    <n v="12"/>
    <n v="3"/>
    <n v="3"/>
    <n v="0"/>
    <n v="1"/>
    <n v="3"/>
    <n v="4"/>
    <n v="1"/>
    <n v="0"/>
    <n v="0"/>
    <n v="0"/>
  </r>
  <r>
    <n v="30"/>
    <x v="1"/>
    <s v="Non-Travel"/>
    <n v="1398"/>
    <x v="0"/>
    <n v="22"/>
    <n v="4"/>
    <s v="Other"/>
    <n v="567"/>
    <n v="3"/>
    <x v="0"/>
    <n v="69"/>
    <n v="3"/>
    <n v="3"/>
    <s v="Sales Executive"/>
    <n v="1"/>
    <s v="Married"/>
    <n v="8412"/>
    <n v="2890"/>
    <n v="0"/>
    <x v="1"/>
    <n v="11"/>
    <n v="3"/>
    <n v="3"/>
    <n v="0"/>
    <n v="10"/>
    <n v="3"/>
    <n v="3"/>
    <n v="9"/>
    <n v="8"/>
    <n v="7"/>
    <n v="8"/>
  </r>
  <r>
    <n v="57"/>
    <x v="1"/>
    <s v="Travel_Rarely"/>
    <n v="210"/>
    <x v="0"/>
    <n v="29"/>
    <n v="3"/>
    <s v="Marketing"/>
    <n v="568"/>
    <n v="1"/>
    <x v="1"/>
    <n v="56"/>
    <n v="2"/>
    <n v="4"/>
    <s v="Manager"/>
    <n v="4"/>
    <s v="Divorced"/>
    <n v="14118"/>
    <n v="22102"/>
    <n v="3"/>
    <x v="1"/>
    <n v="12"/>
    <n v="3"/>
    <n v="3"/>
    <n v="1"/>
    <n v="32"/>
    <n v="3"/>
    <n v="2"/>
    <n v="1"/>
    <n v="0"/>
    <n v="0"/>
    <n v="0"/>
  </r>
  <r>
    <n v="50"/>
    <x v="1"/>
    <s v="Travel_Rarely"/>
    <n v="1099"/>
    <x v="1"/>
    <n v="29"/>
    <n v="4"/>
    <s v="Life Sciences"/>
    <n v="569"/>
    <n v="2"/>
    <x v="1"/>
    <n v="88"/>
    <n v="2"/>
    <n v="4"/>
    <s v="Manager"/>
    <n v="3"/>
    <s v="Married"/>
    <n v="17046"/>
    <n v="9314"/>
    <n v="0"/>
    <x v="1"/>
    <n v="15"/>
    <n v="3"/>
    <n v="2"/>
    <n v="1"/>
    <n v="28"/>
    <n v="2"/>
    <n v="3"/>
    <n v="27"/>
    <n v="10"/>
    <n v="15"/>
    <n v="7"/>
  </r>
  <r>
    <n v="30"/>
    <x v="1"/>
    <s v="Non-Travel"/>
    <n v="1116"/>
    <x v="1"/>
    <n v="2"/>
    <n v="3"/>
    <s v="Medical"/>
    <n v="571"/>
    <n v="3"/>
    <x v="0"/>
    <n v="49"/>
    <n v="3"/>
    <n v="1"/>
    <s v="Laboratory Technician"/>
    <n v="4"/>
    <s v="Single"/>
    <n v="2564"/>
    <n v="7181"/>
    <n v="0"/>
    <x v="1"/>
    <n v="14"/>
    <n v="3"/>
    <n v="3"/>
    <n v="0"/>
    <n v="12"/>
    <n v="2"/>
    <n v="2"/>
    <n v="11"/>
    <n v="7"/>
    <n v="6"/>
    <n v="7"/>
  </r>
  <r>
    <n v="60"/>
    <x v="1"/>
    <s v="Travel_Frequently"/>
    <n v="1499"/>
    <x v="0"/>
    <n v="28"/>
    <n v="3"/>
    <s v="Marketing"/>
    <n v="573"/>
    <n v="3"/>
    <x v="0"/>
    <n v="80"/>
    <n v="2"/>
    <n v="3"/>
    <s v="Sales Executive"/>
    <n v="1"/>
    <s v="Married"/>
    <n v="10266"/>
    <n v="2845"/>
    <n v="4"/>
    <x v="1"/>
    <n v="19"/>
    <n v="3"/>
    <n v="4"/>
    <n v="0"/>
    <n v="22"/>
    <n v="5"/>
    <n v="4"/>
    <n v="18"/>
    <n v="13"/>
    <n v="13"/>
    <n v="11"/>
  </r>
  <r>
    <n v="47"/>
    <x v="1"/>
    <s v="Travel_Rarely"/>
    <n v="983"/>
    <x v="1"/>
    <n v="2"/>
    <n v="2"/>
    <s v="Medical"/>
    <n v="574"/>
    <n v="1"/>
    <x v="0"/>
    <n v="65"/>
    <n v="3"/>
    <n v="2"/>
    <s v="Manufacturing Director"/>
    <n v="4"/>
    <s v="Divorced"/>
    <n v="5070"/>
    <n v="7389"/>
    <n v="5"/>
    <x v="1"/>
    <n v="13"/>
    <n v="3"/>
    <n v="3"/>
    <n v="3"/>
    <n v="20"/>
    <n v="2"/>
    <n v="3"/>
    <n v="5"/>
    <n v="0"/>
    <n v="0"/>
    <n v="4"/>
  </r>
  <r>
    <n v="46"/>
    <x v="1"/>
    <s v="Travel_Rarely"/>
    <n v="1009"/>
    <x v="1"/>
    <n v="2"/>
    <n v="3"/>
    <s v="Life Sciences"/>
    <n v="575"/>
    <n v="1"/>
    <x v="1"/>
    <n v="51"/>
    <n v="3"/>
    <n v="4"/>
    <s v="Research Director"/>
    <n v="3"/>
    <s v="Married"/>
    <n v="17861"/>
    <n v="2288"/>
    <n v="6"/>
    <x v="1"/>
    <n v="13"/>
    <n v="3"/>
    <n v="3"/>
    <n v="0"/>
    <n v="26"/>
    <n v="2"/>
    <n v="1"/>
    <n v="3"/>
    <n v="2"/>
    <n v="0"/>
    <n v="1"/>
  </r>
  <r>
    <n v="35"/>
    <x v="1"/>
    <s v="Travel_Rarely"/>
    <n v="144"/>
    <x v="1"/>
    <n v="22"/>
    <n v="3"/>
    <s v="Life Sciences"/>
    <n v="577"/>
    <n v="4"/>
    <x v="1"/>
    <n v="46"/>
    <n v="1"/>
    <n v="1"/>
    <s v="Laboratory Technician"/>
    <n v="3"/>
    <s v="Single"/>
    <n v="4230"/>
    <n v="19225"/>
    <n v="0"/>
    <x v="1"/>
    <n v="15"/>
    <n v="3"/>
    <n v="3"/>
    <n v="0"/>
    <n v="6"/>
    <n v="2"/>
    <n v="3"/>
    <n v="5"/>
    <n v="4"/>
    <n v="4"/>
    <n v="3"/>
  </r>
  <r>
    <n v="54"/>
    <x v="1"/>
    <s v="Travel_Rarely"/>
    <n v="548"/>
    <x v="1"/>
    <n v="8"/>
    <n v="4"/>
    <s v="Life Sciences"/>
    <n v="578"/>
    <n v="3"/>
    <x v="0"/>
    <n v="42"/>
    <n v="3"/>
    <n v="2"/>
    <s v="Laboratory Technician"/>
    <n v="3"/>
    <s v="Single"/>
    <n v="3780"/>
    <n v="23428"/>
    <n v="7"/>
    <x v="1"/>
    <n v="11"/>
    <n v="3"/>
    <n v="3"/>
    <n v="0"/>
    <n v="19"/>
    <n v="3"/>
    <n v="3"/>
    <n v="1"/>
    <n v="0"/>
    <n v="0"/>
    <n v="0"/>
  </r>
  <r>
    <n v="34"/>
    <x v="1"/>
    <s v="Travel_Rarely"/>
    <n v="1303"/>
    <x v="1"/>
    <n v="2"/>
    <n v="4"/>
    <s v="Life Sciences"/>
    <n v="579"/>
    <n v="4"/>
    <x v="1"/>
    <n v="62"/>
    <n v="2"/>
    <n v="1"/>
    <s v="Research Scientist"/>
    <n v="3"/>
    <s v="Divorced"/>
    <n v="2768"/>
    <n v="8416"/>
    <n v="3"/>
    <x v="1"/>
    <n v="12"/>
    <n v="3"/>
    <n v="3"/>
    <n v="1"/>
    <n v="14"/>
    <n v="3"/>
    <n v="3"/>
    <n v="7"/>
    <n v="3"/>
    <n v="5"/>
    <n v="7"/>
  </r>
  <r>
    <n v="46"/>
    <x v="1"/>
    <s v="Travel_Rarely"/>
    <n v="1125"/>
    <x v="0"/>
    <n v="10"/>
    <n v="3"/>
    <s v="Marketing"/>
    <n v="580"/>
    <n v="3"/>
    <x v="0"/>
    <n v="94"/>
    <n v="2"/>
    <n v="3"/>
    <s v="Sales Executive"/>
    <n v="4"/>
    <s v="Married"/>
    <n v="9071"/>
    <n v="11563"/>
    <n v="2"/>
    <x v="0"/>
    <n v="19"/>
    <n v="3"/>
    <n v="3"/>
    <n v="1"/>
    <n v="15"/>
    <n v="3"/>
    <n v="3"/>
    <n v="3"/>
    <n v="2"/>
    <n v="1"/>
    <n v="2"/>
  </r>
  <r>
    <n v="31"/>
    <x v="1"/>
    <s v="Travel_Rarely"/>
    <n v="1274"/>
    <x v="1"/>
    <n v="9"/>
    <n v="1"/>
    <s v="Life Sciences"/>
    <n v="581"/>
    <n v="3"/>
    <x v="1"/>
    <n v="33"/>
    <n v="3"/>
    <n v="3"/>
    <s v="Manufacturing Director"/>
    <n v="2"/>
    <s v="Divorced"/>
    <n v="10648"/>
    <n v="14394"/>
    <n v="1"/>
    <x v="1"/>
    <n v="25"/>
    <n v="4"/>
    <n v="4"/>
    <n v="1"/>
    <n v="13"/>
    <n v="6"/>
    <n v="4"/>
    <n v="13"/>
    <n v="8"/>
    <n v="0"/>
    <n v="8"/>
  </r>
  <r>
    <n v="33"/>
    <x v="0"/>
    <s v="Travel_Rarely"/>
    <n v="1277"/>
    <x v="1"/>
    <n v="15"/>
    <n v="1"/>
    <s v="Medical"/>
    <n v="582"/>
    <n v="2"/>
    <x v="1"/>
    <n v="56"/>
    <n v="3"/>
    <n v="3"/>
    <s v="Manager"/>
    <n v="3"/>
    <s v="Married"/>
    <n v="13610"/>
    <n v="24619"/>
    <n v="7"/>
    <x v="0"/>
    <n v="12"/>
    <n v="3"/>
    <n v="4"/>
    <n v="0"/>
    <n v="15"/>
    <n v="2"/>
    <n v="4"/>
    <n v="7"/>
    <n v="6"/>
    <n v="7"/>
    <n v="7"/>
  </r>
  <r>
    <n v="33"/>
    <x v="0"/>
    <s v="Travel_Rarely"/>
    <n v="587"/>
    <x v="1"/>
    <n v="10"/>
    <n v="1"/>
    <s v="Medical"/>
    <n v="584"/>
    <n v="1"/>
    <x v="1"/>
    <n v="38"/>
    <n v="1"/>
    <n v="1"/>
    <s v="Laboratory Technician"/>
    <n v="4"/>
    <s v="Divorced"/>
    <n v="3408"/>
    <n v="6705"/>
    <n v="7"/>
    <x v="1"/>
    <n v="13"/>
    <n v="3"/>
    <n v="1"/>
    <n v="3"/>
    <n v="8"/>
    <n v="2"/>
    <n v="3"/>
    <n v="4"/>
    <n v="3"/>
    <n v="1"/>
    <n v="3"/>
  </r>
  <r>
    <n v="30"/>
    <x v="1"/>
    <s v="Travel_Rarely"/>
    <n v="413"/>
    <x v="0"/>
    <n v="7"/>
    <n v="1"/>
    <s v="Marketing"/>
    <n v="585"/>
    <n v="4"/>
    <x v="1"/>
    <n v="57"/>
    <n v="3"/>
    <n v="1"/>
    <s v="Sales Representative"/>
    <n v="2"/>
    <s v="Single"/>
    <n v="2983"/>
    <n v="18398"/>
    <n v="0"/>
    <x v="1"/>
    <n v="14"/>
    <n v="3"/>
    <n v="1"/>
    <n v="0"/>
    <n v="4"/>
    <n v="3"/>
    <n v="3"/>
    <n v="3"/>
    <n v="2"/>
    <n v="1"/>
    <n v="2"/>
  </r>
  <r>
    <n v="35"/>
    <x v="1"/>
    <s v="Travel_Rarely"/>
    <n v="1276"/>
    <x v="1"/>
    <n v="16"/>
    <n v="3"/>
    <s v="Life Sciences"/>
    <n v="586"/>
    <n v="4"/>
    <x v="1"/>
    <n v="72"/>
    <n v="3"/>
    <n v="3"/>
    <s v="Healthcare Representative"/>
    <n v="3"/>
    <s v="Married"/>
    <n v="7632"/>
    <n v="14295"/>
    <n v="4"/>
    <x v="0"/>
    <n v="12"/>
    <n v="3"/>
    <n v="3"/>
    <n v="0"/>
    <n v="10"/>
    <n v="2"/>
    <n v="3"/>
    <n v="8"/>
    <n v="7"/>
    <n v="0"/>
    <n v="0"/>
  </r>
  <r>
    <n v="31"/>
    <x v="0"/>
    <s v="Travel_Frequently"/>
    <n v="534"/>
    <x v="1"/>
    <n v="20"/>
    <n v="3"/>
    <s v="Life Sciences"/>
    <n v="587"/>
    <n v="1"/>
    <x v="1"/>
    <n v="66"/>
    <n v="3"/>
    <n v="3"/>
    <s v="Healthcare Representative"/>
    <n v="3"/>
    <s v="Married"/>
    <n v="9824"/>
    <n v="22908"/>
    <n v="3"/>
    <x v="1"/>
    <n v="12"/>
    <n v="3"/>
    <n v="1"/>
    <n v="0"/>
    <n v="12"/>
    <n v="2"/>
    <n v="3"/>
    <n v="1"/>
    <n v="0"/>
    <n v="0"/>
    <n v="0"/>
  </r>
  <r>
    <n v="34"/>
    <x v="0"/>
    <s v="Travel_Frequently"/>
    <n v="988"/>
    <x v="2"/>
    <n v="23"/>
    <n v="3"/>
    <s v="Human Resources"/>
    <n v="590"/>
    <n v="2"/>
    <x v="0"/>
    <n v="43"/>
    <n v="3"/>
    <n v="3"/>
    <s v="Human Resources"/>
    <n v="1"/>
    <s v="Divorced"/>
    <n v="9950"/>
    <n v="11533"/>
    <n v="9"/>
    <x v="0"/>
    <n v="15"/>
    <n v="3"/>
    <n v="3"/>
    <n v="3"/>
    <n v="11"/>
    <n v="2"/>
    <n v="3"/>
    <n v="3"/>
    <n v="2"/>
    <n v="0"/>
    <n v="2"/>
  </r>
  <r>
    <n v="42"/>
    <x v="1"/>
    <s v="Travel_Frequently"/>
    <n v="1474"/>
    <x v="1"/>
    <n v="5"/>
    <n v="2"/>
    <s v="Other"/>
    <n v="591"/>
    <n v="2"/>
    <x v="1"/>
    <n v="97"/>
    <n v="3"/>
    <n v="1"/>
    <s v="Laboratory Technician"/>
    <n v="3"/>
    <s v="Married"/>
    <n v="2093"/>
    <n v="9260"/>
    <n v="4"/>
    <x v="1"/>
    <n v="17"/>
    <n v="3"/>
    <n v="4"/>
    <n v="1"/>
    <n v="8"/>
    <n v="4"/>
    <n v="3"/>
    <n v="2"/>
    <n v="2"/>
    <n v="2"/>
    <n v="0"/>
  </r>
  <r>
    <n v="36"/>
    <x v="1"/>
    <s v="Non-Travel"/>
    <n v="635"/>
    <x v="0"/>
    <n v="10"/>
    <n v="4"/>
    <s v="Medical"/>
    <n v="592"/>
    <n v="2"/>
    <x v="1"/>
    <n v="32"/>
    <n v="3"/>
    <n v="3"/>
    <s v="Sales Executive"/>
    <n v="4"/>
    <s v="Single"/>
    <n v="9980"/>
    <n v="15318"/>
    <n v="1"/>
    <x v="1"/>
    <n v="14"/>
    <n v="3"/>
    <n v="4"/>
    <n v="0"/>
    <n v="10"/>
    <n v="3"/>
    <n v="2"/>
    <n v="10"/>
    <n v="3"/>
    <n v="9"/>
    <n v="7"/>
  </r>
  <r>
    <n v="22"/>
    <x v="0"/>
    <s v="Travel_Frequently"/>
    <n v="1368"/>
    <x v="1"/>
    <n v="4"/>
    <n v="1"/>
    <s v="Technical Degree"/>
    <n v="593"/>
    <n v="3"/>
    <x v="1"/>
    <n v="99"/>
    <n v="2"/>
    <n v="1"/>
    <s v="Laboratory Technician"/>
    <n v="3"/>
    <s v="Single"/>
    <n v="3894"/>
    <n v="9129"/>
    <n v="5"/>
    <x v="1"/>
    <n v="16"/>
    <n v="3"/>
    <n v="3"/>
    <n v="0"/>
    <n v="4"/>
    <n v="3"/>
    <n v="3"/>
    <n v="2"/>
    <n v="2"/>
    <n v="1"/>
    <n v="2"/>
  </r>
  <r>
    <n v="48"/>
    <x v="1"/>
    <s v="Travel_Rarely"/>
    <n v="163"/>
    <x v="0"/>
    <n v="2"/>
    <n v="5"/>
    <s v="Marketing"/>
    <n v="595"/>
    <n v="2"/>
    <x v="0"/>
    <n v="37"/>
    <n v="3"/>
    <n v="2"/>
    <s v="Sales Executive"/>
    <n v="4"/>
    <s v="Married"/>
    <n v="4051"/>
    <n v="19658"/>
    <n v="2"/>
    <x v="1"/>
    <n v="14"/>
    <n v="3"/>
    <n v="1"/>
    <n v="1"/>
    <n v="14"/>
    <n v="2"/>
    <n v="3"/>
    <n v="9"/>
    <n v="7"/>
    <n v="6"/>
    <n v="7"/>
  </r>
  <r>
    <n v="55"/>
    <x v="1"/>
    <s v="Travel_Rarely"/>
    <n v="1117"/>
    <x v="0"/>
    <n v="18"/>
    <n v="5"/>
    <s v="Life Sciences"/>
    <n v="597"/>
    <n v="1"/>
    <x v="0"/>
    <n v="83"/>
    <n v="3"/>
    <n v="4"/>
    <s v="Manager"/>
    <n v="2"/>
    <s v="Single"/>
    <n v="16835"/>
    <n v="9873"/>
    <n v="3"/>
    <x v="1"/>
    <n v="23"/>
    <n v="4"/>
    <n v="4"/>
    <n v="0"/>
    <n v="37"/>
    <n v="2"/>
    <n v="3"/>
    <n v="10"/>
    <n v="9"/>
    <n v="7"/>
    <n v="7"/>
  </r>
  <r>
    <n v="41"/>
    <x v="1"/>
    <s v="Non-Travel"/>
    <n v="267"/>
    <x v="0"/>
    <n v="10"/>
    <n v="2"/>
    <s v="Life Sciences"/>
    <n v="599"/>
    <n v="4"/>
    <x v="1"/>
    <n v="56"/>
    <n v="3"/>
    <n v="2"/>
    <s v="Sales Executive"/>
    <n v="4"/>
    <s v="Single"/>
    <n v="6230"/>
    <n v="13430"/>
    <n v="7"/>
    <x v="1"/>
    <n v="14"/>
    <n v="3"/>
    <n v="4"/>
    <n v="0"/>
    <n v="16"/>
    <n v="3"/>
    <n v="3"/>
    <n v="14"/>
    <n v="3"/>
    <n v="1"/>
    <n v="10"/>
  </r>
  <r>
    <n v="35"/>
    <x v="1"/>
    <s v="Travel_Rarely"/>
    <n v="619"/>
    <x v="0"/>
    <n v="1"/>
    <n v="3"/>
    <s v="Marketing"/>
    <n v="600"/>
    <n v="2"/>
    <x v="1"/>
    <n v="85"/>
    <n v="3"/>
    <n v="2"/>
    <s v="Sales Executive"/>
    <n v="3"/>
    <s v="Married"/>
    <n v="4717"/>
    <n v="18659"/>
    <n v="9"/>
    <x v="1"/>
    <n v="11"/>
    <n v="3"/>
    <n v="3"/>
    <n v="0"/>
    <n v="15"/>
    <n v="2"/>
    <n v="3"/>
    <n v="11"/>
    <n v="9"/>
    <n v="6"/>
    <n v="9"/>
  </r>
  <r>
    <n v="40"/>
    <x v="1"/>
    <s v="Travel_Rarely"/>
    <n v="302"/>
    <x v="1"/>
    <n v="6"/>
    <n v="3"/>
    <s v="Life Sciences"/>
    <n v="601"/>
    <n v="2"/>
    <x v="0"/>
    <n v="75"/>
    <n v="3"/>
    <n v="4"/>
    <s v="Manufacturing Director"/>
    <n v="3"/>
    <s v="Single"/>
    <n v="13237"/>
    <n v="20364"/>
    <n v="7"/>
    <x v="1"/>
    <n v="15"/>
    <n v="3"/>
    <n v="3"/>
    <n v="0"/>
    <n v="22"/>
    <n v="3"/>
    <n v="3"/>
    <n v="20"/>
    <n v="6"/>
    <n v="5"/>
    <n v="13"/>
  </r>
  <r>
    <n v="39"/>
    <x v="1"/>
    <s v="Travel_Frequently"/>
    <n v="443"/>
    <x v="1"/>
    <n v="8"/>
    <n v="1"/>
    <s v="Life Sciences"/>
    <n v="602"/>
    <n v="3"/>
    <x v="0"/>
    <n v="48"/>
    <n v="3"/>
    <n v="1"/>
    <s v="Laboratory Technician"/>
    <n v="3"/>
    <s v="Married"/>
    <n v="3755"/>
    <n v="17872"/>
    <n v="1"/>
    <x v="1"/>
    <n v="11"/>
    <n v="3"/>
    <n v="1"/>
    <n v="1"/>
    <n v="8"/>
    <n v="3"/>
    <n v="3"/>
    <n v="8"/>
    <n v="3"/>
    <n v="0"/>
    <n v="7"/>
  </r>
  <r>
    <n v="31"/>
    <x v="1"/>
    <s v="Travel_Rarely"/>
    <n v="828"/>
    <x v="0"/>
    <n v="2"/>
    <n v="1"/>
    <s v="Life Sciences"/>
    <n v="604"/>
    <n v="2"/>
    <x v="1"/>
    <n v="77"/>
    <n v="3"/>
    <n v="2"/>
    <s v="Sales Executive"/>
    <n v="4"/>
    <s v="Single"/>
    <n v="6582"/>
    <n v="8346"/>
    <n v="4"/>
    <x v="0"/>
    <n v="13"/>
    <n v="3"/>
    <n v="3"/>
    <n v="0"/>
    <n v="10"/>
    <n v="2"/>
    <n v="4"/>
    <n v="6"/>
    <n v="5"/>
    <n v="0"/>
    <n v="5"/>
  </r>
  <r>
    <n v="42"/>
    <x v="1"/>
    <s v="Travel_Rarely"/>
    <n v="319"/>
    <x v="1"/>
    <n v="24"/>
    <n v="3"/>
    <s v="Medical"/>
    <n v="605"/>
    <n v="4"/>
    <x v="1"/>
    <n v="56"/>
    <n v="3"/>
    <n v="3"/>
    <s v="Manufacturing Director"/>
    <n v="1"/>
    <s v="Married"/>
    <n v="7406"/>
    <n v="6950"/>
    <n v="1"/>
    <x v="0"/>
    <n v="21"/>
    <n v="4"/>
    <n v="4"/>
    <n v="1"/>
    <n v="10"/>
    <n v="5"/>
    <n v="2"/>
    <n v="10"/>
    <n v="9"/>
    <n v="5"/>
    <n v="8"/>
  </r>
  <r>
    <n v="45"/>
    <x v="1"/>
    <s v="Travel_Rarely"/>
    <n v="561"/>
    <x v="0"/>
    <n v="2"/>
    <n v="3"/>
    <s v="Other"/>
    <n v="606"/>
    <n v="4"/>
    <x v="1"/>
    <n v="61"/>
    <n v="3"/>
    <n v="2"/>
    <s v="Sales Executive"/>
    <n v="2"/>
    <s v="Married"/>
    <n v="4805"/>
    <n v="16177"/>
    <n v="0"/>
    <x v="1"/>
    <n v="19"/>
    <n v="3"/>
    <n v="2"/>
    <n v="1"/>
    <n v="9"/>
    <n v="3"/>
    <n v="4"/>
    <n v="8"/>
    <n v="7"/>
    <n v="3"/>
    <n v="7"/>
  </r>
  <r>
    <n v="26"/>
    <x v="0"/>
    <s v="Travel_Frequently"/>
    <n v="426"/>
    <x v="2"/>
    <n v="17"/>
    <n v="4"/>
    <s v="Life Sciences"/>
    <n v="608"/>
    <n v="2"/>
    <x v="0"/>
    <n v="58"/>
    <n v="3"/>
    <n v="1"/>
    <s v="Human Resources"/>
    <n v="3"/>
    <s v="Divorced"/>
    <n v="2741"/>
    <n v="22808"/>
    <n v="0"/>
    <x v="0"/>
    <n v="11"/>
    <n v="3"/>
    <n v="2"/>
    <n v="1"/>
    <n v="8"/>
    <n v="2"/>
    <n v="2"/>
    <n v="7"/>
    <n v="7"/>
    <n v="1"/>
    <n v="0"/>
  </r>
  <r>
    <n v="29"/>
    <x v="1"/>
    <s v="Travel_Rarely"/>
    <n v="232"/>
    <x v="1"/>
    <n v="19"/>
    <n v="3"/>
    <s v="Technical Degree"/>
    <n v="611"/>
    <n v="4"/>
    <x v="1"/>
    <n v="34"/>
    <n v="3"/>
    <n v="2"/>
    <s v="Manufacturing Director"/>
    <n v="4"/>
    <s v="Divorced"/>
    <n v="4262"/>
    <n v="22645"/>
    <n v="4"/>
    <x v="1"/>
    <n v="12"/>
    <n v="3"/>
    <n v="2"/>
    <n v="2"/>
    <n v="8"/>
    <n v="2"/>
    <n v="4"/>
    <n v="3"/>
    <n v="2"/>
    <n v="1"/>
    <n v="2"/>
  </r>
  <r>
    <n v="33"/>
    <x v="1"/>
    <s v="Travel_Rarely"/>
    <n v="922"/>
    <x v="1"/>
    <n v="1"/>
    <n v="5"/>
    <s v="Medical"/>
    <n v="612"/>
    <n v="1"/>
    <x v="0"/>
    <n v="95"/>
    <n v="4"/>
    <n v="4"/>
    <s v="Research Director"/>
    <n v="3"/>
    <s v="Divorced"/>
    <n v="16184"/>
    <n v="22578"/>
    <n v="4"/>
    <x v="1"/>
    <n v="19"/>
    <n v="3"/>
    <n v="3"/>
    <n v="1"/>
    <n v="10"/>
    <n v="2"/>
    <n v="3"/>
    <n v="6"/>
    <n v="1"/>
    <n v="0"/>
    <n v="5"/>
  </r>
  <r>
    <n v="31"/>
    <x v="1"/>
    <s v="Travel_Rarely"/>
    <n v="688"/>
    <x v="0"/>
    <n v="7"/>
    <n v="3"/>
    <s v="Life Sciences"/>
    <n v="613"/>
    <n v="3"/>
    <x v="1"/>
    <n v="44"/>
    <n v="2"/>
    <n v="3"/>
    <s v="Manager"/>
    <n v="4"/>
    <s v="Divorced"/>
    <n v="11557"/>
    <n v="25291"/>
    <n v="9"/>
    <x v="1"/>
    <n v="21"/>
    <n v="4"/>
    <n v="3"/>
    <n v="1"/>
    <n v="10"/>
    <n v="3"/>
    <n v="2"/>
    <n v="5"/>
    <n v="4"/>
    <n v="0"/>
    <n v="1"/>
  </r>
  <r>
    <n v="18"/>
    <x v="0"/>
    <s v="Travel_Frequently"/>
    <n v="1306"/>
    <x v="0"/>
    <n v="5"/>
    <n v="3"/>
    <s v="Marketing"/>
    <n v="614"/>
    <n v="2"/>
    <x v="1"/>
    <n v="69"/>
    <n v="3"/>
    <n v="1"/>
    <s v="Sales Representative"/>
    <n v="2"/>
    <s v="Single"/>
    <n v="1878"/>
    <n v="8059"/>
    <n v="1"/>
    <x v="0"/>
    <n v="14"/>
    <n v="3"/>
    <n v="4"/>
    <n v="0"/>
    <n v="0"/>
    <n v="3"/>
    <n v="3"/>
    <n v="0"/>
    <n v="0"/>
    <n v="0"/>
    <n v="0"/>
  </r>
  <r>
    <n v="40"/>
    <x v="1"/>
    <s v="Non-Travel"/>
    <n v="1094"/>
    <x v="0"/>
    <n v="28"/>
    <n v="3"/>
    <s v="Other"/>
    <n v="615"/>
    <n v="3"/>
    <x v="1"/>
    <n v="58"/>
    <n v="1"/>
    <n v="3"/>
    <s v="Sales Executive"/>
    <n v="1"/>
    <s v="Divorced"/>
    <n v="10932"/>
    <n v="11373"/>
    <n v="3"/>
    <x v="1"/>
    <n v="15"/>
    <n v="3"/>
    <n v="3"/>
    <n v="1"/>
    <n v="20"/>
    <n v="2"/>
    <n v="3"/>
    <n v="1"/>
    <n v="0"/>
    <n v="0"/>
    <n v="1"/>
  </r>
  <r>
    <n v="41"/>
    <x v="1"/>
    <s v="Non-Travel"/>
    <n v="509"/>
    <x v="1"/>
    <n v="2"/>
    <n v="4"/>
    <s v="Other"/>
    <n v="616"/>
    <n v="1"/>
    <x v="0"/>
    <n v="62"/>
    <n v="2"/>
    <n v="2"/>
    <s v="Healthcare Representative"/>
    <n v="3"/>
    <s v="Single"/>
    <n v="6811"/>
    <n v="2112"/>
    <n v="2"/>
    <x v="0"/>
    <n v="17"/>
    <n v="3"/>
    <n v="1"/>
    <n v="0"/>
    <n v="10"/>
    <n v="3"/>
    <n v="3"/>
    <n v="8"/>
    <n v="7"/>
    <n v="0"/>
    <n v="7"/>
  </r>
  <r>
    <n v="26"/>
    <x v="1"/>
    <s v="Travel_Rarely"/>
    <n v="775"/>
    <x v="0"/>
    <n v="29"/>
    <n v="2"/>
    <s v="Medical"/>
    <n v="618"/>
    <n v="1"/>
    <x v="1"/>
    <n v="45"/>
    <n v="3"/>
    <n v="2"/>
    <s v="Sales Executive"/>
    <n v="3"/>
    <s v="Divorced"/>
    <n v="4306"/>
    <n v="4267"/>
    <n v="5"/>
    <x v="1"/>
    <n v="12"/>
    <n v="3"/>
    <n v="1"/>
    <n v="2"/>
    <n v="8"/>
    <n v="5"/>
    <n v="3"/>
    <n v="0"/>
    <n v="0"/>
    <n v="0"/>
    <n v="0"/>
  </r>
  <r>
    <n v="35"/>
    <x v="1"/>
    <s v="Travel_Rarely"/>
    <n v="195"/>
    <x v="0"/>
    <n v="1"/>
    <n v="3"/>
    <s v="Medical"/>
    <n v="620"/>
    <n v="1"/>
    <x v="0"/>
    <n v="80"/>
    <n v="3"/>
    <n v="2"/>
    <s v="Sales Executive"/>
    <n v="3"/>
    <s v="Single"/>
    <n v="4859"/>
    <n v="6698"/>
    <n v="1"/>
    <x v="1"/>
    <n v="16"/>
    <n v="3"/>
    <n v="4"/>
    <n v="0"/>
    <n v="5"/>
    <n v="3"/>
    <n v="3"/>
    <n v="5"/>
    <n v="4"/>
    <n v="0"/>
    <n v="3"/>
  </r>
  <r>
    <n v="34"/>
    <x v="1"/>
    <s v="Travel_Rarely"/>
    <n v="258"/>
    <x v="0"/>
    <n v="21"/>
    <n v="4"/>
    <s v="Life Sciences"/>
    <n v="621"/>
    <n v="4"/>
    <x v="1"/>
    <n v="74"/>
    <n v="4"/>
    <n v="2"/>
    <s v="Sales Executive"/>
    <n v="4"/>
    <s v="Single"/>
    <n v="5337"/>
    <n v="19921"/>
    <n v="1"/>
    <x v="1"/>
    <n v="12"/>
    <n v="3"/>
    <n v="4"/>
    <n v="0"/>
    <n v="10"/>
    <n v="3"/>
    <n v="3"/>
    <n v="10"/>
    <n v="7"/>
    <n v="5"/>
    <n v="7"/>
  </r>
  <r>
    <n v="26"/>
    <x v="0"/>
    <s v="Travel_Rarely"/>
    <n v="471"/>
    <x v="1"/>
    <n v="24"/>
    <n v="3"/>
    <s v="Technical Degree"/>
    <n v="622"/>
    <n v="3"/>
    <x v="1"/>
    <n v="66"/>
    <n v="1"/>
    <n v="1"/>
    <s v="Laboratory Technician"/>
    <n v="4"/>
    <s v="Single"/>
    <n v="2340"/>
    <n v="23213"/>
    <n v="1"/>
    <x v="0"/>
    <n v="18"/>
    <n v="3"/>
    <n v="2"/>
    <n v="0"/>
    <n v="1"/>
    <n v="3"/>
    <n v="1"/>
    <n v="1"/>
    <n v="0"/>
    <n v="0"/>
    <n v="0"/>
  </r>
  <r>
    <n v="37"/>
    <x v="1"/>
    <s v="Travel_Rarely"/>
    <n v="799"/>
    <x v="1"/>
    <n v="1"/>
    <n v="3"/>
    <s v="Technical Degree"/>
    <n v="623"/>
    <n v="2"/>
    <x v="0"/>
    <n v="59"/>
    <n v="3"/>
    <n v="3"/>
    <s v="Manufacturing Director"/>
    <n v="4"/>
    <s v="Single"/>
    <n v="7491"/>
    <n v="23848"/>
    <n v="4"/>
    <x v="1"/>
    <n v="17"/>
    <n v="3"/>
    <n v="4"/>
    <n v="0"/>
    <n v="12"/>
    <n v="3"/>
    <n v="4"/>
    <n v="6"/>
    <n v="5"/>
    <n v="1"/>
    <n v="2"/>
  </r>
  <r>
    <n v="46"/>
    <x v="1"/>
    <s v="Travel_Frequently"/>
    <n v="1034"/>
    <x v="1"/>
    <n v="18"/>
    <n v="1"/>
    <s v="Medical"/>
    <n v="624"/>
    <n v="1"/>
    <x v="0"/>
    <n v="86"/>
    <n v="3"/>
    <n v="3"/>
    <s v="Healthcare Representative"/>
    <n v="3"/>
    <s v="Married"/>
    <n v="10527"/>
    <n v="8984"/>
    <n v="5"/>
    <x v="1"/>
    <n v="11"/>
    <n v="3"/>
    <n v="4"/>
    <n v="0"/>
    <n v="28"/>
    <n v="3"/>
    <n v="2"/>
    <n v="2"/>
    <n v="2"/>
    <n v="1"/>
    <n v="2"/>
  </r>
  <r>
    <n v="41"/>
    <x v="1"/>
    <s v="Travel_Rarely"/>
    <n v="1276"/>
    <x v="0"/>
    <n v="2"/>
    <n v="5"/>
    <s v="Life Sciences"/>
    <n v="625"/>
    <n v="2"/>
    <x v="0"/>
    <n v="91"/>
    <n v="3"/>
    <n v="4"/>
    <s v="Manager"/>
    <n v="1"/>
    <s v="Married"/>
    <n v="16595"/>
    <n v="5626"/>
    <n v="7"/>
    <x v="1"/>
    <n v="16"/>
    <n v="3"/>
    <n v="2"/>
    <n v="1"/>
    <n v="22"/>
    <n v="2"/>
    <n v="3"/>
    <n v="18"/>
    <n v="16"/>
    <n v="11"/>
    <n v="8"/>
  </r>
  <r>
    <n v="37"/>
    <x v="1"/>
    <s v="Non-Travel"/>
    <n v="142"/>
    <x v="0"/>
    <n v="9"/>
    <n v="4"/>
    <s v="Medical"/>
    <n v="626"/>
    <n v="1"/>
    <x v="1"/>
    <n v="69"/>
    <n v="3"/>
    <n v="3"/>
    <s v="Sales Executive"/>
    <n v="2"/>
    <s v="Divorced"/>
    <n v="8834"/>
    <n v="24666"/>
    <n v="1"/>
    <x v="1"/>
    <n v="13"/>
    <n v="3"/>
    <n v="4"/>
    <n v="1"/>
    <n v="9"/>
    <n v="6"/>
    <n v="3"/>
    <n v="9"/>
    <n v="5"/>
    <n v="7"/>
    <n v="7"/>
  </r>
  <r>
    <n v="52"/>
    <x v="1"/>
    <s v="Travel_Rarely"/>
    <n v="956"/>
    <x v="1"/>
    <n v="6"/>
    <n v="2"/>
    <s v="Technical Degree"/>
    <n v="630"/>
    <n v="4"/>
    <x v="1"/>
    <n v="78"/>
    <n v="3"/>
    <n v="2"/>
    <s v="Research Scientist"/>
    <n v="1"/>
    <s v="Divorced"/>
    <n v="5577"/>
    <n v="22087"/>
    <n v="3"/>
    <x v="0"/>
    <n v="12"/>
    <n v="3"/>
    <n v="2"/>
    <n v="2"/>
    <n v="18"/>
    <n v="3"/>
    <n v="3"/>
    <n v="10"/>
    <n v="9"/>
    <n v="6"/>
    <n v="9"/>
  </r>
  <r>
    <n v="32"/>
    <x v="0"/>
    <s v="Non-Travel"/>
    <n v="1474"/>
    <x v="0"/>
    <n v="11"/>
    <n v="4"/>
    <s v="Other"/>
    <n v="631"/>
    <n v="4"/>
    <x v="1"/>
    <n v="60"/>
    <n v="4"/>
    <n v="2"/>
    <s v="Sales Executive"/>
    <n v="3"/>
    <s v="Married"/>
    <n v="4707"/>
    <n v="23914"/>
    <n v="8"/>
    <x v="1"/>
    <n v="12"/>
    <n v="3"/>
    <n v="4"/>
    <n v="0"/>
    <n v="6"/>
    <n v="2"/>
    <n v="3"/>
    <n v="4"/>
    <n v="2"/>
    <n v="1"/>
    <n v="2"/>
  </r>
  <r>
    <n v="24"/>
    <x v="1"/>
    <s v="Travel_Frequently"/>
    <n v="535"/>
    <x v="0"/>
    <n v="24"/>
    <n v="3"/>
    <s v="Medical"/>
    <n v="632"/>
    <n v="4"/>
    <x v="1"/>
    <n v="38"/>
    <n v="3"/>
    <n v="1"/>
    <s v="Sales Representative"/>
    <n v="4"/>
    <s v="Married"/>
    <n v="2400"/>
    <n v="5530"/>
    <n v="0"/>
    <x v="1"/>
    <n v="13"/>
    <n v="3"/>
    <n v="3"/>
    <n v="2"/>
    <n v="3"/>
    <n v="3"/>
    <n v="3"/>
    <n v="2"/>
    <n v="2"/>
    <n v="2"/>
    <n v="1"/>
  </r>
  <r>
    <n v="38"/>
    <x v="1"/>
    <s v="Travel_Rarely"/>
    <n v="1495"/>
    <x v="1"/>
    <n v="10"/>
    <n v="3"/>
    <s v="Medical"/>
    <n v="634"/>
    <n v="3"/>
    <x v="0"/>
    <n v="76"/>
    <n v="3"/>
    <n v="2"/>
    <s v="Healthcare Representative"/>
    <n v="3"/>
    <s v="Married"/>
    <n v="9824"/>
    <n v="22174"/>
    <n v="3"/>
    <x v="1"/>
    <n v="19"/>
    <n v="3"/>
    <n v="3"/>
    <n v="1"/>
    <n v="18"/>
    <n v="4"/>
    <n v="3"/>
    <n v="1"/>
    <n v="0"/>
    <n v="0"/>
    <n v="0"/>
  </r>
  <r>
    <n v="37"/>
    <x v="1"/>
    <s v="Travel_Rarely"/>
    <n v="446"/>
    <x v="1"/>
    <n v="1"/>
    <n v="4"/>
    <s v="Life Sciences"/>
    <n v="635"/>
    <n v="2"/>
    <x v="0"/>
    <n v="65"/>
    <n v="3"/>
    <n v="2"/>
    <s v="Manufacturing Director"/>
    <n v="2"/>
    <s v="Married"/>
    <n v="6447"/>
    <n v="15701"/>
    <n v="6"/>
    <x v="1"/>
    <n v="12"/>
    <n v="3"/>
    <n v="2"/>
    <n v="1"/>
    <n v="8"/>
    <n v="2"/>
    <n v="2"/>
    <n v="6"/>
    <n v="5"/>
    <n v="4"/>
    <n v="3"/>
  </r>
  <r>
    <n v="49"/>
    <x v="1"/>
    <s v="Travel_Rarely"/>
    <n v="1245"/>
    <x v="1"/>
    <n v="18"/>
    <n v="4"/>
    <s v="Life Sciences"/>
    <n v="638"/>
    <n v="4"/>
    <x v="1"/>
    <n v="58"/>
    <n v="2"/>
    <n v="5"/>
    <s v="Research Director"/>
    <n v="3"/>
    <s v="Divorced"/>
    <n v="19502"/>
    <n v="2125"/>
    <n v="1"/>
    <x v="0"/>
    <n v="17"/>
    <n v="3"/>
    <n v="3"/>
    <n v="1"/>
    <n v="31"/>
    <n v="5"/>
    <n v="3"/>
    <n v="31"/>
    <n v="9"/>
    <n v="0"/>
    <n v="9"/>
  </r>
  <r>
    <n v="24"/>
    <x v="1"/>
    <s v="Travel_Rarely"/>
    <n v="691"/>
    <x v="1"/>
    <n v="23"/>
    <n v="3"/>
    <s v="Medical"/>
    <n v="639"/>
    <n v="2"/>
    <x v="1"/>
    <n v="89"/>
    <n v="4"/>
    <n v="1"/>
    <s v="Research Scientist"/>
    <n v="4"/>
    <s v="Married"/>
    <n v="2725"/>
    <n v="21630"/>
    <n v="1"/>
    <x v="0"/>
    <n v="11"/>
    <n v="3"/>
    <n v="2"/>
    <n v="2"/>
    <n v="6"/>
    <n v="3"/>
    <n v="3"/>
    <n v="6"/>
    <n v="5"/>
    <n v="1"/>
    <n v="4"/>
  </r>
  <r>
    <n v="26"/>
    <x v="1"/>
    <s v="Travel_Rarely"/>
    <n v="703"/>
    <x v="0"/>
    <n v="28"/>
    <n v="2"/>
    <s v="Marketing"/>
    <n v="641"/>
    <n v="1"/>
    <x v="1"/>
    <n v="66"/>
    <n v="3"/>
    <n v="2"/>
    <s v="Sales Executive"/>
    <n v="2"/>
    <s v="Married"/>
    <n v="6272"/>
    <n v="7428"/>
    <n v="1"/>
    <x v="1"/>
    <n v="20"/>
    <n v="4"/>
    <n v="4"/>
    <n v="2"/>
    <n v="6"/>
    <n v="5"/>
    <n v="4"/>
    <n v="5"/>
    <n v="3"/>
    <n v="1"/>
    <n v="4"/>
  </r>
  <r>
    <n v="24"/>
    <x v="1"/>
    <s v="Travel_Rarely"/>
    <n v="823"/>
    <x v="1"/>
    <n v="17"/>
    <n v="2"/>
    <s v="Other"/>
    <n v="643"/>
    <n v="4"/>
    <x v="1"/>
    <n v="94"/>
    <n v="2"/>
    <n v="1"/>
    <s v="Laboratory Technician"/>
    <n v="2"/>
    <s v="Married"/>
    <n v="2127"/>
    <n v="9100"/>
    <n v="1"/>
    <x v="1"/>
    <n v="21"/>
    <n v="4"/>
    <n v="4"/>
    <n v="1"/>
    <n v="1"/>
    <n v="2"/>
    <n v="3"/>
    <n v="1"/>
    <n v="0"/>
    <n v="0"/>
    <n v="0"/>
  </r>
  <r>
    <n v="50"/>
    <x v="1"/>
    <s v="Travel_Frequently"/>
    <n v="1246"/>
    <x v="2"/>
    <n v="3"/>
    <n v="3"/>
    <s v="Medical"/>
    <n v="644"/>
    <n v="1"/>
    <x v="1"/>
    <n v="99"/>
    <n v="3"/>
    <n v="5"/>
    <s v="Manager"/>
    <n v="2"/>
    <s v="Married"/>
    <n v="18200"/>
    <n v="7999"/>
    <n v="1"/>
    <x v="1"/>
    <n v="11"/>
    <n v="3"/>
    <n v="3"/>
    <n v="1"/>
    <n v="32"/>
    <n v="2"/>
    <n v="3"/>
    <n v="32"/>
    <n v="5"/>
    <n v="10"/>
    <n v="7"/>
  </r>
  <r>
    <n v="25"/>
    <x v="1"/>
    <s v="Travel_Rarely"/>
    <n v="622"/>
    <x v="0"/>
    <n v="13"/>
    <n v="1"/>
    <s v="Medical"/>
    <n v="645"/>
    <n v="2"/>
    <x v="1"/>
    <n v="40"/>
    <n v="3"/>
    <n v="1"/>
    <s v="Sales Representative"/>
    <n v="3"/>
    <s v="Married"/>
    <n v="2096"/>
    <n v="26376"/>
    <n v="1"/>
    <x v="1"/>
    <n v="11"/>
    <n v="3"/>
    <n v="3"/>
    <n v="0"/>
    <n v="7"/>
    <n v="1"/>
    <n v="3"/>
    <n v="7"/>
    <n v="4"/>
    <n v="0"/>
    <n v="6"/>
  </r>
  <r>
    <n v="24"/>
    <x v="0"/>
    <s v="Travel_Frequently"/>
    <n v="1287"/>
    <x v="1"/>
    <n v="7"/>
    <n v="3"/>
    <s v="Life Sciences"/>
    <n v="647"/>
    <n v="1"/>
    <x v="0"/>
    <n v="55"/>
    <n v="3"/>
    <n v="1"/>
    <s v="Laboratory Technician"/>
    <n v="3"/>
    <s v="Married"/>
    <n v="2886"/>
    <n v="14168"/>
    <n v="1"/>
    <x v="0"/>
    <n v="16"/>
    <n v="3"/>
    <n v="4"/>
    <n v="1"/>
    <n v="6"/>
    <n v="4"/>
    <n v="3"/>
    <n v="6"/>
    <n v="3"/>
    <n v="1"/>
    <n v="2"/>
  </r>
  <r>
    <n v="30"/>
    <x v="0"/>
    <s v="Travel_Frequently"/>
    <n v="448"/>
    <x v="0"/>
    <n v="12"/>
    <n v="4"/>
    <s v="Life Sciences"/>
    <n v="648"/>
    <n v="2"/>
    <x v="1"/>
    <n v="74"/>
    <n v="2"/>
    <n v="1"/>
    <s v="Sales Representative"/>
    <n v="1"/>
    <s v="Married"/>
    <n v="2033"/>
    <n v="14470"/>
    <n v="1"/>
    <x v="1"/>
    <n v="18"/>
    <n v="3"/>
    <n v="3"/>
    <n v="1"/>
    <n v="1"/>
    <n v="2"/>
    <n v="4"/>
    <n v="1"/>
    <n v="0"/>
    <n v="0"/>
    <n v="0"/>
  </r>
  <r>
    <n v="34"/>
    <x v="1"/>
    <s v="Travel_Rarely"/>
    <n v="254"/>
    <x v="1"/>
    <n v="1"/>
    <n v="2"/>
    <s v="Life Sciences"/>
    <n v="649"/>
    <n v="2"/>
    <x v="1"/>
    <n v="83"/>
    <n v="2"/>
    <n v="1"/>
    <s v="Research Scientist"/>
    <n v="4"/>
    <s v="Married"/>
    <n v="3622"/>
    <n v="22794"/>
    <n v="1"/>
    <x v="0"/>
    <n v="13"/>
    <n v="3"/>
    <n v="4"/>
    <n v="1"/>
    <n v="6"/>
    <n v="3"/>
    <n v="3"/>
    <n v="6"/>
    <n v="5"/>
    <n v="1"/>
    <n v="3"/>
  </r>
  <r>
    <n v="31"/>
    <x v="0"/>
    <s v="Travel_Rarely"/>
    <n v="1365"/>
    <x v="0"/>
    <n v="13"/>
    <n v="4"/>
    <s v="Medical"/>
    <n v="650"/>
    <n v="2"/>
    <x v="1"/>
    <n v="46"/>
    <n v="3"/>
    <n v="2"/>
    <s v="Sales Executive"/>
    <n v="1"/>
    <s v="Divorced"/>
    <n v="4233"/>
    <n v="11512"/>
    <n v="2"/>
    <x v="1"/>
    <n v="17"/>
    <n v="3"/>
    <n v="3"/>
    <n v="0"/>
    <n v="9"/>
    <n v="2"/>
    <n v="1"/>
    <n v="3"/>
    <n v="1"/>
    <n v="1"/>
    <n v="2"/>
  </r>
  <r>
    <n v="35"/>
    <x v="1"/>
    <s v="Travel_Rarely"/>
    <n v="538"/>
    <x v="1"/>
    <n v="25"/>
    <n v="2"/>
    <s v="Other"/>
    <n v="652"/>
    <n v="1"/>
    <x v="1"/>
    <n v="54"/>
    <n v="2"/>
    <n v="2"/>
    <s v="Laboratory Technician"/>
    <n v="4"/>
    <s v="Single"/>
    <n v="3681"/>
    <n v="14004"/>
    <n v="4"/>
    <x v="1"/>
    <n v="14"/>
    <n v="3"/>
    <n v="4"/>
    <n v="0"/>
    <n v="9"/>
    <n v="3"/>
    <n v="3"/>
    <n v="3"/>
    <n v="2"/>
    <n v="0"/>
    <n v="2"/>
  </r>
  <r>
    <n v="31"/>
    <x v="1"/>
    <s v="Travel_Rarely"/>
    <n v="525"/>
    <x v="0"/>
    <n v="6"/>
    <n v="4"/>
    <s v="Medical"/>
    <n v="653"/>
    <n v="1"/>
    <x v="1"/>
    <n v="66"/>
    <n v="4"/>
    <n v="2"/>
    <s v="Sales Executive"/>
    <n v="4"/>
    <s v="Divorced"/>
    <n v="5460"/>
    <n v="6219"/>
    <n v="4"/>
    <x v="1"/>
    <n v="22"/>
    <n v="4"/>
    <n v="4"/>
    <n v="2"/>
    <n v="13"/>
    <n v="4"/>
    <n v="4"/>
    <n v="7"/>
    <n v="7"/>
    <n v="5"/>
    <n v="7"/>
  </r>
  <r>
    <n v="27"/>
    <x v="1"/>
    <s v="Travel_Rarely"/>
    <n v="798"/>
    <x v="1"/>
    <n v="6"/>
    <n v="4"/>
    <s v="Medical"/>
    <n v="655"/>
    <n v="1"/>
    <x v="0"/>
    <n v="66"/>
    <n v="2"/>
    <n v="1"/>
    <s v="Research Scientist"/>
    <n v="3"/>
    <s v="Divorced"/>
    <n v="2187"/>
    <n v="5013"/>
    <n v="0"/>
    <x v="1"/>
    <n v="12"/>
    <n v="3"/>
    <n v="3"/>
    <n v="2"/>
    <n v="6"/>
    <n v="5"/>
    <n v="2"/>
    <n v="5"/>
    <n v="3"/>
    <n v="0"/>
    <n v="3"/>
  </r>
  <r>
    <n v="37"/>
    <x v="1"/>
    <s v="Travel_Rarely"/>
    <n v="558"/>
    <x v="0"/>
    <n v="2"/>
    <n v="3"/>
    <s v="Marketing"/>
    <n v="656"/>
    <n v="4"/>
    <x v="1"/>
    <n v="75"/>
    <n v="3"/>
    <n v="2"/>
    <s v="Sales Executive"/>
    <n v="3"/>
    <s v="Married"/>
    <n v="9602"/>
    <n v="3010"/>
    <n v="4"/>
    <x v="0"/>
    <n v="11"/>
    <n v="3"/>
    <n v="3"/>
    <n v="1"/>
    <n v="17"/>
    <n v="3"/>
    <n v="2"/>
    <n v="3"/>
    <n v="0"/>
    <n v="1"/>
    <n v="0"/>
  </r>
  <r>
    <n v="20"/>
    <x v="1"/>
    <s v="Travel_Rarely"/>
    <n v="959"/>
    <x v="1"/>
    <n v="1"/>
    <n v="3"/>
    <s v="Life Sciences"/>
    <n v="657"/>
    <n v="4"/>
    <x v="0"/>
    <n v="83"/>
    <n v="2"/>
    <n v="1"/>
    <s v="Research Scientist"/>
    <n v="2"/>
    <s v="Single"/>
    <n v="2836"/>
    <n v="11757"/>
    <n v="1"/>
    <x v="1"/>
    <n v="13"/>
    <n v="3"/>
    <n v="4"/>
    <n v="0"/>
    <n v="1"/>
    <n v="0"/>
    <n v="4"/>
    <n v="1"/>
    <n v="0"/>
    <n v="0"/>
    <n v="0"/>
  </r>
  <r>
    <n v="42"/>
    <x v="1"/>
    <s v="Travel_Rarely"/>
    <n v="622"/>
    <x v="1"/>
    <n v="2"/>
    <n v="4"/>
    <s v="Life Sciences"/>
    <n v="659"/>
    <n v="3"/>
    <x v="0"/>
    <n v="81"/>
    <n v="3"/>
    <n v="2"/>
    <s v="Healthcare Representative"/>
    <n v="4"/>
    <s v="Married"/>
    <n v="4089"/>
    <n v="5718"/>
    <n v="1"/>
    <x v="1"/>
    <n v="13"/>
    <n v="3"/>
    <n v="2"/>
    <n v="2"/>
    <n v="10"/>
    <n v="4"/>
    <n v="3"/>
    <n v="10"/>
    <n v="2"/>
    <n v="2"/>
    <n v="2"/>
  </r>
  <r>
    <n v="43"/>
    <x v="1"/>
    <s v="Travel_Rarely"/>
    <n v="782"/>
    <x v="1"/>
    <n v="6"/>
    <n v="4"/>
    <s v="Other"/>
    <n v="661"/>
    <n v="2"/>
    <x v="1"/>
    <n v="50"/>
    <n v="2"/>
    <n v="4"/>
    <s v="Research Director"/>
    <n v="4"/>
    <s v="Divorced"/>
    <n v="16627"/>
    <n v="2671"/>
    <n v="4"/>
    <x v="0"/>
    <n v="14"/>
    <n v="3"/>
    <n v="3"/>
    <n v="1"/>
    <n v="21"/>
    <n v="3"/>
    <n v="2"/>
    <n v="1"/>
    <n v="0"/>
    <n v="0"/>
    <n v="0"/>
  </r>
  <r>
    <n v="38"/>
    <x v="1"/>
    <s v="Travel_Rarely"/>
    <n v="362"/>
    <x v="1"/>
    <n v="1"/>
    <n v="1"/>
    <s v="Life Sciences"/>
    <n v="662"/>
    <n v="3"/>
    <x v="0"/>
    <n v="43"/>
    <n v="3"/>
    <n v="1"/>
    <s v="Research Scientist"/>
    <n v="1"/>
    <s v="Single"/>
    <n v="2619"/>
    <n v="14561"/>
    <n v="3"/>
    <x v="1"/>
    <n v="17"/>
    <n v="3"/>
    <n v="4"/>
    <n v="0"/>
    <n v="8"/>
    <n v="3"/>
    <n v="2"/>
    <n v="0"/>
    <n v="0"/>
    <n v="0"/>
    <n v="0"/>
  </r>
  <r>
    <n v="43"/>
    <x v="1"/>
    <s v="Travel_Frequently"/>
    <n v="1001"/>
    <x v="1"/>
    <n v="9"/>
    <n v="5"/>
    <s v="Medical"/>
    <n v="663"/>
    <n v="4"/>
    <x v="1"/>
    <n v="72"/>
    <n v="3"/>
    <n v="2"/>
    <s v="Laboratory Technician"/>
    <n v="3"/>
    <s v="Divorced"/>
    <n v="5679"/>
    <n v="19627"/>
    <n v="3"/>
    <x v="0"/>
    <n v="13"/>
    <n v="3"/>
    <n v="2"/>
    <n v="1"/>
    <n v="10"/>
    <n v="3"/>
    <n v="3"/>
    <n v="8"/>
    <n v="7"/>
    <n v="4"/>
    <n v="7"/>
  </r>
  <r>
    <n v="48"/>
    <x v="1"/>
    <s v="Travel_Rarely"/>
    <n v="1236"/>
    <x v="1"/>
    <n v="1"/>
    <n v="4"/>
    <s v="Life Sciences"/>
    <n v="664"/>
    <n v="4"/>
    <x v="0"/>
    <n v="40"/>
    <n v="2"/>
    <n v="4"/>
    <s v="Manager"/>
    <n v="1"/>
    <s v="Married"/>
    <n v="15402"/>
    <n v="17997"/>
    <n v="7"/>
    <x v="1"/>
    <n v="11"/>
    <n v="3"/>
    <n v="1"/>
    <n v="1"/>
    <n v="21"/>
    <n v="3"/>
    <n v="1"/>
    <n v="3"/>
    <n v="2"/>
    <n v="0"/>
    <n v="2"/>
  </r>
  <r>
    <n v="44"/>
    <x v="1"/>
    <s v="Travel_Rarely"/>
    <n v="1112"/>
    <x v="2"/>
    <n v="1"/>
    <n v="4"/>
    <s v="Life Sciences"/>
    <n v="665"/>
    <n v="1"/>
    <x v="0"/>
    <n v="50"/>
    <n v="2"/>
    <n v="2"/>
    <s v="Human Resources"/>
    <n v="3"/>
    <s v="Single"/>
    <n v="5985"/>
    <n v="26894"/>
    <n v="4"/>
    <x v="1"/>
    <n v="11"/>
    <n v="3"/>
    <n v="2"/>
    <n v="0"/>
    <n v="10"/>
    <n v="1"/>
    <n v="4"/>
    <n v="2"/>
    <n v="2"/>
    <n v="0"/>
    <n v="2"/>
  </r>
  <r>
    <n v="34"/>
    <x v="1"/>
    <s v="Travel_Rarely"/>
    <n v="204"/>
    <x v="0"/>
    <n v="14"/>
    <n v="3"/>
    <s v="Technical Degree"/>
    <n v="666"/>
    <n v="3"/>
    <x v="0"/>
    <n v="31"/>
    <n v="3"/>
    <n v="1"/>
    <s v="Sales Representative"/>
    <n v="3"/>
    <s v="Divorced"/>
    <n v="2579"/>
    <n v="2912"/>
    <n v="1"/>
    <x v="0"/>
    <n v="18"/>
    <n v="3"/>
    <n v="4"/>
    <n v="2"/>
    <n v="8"/>
    <n v="3"/>
    <n v="3"/>
    <n v="8"/>
    <n v="2"/>
    <n v="0"/>
    <n v="6"/>
  </r>
  <r>
    <n v="27"/>
    <x v="0"/>
    <s v="Travel_Rarely"/>
    <n v="1420"/>
    <x v="0"/>
    <n v="2"/>
    <n v="1"/>
    <s v="Marketing"/>
    <n v="667"/>
    <n v="3"/>
    <x v="1"/>
    <n v="85"/>
    <n v="3"/>
    <n v="1"/>
    <s v="Sales Representative"/>
    <n v="1"/>
    <s v="Divorced"/>
    <n v="3041"/>
    <n v="16346"/>
    <n v="0"/>
    <x v="1"/>
    <n v="11"/>
    <n v="3"/>
    <n v="2"/>
    <n v="1"/>
    <n v="5"/>
    <n v="3"/>
    <n v="3"/>
    <n v="4"/>
    <n v="3"/>
    <n v="0"/>
    <n v="2"/>
  </r>
  <r>
    <n v="21"/>
    <x v="1"/>
    <s v="Travel_Rarely"/>
    <n v="1343"/>
    <x v="0"/>
    <n v="22"/>
    <n v="1"/>
    <s v="Technical Degree"/>
    <n v="669"/>
    <n v="3"/>
    <x v="1"/>
    <n v="49"/>
    <n v="3"/>
    <n v="1"/>
    <s v="Sales Representative"/>
    <n v="3"/>
    <s v="Single"/>
    <n v="3447"/>
    <n v="24444"/>
    <n v="1"/>
    <x v="1"/>
    <n v="11"/>
    <n v="3"/>
    <n v="3"/>
    <n v="0"/>
    <n v="3"/>
    <n v="2"/>
    <n v="3"/>
    <n v="3"/>
    <n v="2"/>
    <n v="1"/>
    <n v="2"/>
  </r>
  <r>
    <n v="44"/>
    <x v="1"/>
    <s v="Travel_Rarely"/>
    <n v="1315"/>
    <x v="1"/>
    <n v="3"/>
    <n v="4"/>
    <s v="Other"/>
    <n v="671"/>
    <n v="4"/>
    <x v="1"/>
    <n v="35"/>
    <n v="3"/>
    <n v="5"/>
    <s v="Manager"/>
    <n v="4"/>
    <s v="Married"/>
    <n v="19513"/>
    <n v="9358"/>
    <n v="4"/>
    <x v="0"/>
    <n v="12"/>
    <n v="3"/>
    <n v="1"/>
    <n v="1"/>
    <n v="26"/>
    <n v="2"/>
    <n v="4"/>
    <n v="2"/>
    <n v="2"/>
    <n v="0"/>
    <n v="1"/>
  </r>
  <r>
    <n v="22"/>
    <x v="1"/>
    <s v="Travel_Rarely"/>
    <n v="604"/>
    <x v="1"/>
    <n v="6"/>
    <n v="1"/>
    <s v="Medical"/>
    <n v="675"/>
    <n v="1"/>
    <x v="1"/>
    <n v="69"/>
    <n v="3"/>
    <n v="1"/>
    <s v="Research Scientist"/>
    <n v="3"/>
    <s v="Married"/>
    <n v="2773"/>
    <n v="12145"/>
    <n v="0"/>
    <x v="1"/>
    <n v="20"/>
    <n v="4"/>
    <n v="4"/>
    <n v="0"/>
    <n v="3"/>
    <n v="3"/>
    <n v="3"/>
    <n v="2"/>
    <n v="2"/>
    <n v="2"/>
    <n v="2"/>
  </r>
  <r>
    <n v="33"/>
    <x v="1"/>
    <s v="Travel_Rarely"/>
    <n v="1216"/>
    <x v="0"/>
    <n v="8"/>
    <n v="4"/>
    <s v="Marketing"/>
    <n v="677"/>
    <n v="3"/>
    <x v="1"/>
    <n v="39"/>
    <n v="3"/>
    <n v="2"/>
    <s v="Sales Executive"/>
    <n v="3"/>
    <s v="Divorced"/>
    <n v="7104"/>
    <n v="20431"/>
    <n v="0"/>
    <x v="1"/>
    <n v="12"/>
    <n v="3"/>
    <n v="4"/>
    <n v="0"/>
    <n v="6"/>
    <n v="3"/>
    <n v="3"/>
    <n v="5"/>
    <n v="0"/>
    <n v="1"/>
    <n v="2"/>
  </r>
  <r>
    <n v="32"/>
    <x v="1"/>
    <s v="Travel_Rarely"/>
    <n v="646"/>
    <x v="1"/>
    <n v="9"/>
    <n v="4"/>
    <s v="Life Sciences"/>
    <n v="679"/>
    <n v="1"/>
    <x v="0"/>
    <n v="92"/>
    <n v="3"/>
    <n v="2"/>
    <s v="Research Scientist"/>
    <n v="4"/>
    <s v="Married"/>
    <n v="6322"/>
    <n v="18089"/>
    <n v="1"/>
    <x v="0"/>
    <n v="12"/>
    <n v="3"/>
    <n v="4"/>
    <n v="1"/>
    <n v="6"/>
    <n v="2"/>
    <n v="2"/>
    <n v="6"/>
    <n v="4"/>
    <n v="0"/>
    <n v="5"/>
  </r>
  <r>
    <n v="30"/>
    <x v="1"/>
    <s v="Travel_Frequently"/>
    <n v="160"/>
    <x v="1"/>
    <n v="3"/>
    <n v="3"/>
    <s v="Medical"/>
    <n v="680"/>
    <n v="3"/>
    <x v="0"/>
    <n v="71"/>
    <n v="3"/>
    <n v="1"/>
    <s v="Research Scientist"/>
    <n v="3"/>
    <s v="Divorced"/>
    <n v="2083"/>
    <n v="22653"/>
    <n v="1"/>
    <x v="1"/>
    <n v="20"/>
    <n v="4"/>
    <n v="3"/>
    <n v="1"/>
    <n v="1"/>
    <n v="2"/>
    <n v="3"/>
    <n v="1"/>
    <n v="0"/>
    <n v="0"/>
    <n v="0"/>
  </r>
  <r>
    <n v="53"/>
    <x v="1"/>
    <s v="Travel_Rarely"/>
    <n v="238"/>
    <x v="0"/>
    <n v="1"/>
    <n v="1"/>
    <s v="Medical"/>
    <n v="682"/>
    <n v="4"/>
    <x v="0"/>
    <n v="34"/>
    <n v="3"/>
    <n v="2"/>
    <s v="Sales Executive"/>
    <n v="1"/>
    <s v="Single"/>
    <n v="8381"/>
    <n v="7507"/>
    <n v="7"/>
    <x v="1"/>
    <n v="20"/>
    <n v="4"/>
    <n v="4"/>
    <n v="0"/>
    <n v="18"/>
    <n v="2"/>
    <n v="4"/>
    <n v="14"/>
    <n v="7"/>
    <n v="8"/>
    <n v="10"/>
  </r>
  <r>
    <n v="34"/>
    <x v="1"/>
    <s v="Travel_Rarely"/>
    <n v="1397"/>
    <x v="1"/>
    <n v="1"/>
    <n v="5"/>
    <s v="Life Sciences"/>
    <n v="683"/>
    <n v="2"/>
    <x v="1"/>
    <n v="42"/>
    <n v="3"/>
    <n v="1"/>
    <s v="Research Scientist"/>
    <n v="4"/>
    <s v="Married"/>
    <n v="2691"/>
    <n v="7660"/>
    <n v="1"/>
    <x v="1"/>
    <n v="12"/>
    <n v="3"/>
    <n v="4"/>
    <n v="1"/>
    <n v="10"/>
    <n v="4"/>
    <n v="2"/>
    <n v="10"/>
    <n v="9"/>
    <n v="8"/>
    <n v="8"/>
  </r>
  <r>
    <n v="45"/>
    <x v="0"/>
    <s v="Travel_Frequently"/>
    <n v="306"/>
    <x v="0"/>
    <n v="26"/>
    <n v="4"/>
    <s v="Life Sciences"/>
    <n v="684"/>
    <n v="1"/>
    <x v="0"/>
    <n v="100"/>
    <n v="3"/>
    <n v="2"/>
    <s v="Sales Executive"/>
    <n v="1"/>
    <s v="Married"/>
    <n v="4286"/>
    <n v="5630"/>
    <n v="2"/>
    <x v="1"/>
    <n v="14"/>
    <n v="3"/>
    <n v="4"/>
    <n v="2"/>
    <n v="5"/>
    <n v="4"/>
    <n v="3"/>
    <n v="1"/>
    <n v="1"/>
    <n v="0"/>
    <n v="0"/>
  </r>
  <r>
    <n v="26"/>
    <x v="1"/>
    <s v="Travel_Rarely"/>
    <n v="991"/>
    <x v="1"/>
    <n v="6"/>
    <n v="3"/>
    <s v="Life Sciences"/>
    <n v="686"/>
    <n v="3"/>
    <x v="0"/>
    <n v="71"/>
    <n v="3"/>
    <n v="1"/>
    <s v="Laboratory Technician"/>
    <n v="4"/>
    <s v="Married"/>
    <n v="2659"/>
    <n v="17759"/>
    <n v="1"/>
    <x v="0"/>
    <n v="13"/>
    <n v="3"/>
    <n v="3"/>
    <n v="1"/>
    <n v="3"/>
    <n v="2"/>
    <n v="3"/>
    <n v="3"/>
    <n v="2"/>
    <n v="0"/>
    <n v="2"/>
  </r>
  <r>
    <n v="37"/>
    <x v="1"/>
    <s v="Travel_Rarely"/>
    <n v="482"/>
    <x v="1"/>
    <n v="3"/>
    <n v="3"/>
    <s v="Other"/>
    <n v="689"/>
    <n v="3"/>
    <x v="1"/>
    <n v="36"/>
    <n v="3"/>
    <n v="3"/>
    <s v="Manufacturing Director"/>
    <n v="3"/>
    <s v="Married"/>
    <n v="9434"/>
    <n v="9606"/>
    <n v="1"/>
    <x v="1"/>
    <n v="15"/>
    <n v="3"/>
    <n v="3"/>
    <n v="1"/>
    <n v="10"/>
    <n v="2"/>
    <n v="3"/>
    <n v="10"/>
    <n v="7"/>
    <n v="7"/>
    <n v="8"/>
  </r>
  <r>
    <n v="29"/>
    <x v="1"/>
    <s v="Travel_Rarely"/>
    <n v="1176"/>
    <x v="0"/>
    <n v="3"/>
    <n v="2"/>
    <s v="Medical"/>
    <n v="690"/>
    <n v="2"/>
    <x v="0"/>
    <n v="62"/>
    <n v="3"/>
    <n v="2"/>
    <s v="Sales Executive"/>
    <n v="3"/>
    <s v="Married"/>
    <n v="5561"/>
    <n v="3487"/>
    <n v="1"/>
    <x v="1"/>
    <n v="14"/>
    <n v="3"/>
    <n v="1"/>
    <n v="1"/>
    <n v="6"/>
    <n v="5"/>
    <n v="2"/>
    <n v="6"/>
    <n v="0"/>
    <n v="1"/>
    <n v="2"/>
  </r>
  <r>
    <n v="35"/>
    <x v="1"/>
    <s v="Travel_Rarely"/>
    <n v="1017"/>
    <x v="1"/>
    <n v="6"/>
    <n v="4"/>
    <s v="Life Sciences"/>
    <n v="691"/>
    <n v="2"/>
    <x v="1"/>
    <n v="82"/>
    <n v="1"/>
    <n v="2"/>
    <s v="Research Scientist"/>
    <n v="4"/>
    <s v="Single"/>
    <n v="6646"/>
    <n v="19368"/>
    <n v="1"/>
    <x v="1"/>
    <n v="13"/>
    <n v="3"/>
    <n v="2"/>
    <n v="0"/>
    <n v="17"/>
    <n v="3"/>
    <n v="3"/>
    <n v="17"/>
    <n v="11"/>
    <n v="11"/>
    <n v="8"/>
  </r>
  <r>
    <n v="33"/>
    <x v="1"/>
    <s v="Travel_Frequently"/>
    <n v="1296"/>
    <x v="1"/>
    <n v="6"/>
    <n v="3"/>
    <s v="Life Sciences"/>
    <n v="692"/>
    <n v="3"/>
    <x v="1"/>
    <n v="30"/>
    <n v="3"/>
    <n v="2"/>
    <s v="Healthcare Representative"/>
    <n v="4"/>
    <s v="Divorced"/>
    <n v="7725"/>
    <n v="5335"/>
    <n v="3"/>
    <x v="1"/>
    <n v="23"/>
    <n v="4"/>
    <n v="3"/>
    <n v="1"/>
    <n v="15"/>
    <n v="2"/>
    <n v="1"/>
    <n v="13"/>
    <n v="11"/>
    <n v="4"/>
    <n v="7"/>
  </r>
  <r>
    <n v="54"/>
    <x v="1"/>
    <s v="Travel_Rarely"/>
    <n v="397"/>
    <x v="2"/>
    <n v="19"/>
    <n v="4"/>
    <s v="Medical"/>
    <n v="698"/>
    <n v="3"/>
    <x v="1"/>
    <n v="88"/>
    <n v="3"/>
    <n v="3"/>
    <s v="Human Resources"/>
    <n v="2"/>
    <s v="Married"/>
    <n v="10725"/>
    <n v="6729"/>
    <n v="2"/>
    <x v="1"/>
    <n v="15"/>
    <n v="3"/>
    <n v="3"/>
    <n v="1"/>
    <n v="16"/>
    <n v="1"/>
    <n v="4"/>
    <n v="9"/>
    <n v="7"/>
    <n v="7"/>
    <n v="1"/>
  </r>
  <r>
    <n v="36"/>
    <x v="1"/>
    <s v="Travel_Rarely"/>
    <n v="913"/>
    <x v="1"/>
    <n v="9"/>
    <n v="2"/>
    <s v="Medical"/>
    <n v="699"/>
    <n v="2"/>
    <x v="1"/>
    <n v="48"/>
    <n v="2"/>
    <n v="2"/>
    <s v="Manufacturing Director"/>
    <n v="2"/>
    <s v="Divorced"/>
    <n v="8847"/>
    <n v="13934"/>
    <n v="2"/>
    <x v="0"/>
    <n v="11"/>
    <n v="3"/>
    <n v="3"/>
    <n v="1"/>
    <n v="13"/>
    <n v="2"/>
    <n v="3"/>
    <n v="3"/>
    <n v="2"/>
    <n v="0"/>
    <n v="2"/>
  </r>
  <r>
    <n v="27"/>
    <x v="1"/>
    <s v="Travel_Rarely"/>
    <n v="1115"/>
    <x v="1"/>
    <n v="3"/>
    <n v="4"/>
    <s v="Medical"/>
    <n v="700"/>
    <n v="1"/>
    <x v="1"/>
    <n v="54"/>
    <n v="2"/>
    <n v="1"/>
    <s v="Research Scientist"/>
    <n v="4"/>
    <s v="Single"/>
    <n v="2045"/>
    <n v="15174"/>
    <n v="0"/>
    <x v="1"/>
    <n v="13"/>
    <n v="3"/>
    <n v="4"/>
    <n v="0"/>
    <n v="5"/>
    <n v="0"/>
    <n v="3"/>
    <n v="4"/>
    <n v="2"/>
    <n v="1"/>
    <n v="1"/>
  </r>
  <r>
    <n v="20"/>
    <x v="0"/>
    <s v="Travel_Rarely"/>
    <n v="1362"/>
    <x v="1"/>
    <n v="10"/>
    <n v="1"/>
    <s v="Medical"/>
    <n v="701"/>
    <n v="4"/>
    <x v="1"/>
    <n v="32"/>
    <n v="3"/>
    <n v="1"/>
    <s v="Research Scientist"/>
    <n v="3"/>
    <s v="Single"/>
    <n v="1009"/>
    <n v="26999"/>
    <n v="1"/>
    <x v="0"/>
    <n v="11"/>
    <n v="3"/>
    <n v="4"/>
    <n v="0"/>
    <n v="1"/>
    <n v="5"/>
    <n v="3"/>
    <n v="1"/>
    <n v="0"/>
    <n v="1"/>
    <n v="1"/>
  </r>
  <r>
    <n v="33"/>
    <x v="0"/>
    <s v="Travel_Frequently"/>
    <n v="1076"/>
    <x v="1"/>
    <n v="3"/>
    <n v="3"/>
    <s v="Life Sciences"/>
    <n v="702"/>
    <n v="1"/>
    <x v="1"/>
    <n v="70"/>
    <n v="3"/>
    <n v="1"/>
    <s v="Research Scientist"/>
    <n v="1"/>
    <s v="Single"/>
    <n v="3348"/>
    <n v="3164"/>
    <n v="1"/>
    <x v="0"/>
    <n v="11"/>
    <n v="3"/>
    <n v="1"/>
    <n v="0"/>
    <n v="10"/>
    <n v="3"/>
    <n v="3"/>
    <n v="10"/>
    <n v="8"/>
    <n v="9"/>
    <n v="7"/>
  </r>
  <r>
    <n v="35"/>
    <x v="1"/>
    <s v="Non-Travel"/>
    <n v="727"/>
    <x v="1"/>
    <n v="3"/>
    <n v="3"/>
    <s v="Life Sciences"/>
    <n v="704"/>
    <n v="3"/>
    <x v="1"/>
    <n v="41"/>
    <n v="2"/>
    <n v="1"/>
    <s v="Laboratory Technician"/>
    <n v="3"/>
    <s v="Married"/>
    <n v="1281"/>
    <n v="16900"/>
    <n v="1"/>
    <x v="1"/>
    <n v="18"/>
    <n v="3"/>
    <n v="3"/>
    <n v="2"/>
    <n v="1"/>
    <n v="3"/>
    <n v="3"/>
    <n v="1"/>
    <n v="0"/>
    <n v="0"/>
    <n v="0"/>
  </r>
  <r>
    <n v="23"/>
    <x v="1"/>
    <s v="Travel_Rarely"/>
    <n v="885"/>
    <x v="1"/>
    <n v="4"/>
    <n v="3"/>
    <s v="Medical"/>
    <n v="705"/>
    <n v="1"/>
    <x v="1"/>
    <n v="58"/>
    <n v="4"/>
    <n v="1"/>
    <s v="Research Scientist"/>
    <n v="1"/>
    <s v="Married"/>
    <n v="2819"/>
    <n v="8544"/>
    <n v="2"/>
    <x v="1"/>
    <n v="16"/>
    <n v="3"/>
    <n v="1"/>
    <n v="1"/>
    <n v="5"/>
    <n v="3"/>
    <n v="4"/>
    <n v="3"/>
    <n v="2"/>
    <n v="0"/>
    <n v="2"/>
  </r>
  <r>
    <n v="25"/>
    <x v="1"/>
    <s v="Travel_Rarely"/>
    <n v="810"/>
    <x v="0"/>
    <n v="8"/>
    <n v="3"/>
    <s v="Life Sciences"/>
    <n v="707"/>
    <n v="4"/>
    <x v="1"/>
    <n v="57"/>
    <n v="4"/>
    <n v="2"/>
    <s v="Sales Executive"/>
    <n v="2"/>
    <s v="Married"/>
    <n v="4851"/>
    <n v="15678"/>
    <n v="0"/>
    <x v="1"/>
    <n v="22"/>
    <n v="4"/>
    <n v="3"/>
    <n v="1"/>
    <n v="4"/>
    <n v="4"/>
    <n v="3"/>
    <n v="3"/>
    <n v="2"/>
    <n v="1"/>
    <n v="2"/>
  </r>
  <r>
    <n v="38"/>
    <x v="1"/>
    <s v="Travel_Rarely"/>
    <n v="243"/>
    <x v="0"/>
    <n v="7"/>
    <n v="4"/>
    <s v="Marketing"/>
    <n v="709"/>
    <n v="4"/>
    <x v="0"/>
    <n v="46"/>
    <n v="2"/>
    <n v="2"/>
    <s v="Sales Executive"/>
    <n v="4"/>
    <s v="Single"/>
    <n v="4028"/>
    <n v="7791"/>
    <n v="0"/>
    <x v="1"/>
    <n v="20"/>
    <n v="4"/>
    <n v="1"/>
    <n v="0"/>
    <n v="8"/>
    <n v="2"/>
    <n v="3"/>
    <n v="7"/>
    <n v="7"/>
    <n v="0"/>
    <n v="5"/>
  </r>
  <r>
    <n v="29"/>
    <x v="1"/>
    <s v="Travel_Frequently"/>
    <n v="806"/>
    <x v="1"/>
    <n v="1"/>
    <n v="4"/>
    <s v="Life Sciences"/>
    <n v="710"/>
    <n v="2"/>
    <x v="1"/>
    <n v="76"/>
    <n v="1"/>
    <n v="1"/>
    <s v="Research Scientist"/>
    <n v="4"/>
    <s v="Divorced"/>
    <n v="2720"/>
    <n v="18959"/>
    <n v="1"/>
    <x v="1"/>
    <n v="18"/>
    <n v="3"/>
    <n v="4"/>
    <n v="1"/>
    <n v="10"/>
    <n v="5"/>
    <n v="3"/>
    <n v="10"/>
    <n v="7"/>
    <n v="2"/>
    <n v="8"/>
  </r>
  <r>
    <n v="48"/>
    <x v="1"/>
    <s v="Travel_Rarely"/>
    <n v="817"/>
    <x v="0"/>
    <n v="2"/>
    <n v="1"/>
    <s v="Marketing"/>
    <n v="712"/>
    <n v="2"/>
    <x v="1"/>
    <n v="56"/>
    <n v="4"/>
    <n v="2"/>
    <s v="Sales Executive"/>
    <n v="2"/>
    <s v="Married"/>
    <n v="8120"/>
    <n v="18597"/>
    <n v="3"/>
    <x v="1"/>
    <n v="12"/>
    <n v="3"/>
    <n v="4"/>
    <n v="0"/>
    <n v="12"/>
    <n v="3"/>
    <n v="3"/>
    <n v="2"/>
    <n v="2"/>
    <n v="2"/>
    <n v="2"/>
  </r>
  <r>
    <n v="27"/>
    <x v="1"/>
    <s v="Travel_Frequently"/>
    <n v="1410"/>
    <x v="0"/>
    <n v="3"/>
    <n v="1"/>
    <s v="Medical"/>
    <n v="714"/>
    <n v="4"/>
    <x v="0"/>
    <n v="71"/>
    <n v="4"/>
    <n v="2"/>
    <s v="Sales Executive"/>
    <n v="4"/>
    <s v="Divorced"/>
    <n v="4647"/>
    <n v="16673"/>
    <n v="1"/>
    <x v="0"/>
    <n v="20"/>
    <n v="4"/>
    <n v="2"/>
    <n v="2"/>
    <n v="6"/>
    <n v="3"/>
    <n v="3"/>
    <n v="6"/>
    <n v="5"/>
    <n v="0"/>
    <n v="4"/>
  </r>
  <r>
    <n v="37"/>
    <x v="1"/>
    <s v="Travel_Rarely"/>
    <n v="1225"/>
    <x v="1"/>
    <n v="10"/>
    <n v="2"/>
    <s v="Life Sciences"/>
    <n v="715"/>
    <n v="4"/>
    <x v="1"/>
    <n v="80"/>
    <n v="4"/>
    <n v="1"/>
    <s v="Research Scientist"/>
    <n v="4"/>
    <s v="Single"/>
    <n v="4680"/>
    <n v="15232"/>
    <n v="3"/>
    <x v="1"/>
    <n v="17"/>
    <n v="3"/>
    <n v="1"/>
    <n v="0"/>
    <n v="4"/>
    <n v="2"/>
    <n v="3"/>
    <n v="1"/>
    <n v="0"/>
    <n v="0"/>
    <n v="0"/>
  </r>
  <r>
    <n v="50"/>
    <x v="1"/>
    <s v="Travel_Rarely"/>
    <n v="1207"/>
    <x v="1"/>
    <n v="28"/>
    <n v="1"/>
    <s v="Medical"/>
    <n v="716"/>
    <n v="4"/>
    <x v="1"/>
    <n v="74"/>
    <n v="4"/>
    <n v="1"/>
    <s v="Laboratory Technician"/>
    <n v="3"/>
    <s v="Married"/>
    <n v="3221"/>
    <n v="3297"/>
    <n v="1"/>
    <x v="0"/>
    <n v="11"/>
    <n v="3"/>
    <n v="3"/>
    <n v="3"/>
    <n v="20"/>
    <n v="3"/>
    <n v="3"/>
    <n v="20"/>
    <n v="8"/>
    <n v="3"/>
    <n v="8"/>
  </r>
  <r>
    <n v="34"/>
    <x v="1"/>
    <s v="Travel_Rarely"/>
    <n v="1442"/>
    <x v="1"/>
    <n v="9"/>
    <n v="3"/>
    <s v="Medical"/>
    <n v="717"/>
    <n v="4"/>
    <x v="0"/>
    <n v="46"/>
    <n v="2"/>
    <n v="3"/>
    <s v="Healthcare Representative"/>
    <n v="2"/>
    <s v="Single"/>
    <n v="8621"/>
    <n v="17654"/>
    <n v="1"/>
    <x v="1"/>
    <n v="14"/>
    <n v="3"/>
    <n v="2"/>
    <n v="0"/>
    <n v="9"/>
    <n v="3"/>
    <n v="4"/>
    <n v="8"/>
    <n v="7"/>
    <n v="7"/>
    <n v="7"/>
  </r>
  <r>
    <n v="24"/>
    <x v="0"/>
    <s v="Travel_Rarely"/>
    <n v="693"/>
    <x v="0"/>
    <n v="3"/>
    <n v="2"/>
    <s v="Life Sciences"/>
    <n v="720"/>
    <n v="1"/>
    <x v="0"/>
    <n v="65"/>
    <n v="3"/>
    <n v="2"/>
    <s v="Sales Executive"/>
    <n v="3"/>
    <s v="Single"/>
    <n v="4577"/>
    <n v="24785"/>
    <n v="9"/>
    <x v="1"/>
    <n v="14"/>
    <n v="3"/>
    <n v="1"/>
    <n v="0"/>
    <n v="4"/>
    <n v="3"/>
    <n v="3"/>
    <n v="2"/>
    <n v="2"/>
    <n v="2"/>
    <n v="0"/>
  </r>
  <r>
    <n v="39"/>
    <x v="1"/>
    <s v="Travel_Rarely"/>
    <n v="408"/>
    <x v="1"/>
    <n v="2"/>
    <n v="4"/>
    <s v="Technical Degree"/>
    <n v="721"/>
    <n v="4"/>
    <x v="0"/>
    <n v="80"/>
    <n v="2"/>
    <n v="2"/>
    <s v="Healthcare Representative"/>
    <n v="3"/>
    <s v="Single"/>
    <n v="4553"/>
    <n v="20978"/>
    <n v="1"/>
    <x v="1"/>
    <n v="11"/>
    <n v="3"/>
    <n v="1"/>
    <n v="0"/>
    <n v="20"/>
    <n v="4"/>
    <n v="3"/>
    <n v="20"/>
    <n v="7"/>
    <n v="11"/>
    <n v="10"/>
  </r>
  <r>
    <n v="32"/>
    <x v="1"/>
    <s v="Travel_Rarely"/>
    <n v="929"/>
    <x v="0"/>
    <n v="10"/>
    <n v="3"/>
    <s v="Marketing"/>
    <n v="722"/>
    <n v="4"/>
    <x v="1"/>
    <n v="55"/>
    <n v="3"/>
    <n v="2"/>
    <s v="Sales Executive"/>
    <n v="4"/>
    <s v="Single"/>
    <n v="5396"/>
    <n v="21703"/>
    <n v="1"/>
    <x v="1"/>
    <n v="12"/>
    <n v="3"/>
    <n v="4"/>
    <n v="0"/>
    <n v="10"/>
    <n v="2"/>
    <n v="2"/>
    <n v="10"/>
    <n v="7"/>
    <n v="0"/>
    <n v="8"/>
  </r>
  <r>
    <n v="50"/>
    <x v="0"/>
    <s v="Travel_Frequently"/>
    <n v="562"/>
    <x v="0"/>
    <n v="8"/>
    <n v="2"/>
    <s v="Technical Degree"/>
    <n v="723"/>
    <n v="2"/>
    <x v="1"/>
    <n v="50"/>
    <n v="3"/>
    <n v="2"/>
    <s v="Sales Executive"/>
    <n v="3"/>
    <s v="Married"/>
    <n v="6796"/>
    <n v="23452"/>
    <n v="3"/>
    <x v="0"/>
    <n v="14"/>
    <n v="3"/>
    <n v="1"/>
    <n v="1"/>
    <n v="18"/>
    <n v="4"/>
    <n v="3"/>
    <n v="4"/>
    <n v="3"/>
    <n v="1"/>
    <n v="3"/>
  </r>
  <r>
    <n v="38"/>
    <x v="1"/>
    <s v="Travel_Rarely"/>
    <n v="827"/>
    <x v="1"/>
    <n v="1"/>
    <n v="4"/>
    <s v="Life Sciences"/>
    <n v="724"/>
    <n v="2"/>
    <x v="0"/>
    <n v="33"/>
    <n v="4"/>
    <n v="2"/>
    <s v="Healthcare Representative"/>
    <n v="4"/>
    <s v="Single"/>
    <n v="7625"/>
    <n v="19383"/>
    <n v="0"/>
    <x v="1"/>
    <n v="13"/>
    <n v="3"/>
    <n v="3"/>
    <n v="0"/>
    <n v="10"/>
    <n v="4"/>
    <n v="2"/>
    <n v="9"/>
    <n v="7"/>
    <n v="1"/>
    <n v="8"/>
  </r>
  <r>
    <n v="27"/>
    <x v="1"/>
    <s v="Travel_Rarely"/>
    <n v="608"/>
    <x v="1"/>
    <n v="1"/>
    <n v="2"/>
    <s v="Life Sciences"/>
    <n v="725"/>
    <n v="3"/>
    <x v="0"/>
    <n v="68"/>
    <n v="3"/>
    <n v="3"/>
    <s v="Manufacturing Director"/>
    <n v="1"/>
    <s v="Married"/>
    <n v="7412"/>
    <n v="6009"/>
    <n v="1"/>
    <x v="1"/>
    <n v="11"/>
    <n v="3"/>
    <n v="4"/>
    <n v="0"/>
    <n v="9"/>
    <n v="3"/>
    <n v="3"/>
    <n v="9"/>
    <n v="7"/>
    <n v="0"/>
    <n v="7"/>
  </r>
  <r>
    <n v="32"/>
    <x v="1"/>
    <s v="Travel_Rarely"/>
    <n v="1018"/>
    <x v="1"/>
    <n v="3"/>
    <n v="2"/>
    <s v="Life Sciences"/>
    <n v="727"/>
    <n v="3"/>
    <x v="0"/>
    <n v="39"/>
    <n v="3"/>
    <n v="3"/>
    <s v="Research Director"/>
    <n v="4"/>
    <s v="Single"/>
    <n v="11159"/>
    <n v="19373"/>
    <n v="3"/>
    <x v="1"/>
    <n v="15"/>
    <n v="3"/>
    <n v="4"/>
    <n v="0"/>
    <n v="10"/>
    <n v="6"/>
    <n v="3"/>
    <n v="7"/>
    <n v="7"/>
    <n v="7"/>
    <n v="7"/>
  </r>
  <r>
    <n v="47"/>
    <x v="1"/>
    <s v="Travel_Rarely"/>
    <n v="703"/>
    <x v="0"/>
    <n v="14"/>
    <n v="4"/>
    <s v="Marketing"/>
    <n v="728"/>
    <n v="4"/>
    <x v="1"/>
    <n v="42"/>
    <n v="3"/>
    <n v="2"/>
    <s v="Sales Executive"/>
    <n v="1"/>
    <s v="Single"/>
    <n v="4960"/>
    <n v="11825"/>
    <n v="2"/>
    <x v="1"/>
    <n v="12"/>
    <n v="3"/>
    <n v="4"/>
    <n v="0"/>
    <n v="20"/>
    <n v="2"/>
    <n v="3"/>
    <n v="7"/>
    <n v="7"/>
    <n v="1"/>
    <n v="7"/>
  </r>
  <r>
    <n v="40"/>
    <x v="1"/>
    <s v="Travel_Frequently"/>
    <n v="580"/>
    <x v="0"/>
    <n v="5"/>
    <n v="4"/>
    <s v="Life Sciences"/>
    <n v="729"/>
    <n v="4"/>
    <x v="1"/>
    <n v="48"/>
    <n v="2"/>
    <n v="3"/>
    <s v="Sales Executive"/>
    <n v="1"/>
    <s v="Married"/>
    <n v="10475"/>
    <n v="23772"/>
    <n v="5"/>
    <x v="0"/>
    <n v="21"/>
    <n v="4"/>
    <n v="3"/>
    <n v="1"/>
    <n v="20"/>
    <n v="2"/>
    <n v="3"/>
    <n v="18"/>
    <n v="13"/>
    <n v="1"/>
    <n v="12"/>
  </r>
  <r>
    <n v="53"/>
    <x v="1"/>
    <s v="Travel_Rarely"/>
    <n v="970"/>
    <x v="1"/>
    <n v="7"/>
    <n v="3"/>
    <s v="Life Sciences"/>
    <n v="730"/>
    <n v="3"/>
    <x v="1"/>
    <n v="59"/>
    <n v="4"/>
    <n v="4"/>
    <s v="Research Director"/>
    <n v="3"/>
    <s v="Married"/>
    <n v="14814"/>
    <n v="13514"/>
    <n v="3"/>
    <x v="1"/>
    <n v="19"/>
    <n v="3"/>
    <n v="3"/>
    <n v="0"/>
    <n v="32"/>
    <n v="3"/>
    <n v="3"/>
    <n v="5"/>
    <n v="1"/>
    <n v="1"/>
    <n v="3"/>
  </r>
  <r>
    <n v="41"/>
    <x v="1"/>
    <s v="Travel_Rarely"/>
    <n v="427"/>
    <x v="2"/>
    <n v="10"/>
    <n v="4"/>
    <s v="Human Resources"/>
    <n v="731"/>
    <n v="2"/>
    <x v="1"/>
    <n v="73"/>
    <n v="2"/>
    <n v="5"/>
    <s v="Manager"/>
    <n v="4"/>
    <s v="Divorced"/>
    <n v="19141"/>
    <n v="8861"/>
    <n v="3"/>
    <x v="1"/>
    <n v="15"/>
    <n v="3"/>
    <n v="2"/>
    <n v="3"/>
    <n v="23"/>
    <n v="2"/>
    <n v="2"/>
    <n v="21"/>
    <n v="6"/>
    <n v="12"/>
    <n v="6"/>
  </r>
  <r>
    <n v="60"/>
    <x v="1"/>
    <s v="Travel_Rarely"/>
    <n v="1179"/>
    <x v="0"/>
    <n v="16"/>
    <n v="4"/>
    <s v="Marketing"/>
    <n v="732"/>
    <n v="1"/>
    <x v="1"/>
    <n v="84"/>
    <n v="3"/>
    <n v="2"/>
    <s v="Sales Executive"/>
    <n v="1"/>
    <s v="Single"/>
    <n v="5405"/>
    <n v="11924"/>
    <n v="8"/>
    <x v="1"/>
    <n v="14"/>
    <n v="3"/>
    <n v="4"/>
    <n v="0"/>
    <n v="10"/>
    <n v="1"/>
    <n v="3"/>
    <n v="2"/>
    <n v="2"/>
    <n v="2"/>
    <n v="2"/>
  </r>
  <r>
    <n v="27"/>
    <x v="1"/>
    <s v="Travel_Frequently"/>
    <n v="294"/>
    <x v="1"/>
    <n v="10"/>
    <n v="2"/>
    <s v="Life Sciences"/>
    <n v="733"/>
    <n v="4"/>
    <x v="1"/>
    <n v="32"/>
    <n v="3"/>
    <n v="3"/>
    <s v="Manufacturing Director"/>
    <n v="1"/>
    <s v="Divorced"/>
    <n v="8793"/>
    <n v="4809"/>
    <n v="1"/>
    <x v="1"/>
    <n v="21"/>
    <n v="4"/>
    <n v="3"/>
    <n v="2"/>
    <n v="9"/>
    <n v="4"/>
    <n v="2"/>
    <n v="9"/>
    <n v="7"/>
    <n v="1"/>
    <n v="7"/>
  </r>
  <r>
    <n v="41"/>
    <x v="1"/>
    <s v="Travel_Rarely"/>
    <n v="314"/>
    <x v="2"/>
    <n v="1"/>
    <n v="3"/>
    <s v="Human Resources"/>
    <n v="734"/>
    <n v="4"/>
    <x v="1"/>
    <n v="59"/>
    <n v="2"/>
    <n v="5"/>
    <s v="Manager"/>
    <n v="3"/>
    <s v="Married"/>
    <n v="19189"/>
    <n v="19562"/>
    <n v="1"/>
    <x v="1"/>
    <n v="12"/>
    <n v="3"/>
    <n v="2"/>
    <n v="1"/>
    <n v="22"/>
    <n v="3"/>
    <n v="3"/>
    <n v="22"/>
    <n v="7"/>
    <n v="2"/>
    <n v="10"/>
  </r>
  <r>
    <n v="50"/>
    <x v="1"/>
    <s v="Travel_Rarely"/>
    <n v="316"/>
    <x v="0"/>
    <n v="8"/>
    <n v="4"/>
    <s v="Marketing"/>
    <n v="738"/>
    <n v="4"/>
    <x v="1"/>
    <n v="54"/>
    <n v="3"/>
    <n v="1"/>
    <s v="Sales Representative"/>
    <n v="2"/>
    <s v="Married"/>
    <n v="3875"/>
    <n v="9983"/>
    <n v="7"/>
    <x v="1"/>
    <n v="15"/>
    <n v="3"/>
    <n v="4"/>
    <n v="1"/>
    <n v="4"/>
    <n v="2"/>
    <n v="3"/>
    <n v="2"/>
    <n v="2"/>
    <n v="2"/>
    <n v="2"/>
  </r>
  <r>
    <n v="28"/>
    <x v="0"/>
    <s v="Travel_Rarely"/>
    <n v="654"/>
    <x v="1"/>
    <n v="1"/>
    <n v="2"/>
    <s v="Life Sciences"/>
    <n v="741"/>
    <n v="1"/>
    <x v="0"/>
    <n v="67"/>
    <n v="1"/>
    <n v="1"/>
    <s v="Research Scientist"/>
    <n v="2"/>
    <s v="Single"/>
    <n v="2216"/>
    <n v="3872"/>
    <n v="7"/>
    <x v="0"/>
    <n v="13"/>
    <n v="3"/>
    <n v="4"/>
    <n v="0"/>
    <n v="10"/>
    <n v="4"/>
    <n v="3"/>
    <n v="7"/>
    <n v="7"/>
    <n v="3"/>
    <n v="7"/>
  </r>
  <r>
    <n v="36"/>
    <x v="1"/>
    <s v="Non-Travel"/>
    <n v="427"/>
    <x v="1"/>
    <n v="8"/>
    <n v="3"/>
    <s v="Life Sciences"/>
    <n v="742"/>
    <n v="1"/>
    <x v="0"/>
    <n v="63"/>
    <n v="4"/>
    <n v="3"/>
    <s v="Research Director"/>
    <n v="1"/>
    <s v="Married"/>
    <n v="11713"/>
    <n v="20335"/>
    <n v="9"/>
    <x v="1"/>
    <n v="14"/>
    <n v="3"/>
    <n v="1"/>
    <n v="1"/>
    <n v="10"/>
    <n v="2"/>
    <n v="3"/>
    <n v="8"/>
    <n v="7"/>
    <n v="0"/>
    <n v="5"/>
  </r>
  <r>
    <n v="38"/>
    <x v="1"/>
    <s v="Travel_Rarely"/>
    <n v="168"/>
    <x v="1"/>
    <n v="1"/>
    <n v="3"/>
    <s v="Life Sciences"/>
    <n v="743"/>
    <n v="3"/>
    <x v="0"/>
    <n v="81"/>
    <n v="3"/>
    <n v="3"/>
    <s v="Manufacturing Director"/>
    <n v="3"/>
    <s v="Single"/>
    <n v="7861"/>
    <n v="15397"/>
    <n v="4"/>
    <x v="0"/>
    <n v="14"/>
    <n v="3"/>
    <n v="4"/>
    <n v="0"/>
    <n v="10"/>
    <n v="4"/>
    <n v="4"/>
    <n v="1"/>
    <n v="0"/>
    <n v="0"/>
    <n v="0"/>
  </r>
  <r>
    <n v="44"/>
    <x v="1"/>
    <s v="Non-Travel"/>
    <n v="381"/>
    <x v="1"/>
    <n v="24"/>
    <n v="3"/>
    <s v="Medical"/>
    <n v="744"/>
    <n v="1"/>
    <x v="1"/>
    <n v="49"/>
    <n v="1"/>
    <n v="1"/>
    <s v="Laboratory Technician"/>
    <n v="3"/>
    <s v="Single"/>
    <n v="3708"/>
    <n v="2104"/>
    <n v="2"/>
    <x v="1"/>
    <n v="14"/>
    <n v="3"/>
    <n v="3"/>
    <n v="0"/>
    <n v="9"/>
    <n v="5"/>
    <n v="3"/>
    <n v="5"/>
    <n v="2"/>
    <n v="1"/>
    <n v="4"/>
  </r>
  <r>
    <n v="47"/>
    <x v="1"/>
    <s v="Travel_Frequently"/>
    <n v="217"/>
    <x v="0"/>
    <n v="3"/>
    <n v="3"/>
    <s v="Medical"/>
    <n v="746"/>
    <n v="4"/>
    <x v="0"/>
    <n v="49"/>
    <n v="3"/>
    <n v="4"/>
    <s v="Sales Executive"/>
    <n v="3"/>
    <s v="Divorced"/>
    <n v="13770"/>
    <n v="10225"/>
    <n v="9"/>
    <x v="0"/>
    <n v="12"/>
    <n v="3"/>
    <n v="4"/>
    <n v="2"/>
    <n v="28"/>
    <n v="2"/>
    <n v="2"/>
    <n v="22"/>
    <n v="2"/>
    <n v="11"/>
    <n v="13"/>
  </r>
  <r>
    <n v="30"/>
    <x v="1"/>
    <s v="Travel_Rarely"/>
    <n v="501"/>
    <x v="0"/>
    <n v="27"/>
    <n v="5"/>
    <s v="Marketing"/>
    <n v="747"/>
    <n v="3"/>
    <x v="1"/>
    <n v="99"/>
    <n v="3"/>
    <n v="2"/>
    <s v="Sales Executive"/>
    <n v="4"/>
    <s v="Divorced"/>
    <n v="5304"/>
    <n v="25275"/>
    <n v="7"/>
    <x v="1"/>
    <n v="23"/>
    <n v="4"/>
    <n v="4"/>
    <n v="1"/>
    <n v="10"/>
    <n v="2"/>
    <n v="2"/>
    <n v="8"/>
    <n v="7"/>
    <n v="7"/>
    <n v="7"/>
  </r>
  <r>
    <n v="29"/>
    <x v="1"/>
    <s v="Travel_Rarely"/>
    <n v="1396"/>
    <x v="0"/>
    <n v="10"/>
    <n v="3"/>
    <s v="Life Sciences"/>
    <n v="749"/>
    <n v="3"/>
    <x v="1"/>
    <n v="99"/>
    <n v="3"/>
    <n v="1"/>
    <s v="Sales Representative"/>
    <n v="3"/>
    <s v="Single"/>
    <n v="2642"/>
    <n v="2755"/>
    <n v="1"/>
    <x v="1"/>
    <n v="11"/>
    <n v="3"/>
    <n v="3"/>
    <n v="0"/>
    <n v="1"/>
    <n v="6"/>
    <n v="3"/>
    <n v="1"/>
    <n v="0"/>
    <n v="0"/>
    <n v="0"/>
  </r>
  <r>
    <n v="42"/>
    <x v="0"/>
    <s v="Travel_Frequently"/>
    <n v="933"/>
    <x v="1"/>
    <n v="19"/>
    <n v="3"/>
    <s v="Medical"/>
    <n v="752"/>
    <n v="3"/>
    <x v="1"/>
    <n v="57"/>
    <n v="4"/>
    <n v="1"/>
    <s v="Research Scientist"/>
    <n v="3"/>
    <s v="Divorced"/>
    <n v="2759"/>
    <n v="20366"/>
    <n v="6"/>
    <x v="0"/>
    <n v="12"/>
    <n v="3"/>
    <n v="4"/>
    <n v="0"/>
    <n v="7"/>
    <n v="2"/>
    <n v="3"/>
    <n v="2"/>
    <n v="2"/>
    <n v="2"/>
    <n v="2"/>
  </r>
  <r>
    <n v="43"/>
    <x v="1"/>
    <s v="Travel_Frequently"/>
    <n v="775"/>
    <x v="0"/>
    <n v="15"/>
    <n v="3"/>
    <s v="Life Sciences"/>
    <n v="754"/>
    <n v="4"/>
    <x v="1"/>
    <n v="47"/>
    <n v="2"/>
    <n v="2"/>
    <s v="Sales Executive"/>
    <n v="4"/>
    <s v="Married"/>
    <n v="6804"/>
    <n v="23683"/>
    <n v="3"/>
    <x v="1"/>
    <n v="18"/>
    <n v="3"/>
    <n v="3"/>
    <n v="1"/>
    <n v="7"/>
    <n v="5"/>
    <n v="3"/>
    <n v="2"/>
    <n v="2"/>
    <n v="2"/>
    <n v="2"/>
  </r>
  <r>
    <n v="34"/>
    <x v="1"/>
    <s v="Travel_Rarely"/>
    <n v="970"/>
    <x v="1"/>
    <n v="8"/>
    <n v="2"/>
    <s v="Medical"/>
    <n v="757"/>
    <n v="2"/>
    <x v="0"/>
    <n v="96"/>
    <n v="3"/>
    <n v="2"/>
    <s v="Healthcare Representative"/>
    <n v="3"/>
    <s v="Single"/>
    <n v="6142"/>
    <n v="7360"/>
    <n v="3"/>
    <x v="1"/>
    <n v="11"/>
    <n v="3"/>
    <n v="4"/>
    <n v="0"/>
    <n v="10"/>
    <n v="2"/>
    <n v="3"/>
    <n v="5"/>
    <n v="1"/>
    <n v="4"/>
    <n v="3"/>
  </r>
  <r>
    <n v="23"/>
    <x v="1"/>
    <s v="Travel_Rarely"/>
    <n v="650"/>
    <x v="1"/>
    <n v="9"/>
    <n v="1"/>
    <s v="Medical"/>
    <n v="758"/>
    <n v="2"/>
    <x v="1"/>
    <n v="37"/>
    <n v="3"/>
    <n v="1"/>
    <s v="Laboratory Technician"/>
    <n v="1"/>
    <s v="Married"/>
    <n v="2500"/>
    <n v="4344"/>
    <n v="1"/>
    <x v="1"/>
    <n v="14"/>
    <n v="3"/>
    <n v="4"/>
    <n v="1"/>
    <n v="5"/>
    <n v="2"/>
    <n v="4"/>
    <n v="4"/>
    <n v="3"/>
    <n v="0"/>
    <n v="2"/>
  </r>
  <r>
    <n v="39"/>
    <x v="1"/>
    <s v="Travel_Rarely"/>
    <n v="141"/>
    <x v="2"/>
    <n v="3"/>
    <n v="3"/>
    <s v="Human Resources"/>
    <n v="760"/>
    <n v="3"/>
    <x v="0"/>
    <n v="44"/>
    <n v="4"/>
    <n v="2"/>
    <s v="Human Resources"/>
    <n v="2"/>
    <s v="Married"/>
    <n v="6389"/>
    <n v="18767"/>
    <n v="9"/>
    <x v="1"/>
    <n v="15"/>
    <n v="3"/>
    <n v="3"/>
    <n v="1"/>
    <n v="12"/>
    <n v="3"/>
    <n v="1"/>
    <n v="8"/>
    <n v="3"/>
    <n v="3"/>
    <n v="6"/>
  </r>
  <r>
    <n v="56"/>
    <x v="1"/>
    <s v="Travel_Rarely"/>
    <n v="832"/>
    <x v="1"/>
    <n v="9"/>
    <n v="3"/>
    <s v="Medical"/>
    <n v="762"/>
    <n v="3"/>
    <x v="1"/>
    <n v="81"/>
    <n v="3"/>
    <n v="4"/>
    <s v="Healthcare Representative"/>
    <n v="4"/>
    <s v="Married"/>
    <n v="11103"/>
    <n v="20420"/>
    <n v="7"/>
    <x v="1"/>
    <n v="11"/>
    <n v="3"/>
    <n v="3"/>
    <n v="0"/>
    <n v="30"/>
    <n v="1"/>
    <n v="2"/>
    <n v="10"/>
    <n v="7"/>
    <n v="1"/>
    <n v="1"/>
  </r>
  <r>
    <n v="40"/>
    <x v="1"/>
    <s v="Travel_Rarely"/>
    <n v="804"/>
    <x v="1"/>
    <n v="2"/>
    <n v="1"/>
    <s v="Medical"/>
    <n v="763"/>
    <n v="4"/>
    <x v="0"/>
    <n v="86"/>
    <n v="2"/>
    <n v="1"/>
    <s v="Research Scientist"/>
    <n v="4"/>
    <s v="Single"/>
    <n v="2342"/>
    <n v="22929"/>
    <n v="0"/>
    <x v="0"/>
    <n v="20"/>
    <n v="4"/>
    <n v="4"/>
    <n v="0"/>
    <n v="5"/>
    <n v="2"/>
    <n v="2"/>
    <n v="4"/>
    <n v="2"/>
    <n v="2"/>
    <n v="3"/>
  </r>
  <r>
    <n v="27"/>
    <x v="1"/>
    <s v="Travel_Rarely"/>
    <n v="975"/>
    <x v="1"/>
    <n v="7"/>
    <n v="3"/>
    <s v="Medical"/>
    <n v="764"/>
    <n v="4"/>
    <x v="0"/>
    <n v="55"/>
    <n v="2"/>
    <n v="2"/>
    <s v="Healthcare Representative"/>
    <n v="1"/>
    <s v="Single"/>
    <n v="6811"/>
    <n v="23398"/>
    <n v="8"/>
    <x v="1"/>
    <n v="19"/>
    <n v="3"/>
    <n v="1"/>
    <n v="0"/>
    <n v="9"/>
    <n v="2"/>
    <n v="1"/>
    <n v="7"/>
    <n v="6"/>
    <n v="0"/>
    <n v="7"/>
  </r>
  <r>
    <n v="29"/>
    <x v="1"/>
    <s v="Travel_Rarely"/>
    <n v="1090"/>
    <x v="0"/>
    <n v="10"/>
    <n v="3"/>
    <s v="Marketing"/>
    <n v="766"/>
    <n v="4"/>
    <x v="1"/>
    <n v="83"/>
    <n v="3"/>
    <n v="1"/>
    <s v="Sales Representative"/>
    <n v="2"/>
    <s v="Divorced"/>
    <n v="2297"/>
    <n v="17967"/>
    <n v="1"/>
    <x v="1"/>
    <n v="14"/>
    <n v="3"/>
    <n v="4"/>
    <n v="2"/>
    <n v="2"/>
    <n v="2"/>
    <n v="3"/>
    <n v="2"/>
    <n v="2"/>
    <n v="2"/>
    <n v="2"/>
  </r>
  <r>
    <n v="53"/>
    <x v="1"/>
    <s v="Travel_Rarely"/>
    <n v="346"/>
    <x v="1"/>
    <n v="6"/>
    <n v="3"/>
    <s v="Life Sciences"/>
    <n v="769"/>
    <n v="4"/>
    <x v="1"/>
    <n v="86"/>
    <n v="3"/>
    <n v="2"/>
    <s v="Laboratory Technician"/>
    <n v="4"/>
    <s v="Single"/>
    <n v="2450"/>
    <n v="10919"/>
    <n v="2"/>
    <x v="1"/>
    <n v="17"/>
    <n v="3"/>
    <n v="4"/>
    <n v="0"/>
    <n v="19"/>
    <n v="4"/>
    <n v="3"/>
    <n v="2"/>
    <n v="2"/>
    <n v="2"/>
    <n v="2"/>
  </r>
  <r>
    <n v="35"/>
    <x v="1"/>
    <s v="Non-Travel"/>
    <n v="1225"/>
    <x v="1"/>
    <n v="2"/>
    <n v="4"/>
    <s v="Life Sciences"/>
    <n v="771"/>
    <n v="4"/>
    <x v="0"/>
    <n v="61"/>
    <n v="3"/>
    <n v="2"/>
    <s v="Healthcare Representative"/>
    <n v="1"/>
    <s v="Divorced"/>
    <n v="5093"/>
    <n v="4761"/>
    <n v="2"/>
    <x v="1"/>
    <n v="11"/>
    <n v="3"/>
    <n v="1"/>
    <n v="1"/>
    <n v="16"/>
    <n v="2"/>
    <n v="4"/>
    <n v="1"/>
    <n v="0"/>
    <n v="0"/>
    <n v="0"/>
  </r>
  <r>
    <n v="32"/>
    <x v="1"/>
    <s v="Travel_Frequently"/>
    <n v="430"/>
    <x v="1"/>
    <n v="24"/>
    <n v="4"/>
    <s v="Life Sciences"/>
    <n v="772"/>
    <n v="1"/>
    <x v="1"/>
    <n v="80"/>
    <n v="3"/>
    <n v="2"/>
    <s v="Laboratory Technician"/>
    <n v="4"/>
    <s v="Married"/>
    <n v="5309"/>
    <n v="21146"/>
    <n v="1"/>
    <x v="1"/>
    <n v="15"/>
    <n v="3"/>
    <n v="4"/>
    <n v="2"/>
    <n v="10"/>
    <n v="2"/>
    <n v="3"/>
    <n v="10"/>
    <n v="8"/>
    <n v="4"/>
    <n v="7"/>
  </r>
  <r>
    <n v="38"/>
    <x v="1"/>
    <s v="Travel_Rarely"/>
    <n v="268"/>
    <x v="1"/>
    <n v="2"/>
    <n v="5"/>
    <s v="Medical"/>
    <n v="773"/>
    <n v="4"/>
    <x v="1"/>
    <n v="92"/>
    <n v="3"/>
    <n v="1"/>
    <s v="Research Scientist"/>
    <n v="3"/>
    <s v="Married"/>
    <n v="3057"/>
    <n v="20471"/>
    <n v="6"/>
    <x v="0"/>
    <n v="13"/>
    <n v="3"/>
    <n v="2"/>
    <n v="1"/>
    <n v="6"/>
    <n v="0"/>
    <n v="1"/>
    <n v="1"/>
    <n v="0"/>
    <n v="0"/>
    <n v="1"/>
  </r>
  <r>
    <n v="34"/>
    <x v="1"/>
    <s v="Travel_Rarely"/>
    <n v="167"/>
    <x v="1"/>
    <n v="8"/>
    <n v="5"/>
    <s v="Life Sciences"/>
    <n v="775"/>
    <n v="2"/>
    <x v="0"/>
    <n v="32"/>
    <n v="3"/>
    <n v="2"/>
    <s v="Manufacturing Director"/>
    <n v="1"/>
    <s v="Divorced"/>
    <n v="5121"/>
    <n v="4187"/>
    <n v="3"/>
    <x v="1"/>
    <n v="14"/>
    <n v="3"/>
    <n v="3"/>
    <n v="1"/>
    <n v="7"/>
    <n v="3"/>
    <n v="3"/>
    <n v="0"/>
    <n v="0"/>
    <n v="0"/>
    <n v="0"/>
  </r>
  <r>
    <n v="52"/>
    <x v="1"/>
    <s v="Travel_Rarely"/>
    <n v="621"/>
    <x v="0"/>
    <n v="3"/>
    <n v="4"/>
    <s v="Marketing"/>
    <n v="776"/>
    <n v="3"/>
    <x v="1"/>
    <n v="31"/>
    <n v="2"/>
    <n v="4"/>
    <s v="Manager"/>
    <n v="1"/>
    <s v="Married"/>
    <n v="16856"/>
    <n v="10084"/>
    <n v="1"/>
    <x v="1"/>
    <n v="11"/>
    <n v="3"/>
    <n v="1"/>
    <n v="0"/>
    <n v="34"/>
    <n v="3"/>
    <n v="4"/>
    <n v="34"/>
    <n v="6"/>
    <n v="1"/>
    <n v="16"/>
  </r>
  <r>
    <n v="33"/>
    <x v="0"/>
    <s v="Travel_Rarely"/>
    <n v="527"/>
    <x v="1"/>
    <n v="1"/>
    <n v="4"/>
    <s v="Other"/>
    <n v="780"/>
    <n v="4"/>
    <x v="1"/>
    <n v="63"/>
    <n v="3"/>
    <n v="1"/>
    <s v="Research Scientist"/>
    <n v="4"/>
    <s v="Single"/>
    <n v="2686"/>
    <n v="5207"/>
    <n v="1"/>
    <x v="0"/>
    <n v="13"/>
    <n v="3"/>
    <n v="3"/>
    <n v="0"/>
    <n v="10"/>
    <n v="2"/>
    <n v="2"/>
    <n v="10"/>
    <n v="9"/>
    <n v="7"/>
    <n v="8"/>
  </r>
  <r>
    <n v="25"/>
    <x v="1"/>
    <s v="Travel_Rarely"/>
    <n v="883"/>
    <x v="0"/>
    <n v="26"/>
    <n v="1"/>
    <s v="Medical"/>
    <n v="781"/>
    <n v="3"/>
    <x v="0"/>
    <n v="32"/>
    <n v="3"/>
    <n v="2"/>
    <s v="Sales Executive"/>
    <n v="4"/>
    <s v="Single"/>
    <n v="6180"/>
    <n v="22807"/>
    <n v="1"/>
    <x v="1"/>
    <n v="23"/>
    <n v="4"/>
    <n v="2"/>
    <n v="0"/>
    <n v="6"/>
    <n v="5"/>
    <n v="2"/>
    <n v="6"/>
    <n v="5"/>
    <n v="1"/>
    <n v="4"/>
  </r>
  <r>
    <n v="45"/>
    <x v="1"/>
    <s v="Travel_Rarely"/>
    <n v="954"/>
    <x v="0"/>
    <n v="2"/>
    <n v="2"/>
    <s v="Technical Degree"/>
    <n v="783"/>
    <n v="2"/>
    <x v="1"/>
    <n v="46"/>
    <n v="1"/>
    <n v="2"/>
    <s v="Sales Representative"/>
    <n v="3"/>
    <s v="Single"/>
    <n v="6632"/>
    <n v="12388"/>
    <n v="0"/>
    <x v="1"/>
    <n v="13"/>
    <n v="3"/>
    <n v="1"/>
    <n v="0"/>
    <n v="9"/>
    <n v="3"/>
    <n v="3"/>
    <n v="8"/>
    <n v="7"/>
    <n v="3"/>
    <n v="1"/>
  </r>
  <r>
    <n v="23"/>
    <x v="1"/>
    <s v="Travel_Rarely"/>
    <n v="310"/>
    <x v="1"/>
    <n v="10"/>
    <n v="1"/>
    <s v="Medical"/>
    <n v="784"/>
    <n v="1"/>
    <x v="1"/>
    <n v="79"/>
    <n v="4"/>
    <n v="1"/>
    <s v="Research Scientist"/>
    <n v="3"/>
    <s v="Single"/>
    <n v="3505"/>
    <n v="19630"/>
    <n v="1"/>
    <x v="1"/>
    <n v="18"/>
    <n v="3"/>
    <n v="4"/>
    <n v="0"/>
    <n v="2"/>
    <n v="3"/>
    <n v="3"/>
    <n v="2"/>
    <n v="2"/>
    <n v="0"/>
    <n v="2"/>
  </r>
  <r>
    <n v="47"/>
    <x v="0"/>
    <s v="Travel_Frequently"/>
    <n v="719"/>
    <x v="0"/>
    <n v="27"/>
    <n v="2"/>
    <s v="Life Sciences"/>
    <n v="785"/>
    <n v="2"/>
    <x v="0"/>
    <n v="77"/>
    <n v="4"/>
    <n v="2"/>
    <s v="Sales Executive"/>
    <n v="3"/>
    <s v="Single"/>
    <n v="6397"/>
    <n v="10339"/>
    <n v="4"/>
    <x v="0"/>
    <n v="12"/>
    <n v="3"/>
    <n v="4"/>
    <n v="0"/>
    <n v="8"/>
    <n v="2"/>
    <n v="3"/>
    <n v="5"/>
    <n v="4"/>
    <n v="1"/>
    <n v="3"/>
  </r>
  <r>
    <n v="34"/>
    <x v="1"/>
    <s v="Travel_Rarely"/>
    <n v="304"/>
    <x v="0"/>
    <n v="2"/>
    <n v="3"/>
    <s v="Other"/>
    <n v="786"/>
    <n v="4"/>
    <x v="1"/>
    <n v="60"/>
    <n v="3"/>
    <n v="2"/>
    <s v="Sales Executive"/>
    <n v="4"/>
    <s v="Single"/>
    <n v="6274"/>
    <n v="18686"/>
    <n v="1"/>
    <x v="1"/>
    <n v="22"/>
    <n v="4"/>
    <n v="3"/>
    <n v="0"/>
    <n v="6"/>
    <n v="5"/>
    <n v="3"/>
    <n v="6"/>
    <n v="5"/>
    <n v="1"/>
    <n v="4"/>
  </r>
  <r>
    <n v="55"/>
    <x v="0"/>
    <s v="Travel_Rarely"/>
    <n v="725"/>
    <x v="1"/>
    <n v="2"/>
    <n v="3"/>
    <s v="Medical"/>
    <n v="787"/>
    <n v="4"/>
    <x v="1"/>
    <n v="78"/>
    <n v="3"/>
    <n v="5"/>
    <s v="Manager"/>
    <n v="1"/>
    <s v="Married"/>
    <n v="19859"/>
    <n v="21199"/>
    <n v="5"/>
    <x v="0"/>
    <n v="13"/>
    <n v="3"/>
    <n v="4"/>
    <n v="1"/>
    <n v="24"/>
    <n v="2"/>
    <n v="3"/>
    <n v="5"/>
    <n v="2"/>
    <n v="1"/>
    <n v="4"/>
  </r>
  <r>
    <n v="36"/>
    <x v="1"/>
    <s v="Non-Travel"/>
    <n v="1434"/>
    <x v="0"/>
    <n v="8"/>
    <n v="4"/>
    <s v="Life Sciences"/>
    <n v="789"/>
    <n v="1"/>
    <x v="1"/>
    <n v="76"/>
    <n v="2"/>
    <n v="3"/>
    <s v="Sales Executive"/>
    <n v="1"/>
    <s v="Single"/>
    <n v="7587"/>
    <n v="14229"/>
    <n v="1"/>
    <x v="1"/>
    <n v="15"/>
    <n v="3"/>
    <n v="2"/>
    <n v="0"/>
    <n v="10"/>
    <n v="1"/>
    <n v="3"/>
    <n v="10"/>
    <n v="7"/>
    <n v="0"/>
    <n v="9"/>
  </r>
  <r>
    <n v="52"/>
    <x v="1"/>
    <s v="Non-Travel"/>
    <n v="715"/>
    <x v="1"/>
    <n v="19"/>
    <n v="4"/>
    <s v="Medical"/>
    <n v="791"/>
    <n v="4"/>
    <x v="1"/>
    <n v="41"/>
    <n v="3"/>
    <n v="1"/>
    <s v="Research Scientist"/>
    <n v="4"/>
    <s v="Married"/>
    <n v="4258"/>
    <n v="26589"/>
    <n v="0"/>
    <x v="1"/>
    <n v="18"/>
    <n v="3"/>
    <n v="1"/>
    <n v="1"/>
    <n v="5"/>
    <n v="3"/>
    <n v="3"/>
    <n v="4"/>
    <n v="3"/>
    <n v="1"/>
    <n v="2"/>
  </r>
  <r>
    <n v="26"/>
    <x v="1"/>
    <s v="Travel_Frequently"/>
    <n v="575"/>
    <x v="1"/>
    <n v="1"/>
    <n v="2"/>
    <s v="Life Sciences"/>
    <n v="792"/>
    <n v="1"/>
    <x v="0"/>
    <n v="71"/>
    <n v="1"/>
    <n v="1"/>
    <s v="Laboratory Technician"/>
    <n v="4"/>
    <s v="Divorced"/>
    <n v="4364"/>
    <n v="5288"/>
    <n v="3"/>
    <x v="1"/>
    <n v="14"/>
    <n v="3"/>
    <n v="1"/>
    <n v="1"/>
    <n v="5"/>
    <n v="2"/>
    <n v="3"/>
    <n v="2"/>
    <n v="2"/>
    <n v="2"/>
    <n v="0"/>
  </r>
  <r>
    <n v="29"/>
    <x v="1"/>
    <s v="Travel_Rarely"/>
    <n v="657"/>
    <x v="1"/>
    <n v="27"/>
    <n v="3"/>
    <s v="Medical"/>
    <n v="793"/>
    <n v="2"/>
    <x v="0"/>
    <n v="66"/>
    <n v="3"/>
    <n v="2"/>
    <s v="Healthcare Representative"/>
    <n v="3"/>
    <s v="Married"/>
    <n v="4335"/>
    <n v="25549"/>
    <n v="4"/>
    <x v="1"/>
    <n v="12"/>
    <n v="3"/>
    <n v="1"/>
    <n v="1"/>
    <n v="11"/>
    <n v="3"/>
    <n v="2"/>
    <n v="8"/>
    <n v="7"/>
    <n v="1"/>
    <n v="1"/>
  </r>
  <r>
    <n v="26"/>
    <x v="0"/>
    <s v="Travel_Rarely"/>
    <n v="1146"/>
    <x v="0"/>
    <n v="8"/>
    <n v="3"/>
    <s v="Technical Degree"/>
    <n v="796"/>
    <n v="4"/>
    <x v="1"/>
    <n v="38"/>
    <n v="2"/>
    <n v="2"/>
    <s v="Sales Executive"/>
    <n v="1"/>
    <s v="Single"/>
    <n v="5326"/>
    <n v="3064"/>
    <n v="6"/>
    <x v="1"/>
    <n v="17"/>
    <n v="3"/>
    <n v="3"/>
    <n v="0"/>
    <n v="6"/>
    <n v="2"/>
    <n v="2"/>
    <n v="4"/>
    <n v="3"/>
    <n v="1"/>
    <n v="2"/>
  </r>
  <r>
    <n v="34"/>
    <x v="1"/>
    <s v="Travel_Rarely"/>
    <n v="182"/>
    <x v="1"/>
    <n v="1"/>
    <n v="4"/>
    <s v="Life Sciences"/>
    <n v="797"/>
    <n v="2"/>
    <x v="0"/>
    <n v="72"/>
    <n v="4"/>
    <n v="1"/>
    <s v="Research Scientist"/>
    <n v="4"/>
    <s v="Single"/>
    <n v="3280"/>
    <n v="13551"/>
    <n v="2"/>
    <x v="1"/>
    <n v="16"/>
    <n v="3"/>
    <n v="3"/>
    <n v="0"/>
    <n v="10"/>
    <n v="2"/>
    <n v="3"/>
    <n v="4"/>
    <n v="2"/>
    <n v="1"/>
    <n v="3"/>
  </r>
  <r>
    <n v="54"/>
    <x v="1"/>
    <s v="Travel_Rarely"/>
    <n v="376"/>
    <x v="1"/>
    <n v="19"/>
    <n v="4"/>
    <s v="Medical"/>
    <n v="799"/>
    <n v="4"/>
    <x v="0"/>
    <n v="95"/>
    <n v="3"/>
    <n v="2"/>
    <s v="Manufacturing Director"/>
    <n v="1"/>
    <s v="Divorced"/>
    <n v="5485"/>
    <n v="22670"/>
    <n v="9"/>
    <x v="0"/>
    <n v="11"/>
    <n v="3"/>
    <n v="2"/>
    <n v="2"/>
    <n v="9"/>
    <n v="4"/>
    <n v="3"/>
    <n v="5"/>
    <n v="3"/>
    <n v="1"/>
    <n v="4"/>
  </r>
  <r>
    <n v="27"/>
    <x v="1"/>
    <s v="Travel_Frequently"/>
    <n v="829"/>
    <x v="0"/>
    <n v="8"/>
    <n v="1"/>
    <s v="Marketing"/>
    <n v="800"/>
    <n v="3"/>
    <x v="1"/>
    <n v="84"/>
    <n v="3"/>
    <n v="2"/>
    <s v="Sales Executive"/>
    <n v="4"/>
    <s v="Married"/>
    <n v="4342"/>
    <n v="24008"/>
    <n v="0"/>
    <x v="1"/>
    <n v="19"/>
    <n v="3"/>
    <n v="2"/>
    <n v="1"/>
    <n v="5"/>
    <n v="3"/>
    <n v="3"/>
    <n v="4"/>
    <n v="2"/>
    <n v="1"/>
    <n v="1"/>
  </r>
  <r>
    <n v="37"/>
    <x v="1"/>
    <s v="Travel_Rarely"/>
    <n v="571"/>
    <x v="1"/>
    <n v="10"/>
    <n v="1"/>
    <s v="Life Sciences"/>
    <n v="802"/>
    <n v="4"/>
    <x v="0"/>
    <n v="82"/>
    <n v="3"/>
    <n v="1"/>
    <s v="Research Scientist"/>
    <n v="1"/>
    <s v="Divorced"/>
    <n v="2782"/>
    <n v="19905"/>
    <n v="0"/>
    <x v="0"/>
    <n v="13"/>
    <n v="3"/>
    <n v="2"/>
    <n v="2"/>
    <n v="6"/>
    <n v="3"/>
    <n v="2"/>
    <n v="5"/>
    <n v="3"/>
    <n v="4"/>
    <n v="3"/>
  </r>
  <r>
    <n v="38"/>
    <x v="1"/>
    <s v="Travel_Frequently"/>
    <n v="240"/>
    <x v="1"/>
    <n v="2"/>
    <n v="4"/>
    <s v="Life Sciences"/>
    <n v="803"/>
    <n v="1"/>
    <x v="0"/>
    <n v="75"/>
    <n v="4"/>
    <n v="2"/>
    <s v="Manufacturing Director"/>
    <n v="1"/>
    <s v="Single"/>
    <n v="5980"/>
    <n v="26085"/>
    <n v="6"/>
    <x v="0"/>
    <n v="12"/>
    <n v="3"/>
    <n v="4"/>
    <n v="0"/>
    <n v="17"/>
    <n v="2"/>
    <n v="3"/>
    <n v="15"/>
    <n v="7"/>
    <n v="4"/>
    <n v="12"/>
  </r>
  <r>
    <n v="34"/>
    <x v="1"/>
    <s v="Travel_Rarely"/>
    <n v="121"/>
    <x v="1"/>
    <n v="2"/>
    <n v="4"/>
    <s v="Medical"/>
    <n v="804"/>
    <n v="3"/>
    <x v="0"/>
    <n v="86"/>
    <n v="2"/>
    <n v="1"/>
    <s v="Research Scientist"/>
    <n v="1"/>
    <s v="Single"/>
    <n v="4381"/>
    <n v="7530"/>
    <n v="1"/>
    <x v="1"/>
    <n v="11"/>
    <n v="3"/>
    <n v="3"/>
    <n v="0"/>
    <n v="6"/>
    <n v="3"/>
    <n v="3"/>
    <n v="6"/>
    <n v="5"/>
    <n v="1"/>
    <n v="3"/>
  </r>
  <r>
    <n v="35"/>
    <x v="1"/>
    <s v="Travel_Rarely"/>
    <n v="384"/>
    <x v="0"/>
    <n v="8"/>
    <n v="4"/>
    <s v="Life Sciences"/>
    <n v="805"/>
    <n v="1"/>
    <x v="0"/>
    <n v="72"/>
    <n v="3"/>
    <n v="1"/>
    <s v="Sales Representative"/>
    <n v="4"/>
    <s v="Married"/>
    <n v="2572"/>
    <n v="20317"/>
    <n v="1"/>
    <x v="1"/>
    <n v="16"/>
    <n v="3"/>
    <n v="2"/>
    <n v="1"/>
    <n v="3"/>
    <n v="1"/>
    <n v="2"/>
    <n v="3"/>
    <n v="2"/>
    <n v="0"/>
    <n v="2"/>
  </r>
  <r>
    <n v="30"/>
    <x v="1"/>
    <s v="Travel_Rarely"/>
    <n v="921"/>
    <x v="1"/>
    <n v="1"/>
    <n v="3"/>
    <s v="Life Sciences"/>
    <n v="806"/>
    <n v="4"/>
    <x v="1"/>
    <n v="38"/>
    <n v="1"/>
    <n v="1"/>
    <s v="Laboratory Technician"/>
    <n v="3"/>
    <s v="Married"/>
    <n v="3833"/>
    <n v="24375"/>
    <n v="3"/>
    <x v="1"/>
    <n v="21"/>
    <n v="4"/>
    <n v="3"/>
    <n v="2"/>
    <n v="7"/>
    <n v="2"/>
    <n v="3"/>
    <n v="2"/>
    <n v="2"/>
    <n v="0"/>
    <n v="2"/>
  </r>
  <r>
    <n v="40"/>
    <x v="1"/>
    <s v="Travel_Frequently"/>
    <n v="791"/>
    <x v="1"/>
    <n v="2"/>
    <n v="2"/>
    <s v="Medical"/>
    <n v="807"/>
    <n v="3"/>
    <x v="0"/>
    <n v="38"/>
    <n v="4"/>
    <n v="2"/>
    <s v="Healthcare Representative"/>
    <n v="2"/>
    <s v="Married"/>
    <n v="4244"/>
    <n v="9931"/>
    <n v="1"/>
    <x v="1"/>
    <n v="24"/>
    <n v="4"/>
    <n v="4"/>
    <n v="1"/>
    <n v="8"/>
    <n v="2"/>
    <n v="3"/>
    <n v="8"/>
    <n v="7"/>
    <n v="3"/>
    <n v="7"/>
  </r>
  <r>
    <n v="34"/>
    <x v="1"/>
    <s v="Travel_Rarely"/>
    <n v="1111"/>
    <x v="0"/>
    <n v="8"/>
    <n v="2"/>
    <s v="Life Sciences"/>
    <n v="808"/>
    <n v="3"/>
    <x v="0"/>
    <n v="93"/>
    <n v="3"/>
    <n v="2"/>
    <s v="Sales Executive"/>
    <n v="1"/>
    <s v="Married"/>
    <n v="6500"/>
    <n v="13305"/>
    <n v="5"/>
    <x v="1"/>
    <n v="17"/>
    <n v="3"/>
    <n v="2"/>
    <n v="1"/>
    <n v="6"/>
    <n v="1"/>
    <n v="3"/>
    <n v="3"/>
    <n v="2"/>
    <n v="1"/>
    <n v="2"/>
  </r>
  <r>
    <n v="42"/>
    <x v="1"/>
    <s v="Travel_Frequently"/>
    <n v="570"/>
    <x v="1"/>
    <n v="8"/>
    <n v="3"/>
    <s v="Life Sciences"/>
    <n v="809"/>
    <n v="2"/>
    <x v="1"/>
    <n v="66"/>
    <n v="3"/>
    <n v="5"/>
    <s v="Manager"/>
    <n v="4"/>
    <s v="Divorced"/>
    <n v="18430"/>
    <n v="16225"/>
    <n v="1"/>
    <x v="1"/>
    <n v="13"/>
    <n v="3"/>
    <n v="2"/>
    <n v="1"/>
    <n v="24"/>
    <n v="4"/>
    <n v="2"/>
    <n v="24"/>
    <n v="7"/>
    <n v="14"/>
    <n v="9"/>
  </r>
  <r>
    <n v="23"/>
    <x v="0"/>
    <s v="Travel_Rarely"/>
    <n v="1243"/>
    <x v="1"/>
    <n v="6"/>
    <n v="3"/>
    <s v="Life Sciences"/>
    <n v="811"/>
    <n v="3"/>
    <x v="1"/>
    <n v="63"/>
    <n v="4"/>
    <n v="1"/>
    <s v="Laboratory Technician"/>
    <n v="1"/>
    <s v="Married"/>
    <n v="1601"/>
    <n v="3445"/>
    <n v="1"/>
    <x v="0"/>
    <n v="21"/>
    <n v="4"/>
    <n v="3"/>
    <n v="2"/>
    <n v="1"/>
    <n v="2"/>
    <n v="3"/>
    <n v="0"/>
    <n v="0"/>
    <n v="0"/>
    <n v="0"/>
  </r>
  <r>
    <n v="24"/>
    <x v="1"/>
    <s v="Non-Travel"/>
    <n v="1092"/>
    <x v="1"/>
    <n v="9"/>
    <n v="3"/>
    <s v="Life Sciences"/>
    <n v="812"/>
    <n v="3"/>
    <x v="1"/>
    <n v="60"/>
    <n v="2"/>
    <n v="1"/>
    <s v="Laboratory Technician"/>
    <n v="2"/>
    <s v="Divorced"/>
    <n v="2694"/>
    <n v="26551"/>
    <n v="1"/>
    <x v="1"/>
    <n v="11"/>
    <n v="3"/>
    <n v="3"/>
    <n v="3"/>
    <n v="1"/>
    <n v="4"/>
    <n v="3"/>
    <n v="1"/>
    <n v="0"/>
    <n v="0"/>
    <n v="0"/>
  </r>
  <r>
    <n v="52"/>
    <x v="1"/>
    <s v="Travel_Rarely"/>
    <n v="1325"/>
    <x v="1"/>
    <n v="11"/>
    <n v="4"/>
    <s v="Life Sciences"/>
    <n v="813"/>
    <n v="4"/>
    <x v="0"/>
    <n v="82"/>
    <n v="3"/>
    <n v="2"/>
    <s v="Laboratory Technician"/>
    <n v="3"/>
    <s v="Married"/>
    <n v="3149"/>
    <n v="21821"/>
    <n v="8"/>
    <x v="1"/>
    <n v="20"/>
    <n v="4"/>
    <n v="2"/>
    <n v="1"/>
    <n v="9"/>
    <n v="3"/>
    <n v="3"/>
    <n v="5"/>
    <n v="2"/>
    <n v="1"/>
    <n v="4"/>
  </r>
  <r>
    <n v="50"/>
    <x v="1"/>
    <s v="Travel_Rarely"/>
    <n v="691"/>
    <x v="1"/>
    <n v="2"/>
    <n v="3"/>
    <s v="Medical"/>
    <n v="815"/>
    <n v="3"/>
    <x v="1"/>
    <n v="64"/>
    <n v="3"/>
    <n v="4"/>
    <s v="Research Director"/>
    <n v="3"/>
    <s v="Married"/>
    <n v="17639"/>
    <n v="6881"/>
    <n v="5"/>
    <x v="1"/>
    <n v="16"/>
    <n v="3"/>
    <n v="4"/>
    <n v="0"/>
    <n v="30"/>
    <n v="3"/>
    <n v="3"/>
    <n v="4"/>
    <n v="3"/>
    <n v="0"/>
    <n v="3"/>
  </r>
  <r>
    <n v="29"/>
    <x v="0"/>
    <s v="Travel_Rarely"/>
    <n v="805"/>
    <x v="1"/>
    <n v="1"/>
    <n v="2"/>
    <s v="Life Sciences"/>
    <n v="816"/>
    <n v="2"/>
    <x v="0"/>
    <n v="36"/>
    <n v="2"/>
    <n v="1"/>
    <s v="Laboratory Technician"/>
    <n v="1"/>
    <s v="Married"/>
    <n v="2319"/>
    <n v="6689"/>
    <n v="1"/>
    <x v="0"/>
    <n v="11"/>
    <n v="3"/>
    <n v="4"/>
    <n v="1"/>
    <n v="1"/>
    <n v="1"/>
    <n v="3"/>
    <n v="1"/>
    <n v="0"/>
    <n v="0"/>
    <n v="0"/>
  </r>
  <r>
    <n v="33"/>
    <x v="1"/>
    <s v="Travel_Rarely"/>
    <n v="213"/>
    <x v="1"/>
    <n v="7"/>
    <n v="3"/>
    <s v="Medical"/>
    <n v="817"/>
    <n v="3"/>
    <x v="1"/>
    <n v="49"/>
    <n v="3"/>
    <n v="3"/>
    <s v="Research Director"/>
    <n v="3"/>
    <s v="Married"/>
    <n v="11691"/>
    <n v="25995"/>
    <n v="0"/>
    <x v="1"/>
    <n v="11"/>
    <n v="3"/>
    <n v="4"/>
    <n v="0"/>
    <n v="14"/>
    <n v="3"/>
    <n v="4"/>
    <n v="13"/>
    <n v="9"/>
    <n v="3"/>
    <n v="7"/>
  </r>
  <r>
    <n v="33"/>
    <x v="0"/>
    <s v="Travel_Rarely"/>
    <n v="118"/>
    <x v="0"/>
    <n v="16"/>
    <n v="3"/>
    <s v="Marketing"/>
    <n v="819"/>
    <n v="1"/>
    <x v="0"/>
    <n v="69"/>
    <n v="3"/>
    <n v="2"/>
    <s v="Sales Executive"/>
    <n v="1"/>
    <s v="Single"/>
    <n v="5324"/>
    <n v="26507"/>
    <n v="5"/>
    <x v="1"/>
    <n v="15"/>
    <n v="3"/>
    <n v="3"/>
    <n v="0"/>
    <n v="6"/>
    <n v="3"/>
    <n v="3"/>
    <n v="3"/>
    <n v="2"/>
    <n v="0"/>
    <n v="2"/>
  </r>
  <r>
    <n v="47"/>
    <x v="1"/>
    <s v="Travel_Rarely"/>
    <n v="202"/>
    <x v="1"/>
    <n v="2"/>
    <n v="2"/>
    <s v="Other"/>
    <n v="820"/>
    <n v="3"/>
    <x v="0"/>
    <n v="33"/>
    <n v="3"/>
    <n v="4"/>
    <s v="Manager"/>
    <n v="4"/>
    <s v="Married"/>
    <n v="16752"/>
    <n v="12982"/>
    <n v="1"/>
    <x v="0"/>
    <n v="11"/>
    <n v="3"/>
    <n v="3"/>
    <n v="1"/>
    <n v="26"/>
    <n v="3"/>
    <n v="2"/>
    <n v="26"/>
    <n v="14"/>
    <n v="3"/>
    <n v="0"/>
  </r>
  <r>
    <n v="36"/>
    <x v="1"/>
    <s v="Travel_Rarely"/>
    <n v="676"/>
    <x v="1"/>
    <n v="1"/>
    <n v="3"/>
    <s v="Other"/>
    <n v="823"/>
    <n v="3"/>
    <x v="0"/>
    <n v="35"/>
    <n v="3"/>
    <n v="2"/>
    <s v="Manufacturing Director"/>
    <n v="2"/>
    <s v="Married"/>
    <n v="5228"/>
    <n v="23361"/>
    <n v="0"/>
    <x v="1"/>
    <n v="15"/>
    <n v="3"/>
    <n v="1"/>
    <n v="1"/>
    <n v="10"/>
    <n v="2"/>
    <n v="3"/>
    <n v="9"/>
    <n v="7"/>
    <n v="0"/>
    <n v="5"/>
  </r>
  <r>
    <n v="29"/>
    <x v="1"/>
    <s v="Travel_Rarely"/>
    <n v="1252"/>
    <x v="1"/>
    <n v="23"/>
    <n v="2"/>
    <s v="Life Sciences"/>
    <n v="824"/>
    <n v="3"/>
    <x v="1"/>
    <n v="81"/>
    <n v="4"/>
    <n v="1"/>
    <s v="Research Scientist"/>
    <n v="3"/>
    <s v="Married"/>
    <n v="2700"/>
    <n v="23779"/>
    <n v="1"/>
    <x v="1"/>
    <n v="24"/>
    <n v="4"/>
    <n v="3"/>
    <n v="1"/>
    <n v="10"/>
    <n v="3"/>
    <n v="3"/>
    <n v="10"/>
    <n v="7"/>
    <n v="0"/>
    <n v="7"/>
  </r>
  <r>
    <n v="58"/>
    <x v="0"/>
    <s v="Travel_Rarely"/>
    <n v="286"/>
    <x v="1"/>
    <n v="2"/>
    <n v="4"/>
    <s v="Life Sciences"/>
    <n v="825"/>
    <n v="4"/>
    <x v="1"/>
    <n v="31"/>
    <n v="3"/>
    <n v="5"/>
    <s v="Research Director"/>
    <n v="2"/>
    <s v="Single"/>
    <n v="19246"/>
    <n v="25761"/>
    <n v="7"/>
    <x v="0"/>
    <n v="12"/>
    <n v="3"/>
    <n v="4"/>
    <n v="0"/>
    <n v="40"/>
    <n v="2"/>
    <n v="3"/>
    <n v="31"/>
    <n v="15"/>
    <n v="13"/>
    <n v="8"/>
  </r>
  <r>
    <n v="35"/>
    <x v="1"/>
    <s v="Travel_Rarely"/>
    <n v="1258"/>
    <x v="1"/>
    <n v="1"/>
    <n v="4"/>
    <s v="Life Sciences"/>
    <n v="826"/>
    <n v="4"/>
    <x v="0"/>
    <n v="40"/>
    <n v="4"/>
    <n v="1"/>
    <s v="Research Scientist"/>
    <n v="3"/>
    <s v="Single"/>
    <n v="2506"/>
    <n v="13301"/>
    <n v="3"/>
    <x v="1"/>
    <n v="13"/>
    <n v="3"/>
    <n v="3"/>
    <n v="0"/>
    <n v="7"/>
    <n v="0"/>
    <n v="3"/>
    <n v="2"/>
    <n v="2"/>
    <n v="2"/>
    <n v="2"/>
  </r>
  <r>
    <n v="42"/>
    <x v="1"/>
    <s v="Travel_Rarely"/>
    <n v="932"/>
    <x v="1"/>
    <n v="1"/>
    <n v="2"/>
    <s v="Life Sciences"/>
    <n v="827"/>
    <n v="4"/>
    <x v="0"/>
    <n v="43"/>
    <n v="2"/>
    <n v="2"/>
    <s v="Manufacturing Director"/>
    <n v="4"/>
    <s v="Married"/>
    <n v="6062"/>
    <n v="4051"/>
    <n v="9"/>
    <x v="0"/>
    <n v="13"/>
    <n v="3"/>
    <n v="4"/>
    <n v="1"/>
    <n v="8"/>
    <n v="4"/>
    <n v="3"/>
    <n v="4"/>
    <n v="3"/>
    <n v="0"/>
    <n v="2"/>
  </r>
  <r>
    <n v="28"/>
    <x v="0"/>
    <s v="Travel_Rarely"/>
    <n v="890"/>
    <x v="1"/>
    <n v="2"/>
    <n v="4"/>
    <s v="Medical"/>
    <n v="828"/>
    <n v="3"/>
    <x v="1"/>
    <n v="46"/>
    <n v="3"/>
    <n v="1"/>
    <s v="Research Scientist"/>
    <n v="3"/>
    <s v="Single"/>
    <n v="4382"/>
    <n v="16374"/>
    <n v="6"/>
    <x v="1"/>
    <n v="17"/>
    <n v="3"/>
    <n v="4"/>
    <n v="0"/>
    <n v="5"/>
    <n v="3"/>
    <n v="2"/>
    <n v="2"/>
    <n v="2"/>
    <n v="2"/>
    <n v="1"/>
  </r>
  <r>
    <n v="36"/>
    <x v="1"/>
    <s v="Travel_Rarely"/>
    <n v="1041"/>
    <x v="2"/>
    <n v="13"/>
    <n v="3"/>
    <s v="Human Resources"/>
    <n v="829"/>
    <n v="3"/>
    <x v="1"/>
    <n v="36"/>
    <n v="3"/>
    <n v="1"/>
    <s v="Human Resources"/>
    <n v="2"/>
    <s v="Married"/>
    <n v="2143"/>
    <n v="25527"/>
    <n v="4"/>
    <x v="1"/>
    <n v="13"/>
    <n v="3"/>
    <n v="2"/>
    <n v="1"/>
    <n v="8"/>
    <n v="2"/>
    <n v="3"/>
    <n v="5"/>
    <n v="2"/>
    <n v="0"/>
    <n v="4"/>
  </r>
  <r>
    <n v="32"/>
    <x v="1"/>
    <s v="Travel_Rarely"/>
    <n v="859"/>
    <x v="1"/>
    <n v="4"/>
    <n v="3"/>
    <s v="Life Sciences"/>
    <n v="830"/>
    <n v="3"/>
    <x v="0"/>
    <n v="98"/>
    <n v="2"/>
    <n v="2"/>
    <s v="Manufacturing Director"/>
    <n v="3"/>
    <s v="Married"/>
    <n v="6162"/>
    <n v="19124"/>
    <n v="1"/>
    <x v="1"/>
    <n v="12"/>
    <n v="3"/>
    <n v="3"/>
    <n v="1"/>
    <n v="14"/>
    <n v="3"/>
    <n v="3"/>
    <n v="14"/>
    <n v="13"/>
    <n v="6"/>
    <n v="8"/>
  </r>
  <r>
    <n v="40"/>
    <x v="1"/>
    <s v="Travel_Frequently"/>
    <n v="720"/>
    <x v="1"/>
    <n v="16"/>
    <n v="4"/>
    <s v="Medical"/>
    <n v="832"/>
    <n v="1"/>
    <x v="1"/>
    <n v="51"/>
    <n v="2"/>
    <n v="2"/>
    <s v="Laboratory Technician"/>
    <n v="3"/>
    <s v="Single"/>
    <n v="5094"/>
    <n v="11983"/>
    <n v="6"/>
    <x v="1"/>
    <n v="14"/>
    <n v="3"/>
    <n v="4"/>
    <n v="0"/>
    <n v="10"/>
    <n v="6"/>
    <n v="3"/>
    <n v="1"/>
    <n v="0"/>
    <n v="0"/>
    <n v="0"/>
  </r>
  <r>
    <n v="30"/>
    <x v="1"/>
    <s v="Travel_Rarely"/>
    <n v="946"/>
    <x v="1"/>
    <n v="2"/>
    <n v="3"/>
    <s v="Medical"/>
    <n v="833"/>
    <n v="3"/>
    <x v="0"/>
    <n v="52"/>
    <n v="2"/>
    <n v="2"/>
    <s v="Manufacturing Director"/>
    <n v="4"/>
    <s v="Single"/>
    <n v="6877"/>
    <n v="20234"/>
    <n v="5"/>
    <x v="0"/>
    <n v="24"/>
    <n v="4"/>
    <n v="2"/>
    <n v="0"/>
    <n v="12"/>
    <n v="4"/>
    <n v="2"/>
    <n v="0"/>
    <n v="0"/>
    <n v="0"/>
    <n v="0"/>
  </r>
  <r>
    <n v="45"/>
    <x v="1"/>
    <s v="Travel_Rarely"/>
    <n v="252"/>
    <x v="1"/>
    <n v="2"/>
    <n v="3"/>
    <s v="Life Sciences"/>
    <n v="834"/>
    <n v="2"/>
    <x v="0"/>
    <n v="95"/>
    <n v="2"/>
    <n v="1"/>
    <s v="Research Scientist"/>
    <n v="3"/>
    <s v="Single"/>
    <n v="2274"/>
    <n v="6153"/>
    <n v="1"/>
    <x v="1"/>
    <n v="14"/>
    <n v="3"/>
    <n v="4"/>
    <n v="0"/>
    <n v="1"/>
    <n v="3"/>
    <n v="3"/>
    <n v="1"/>
    <n v="0"/>
    <n v="0"/>
    <n v="0"/>
  </r>
  <r>
    <n v="42"/>
    <x v="1"/>
    <s v="Travel_Rarely"/>
    <n v="933"/>
    <x v="1"/>
    <n v="29"/>
    <n v="3"/>
    <s v="Life Sciences"/>
    <n v="836"/>
    <n v="2"/>
    <x v="1"/>
    <n v="98"/>
    <n v="3"/>
    <n v="2"/>
    <s v="Manufacturing Director"/>
    <n v="2"/>
    <s v="Married"/>
    <n v="4434"/>
    <n v="11806"/>
    <n v="1"/>
    <x v="1"/>
    <n v="13"/>
    <n v="3"/>
    <n v="4"/>
    <n v="1"/>
    <n v="10"/>
    <n v="3"/>
    <n v="2"/>
    <n v="9"/>
    <n v="8"/>
    <n v="7"/>
    <n v="8"/>
  </r>
  <r>
    <n v="38"/>
    <x v="1"/>
    <s v="Travel_Frequently"/>
    <n v="471"/>
    <x v="1"/>
    <n v="12"/>
    <n v="3"/>
    <s v="Life Sciences"/>
    <n v="837"/>
    <n v="1"/>
    <x v="1"/>
    <n v="45"/>
    <n v="2"/>
    <n v="2"/>
    <s v="Healthcare Representative"/>
    <n v="1"/>
    <s v="Divorced"/>
    <n v="6288"/>
    <n v="4284"/>
    <n v="2"/>
    <x v="1"/>
    <n v="15"/>
    <n v="3"/>
    <n v="3"/>
    <n v="1"/>
    <n v="13"/>
    <n v="3"/>
    <n v="2"/>
    <n v="4"/>
    <n v="3"/>
    <n v="1"/>
    <n v="2"/>
  </r>
  <r>
    <n v="34"/>
    <x v="1"/>
    <s v="Travel_Frequently"/>
    <n v="702"/>
    <x v="1"/>
    <n v="16"/>
    <n v="4"/>
    <s v="Life Sciences"/>
    <n v="838"/>
    <n v="3"/>
    <x v="0"/>
    <n v="100"/>
    <n v="2"/>
    <n v="1"/>
    <s v="Research Scientist"/>
    <n v="4"/>
    <s v="Single"/>
    <n v="2553"/>
    <n v="8306"/>
    <n v="1"/>
    <x v="1"/>
    <n v="16"/>
    <n v="3"/>
    <n v="3"/>
    <n v="0"/>
    <n v="6"/>
    <n v="3"/>
    <n v="3"/>
    <n v="5"/>
    <n v="2"/>
    <n v="1"/>
    <n v="3"/>
  </r>
  <r>
    <n v="49"/>
    <x v="0"/>
    <s v="Travel_Rarely"/>
    <n v="1184"/>
    <x v="0"/>
    <n v="11"/>
    <n v="3"/>
    <s v="Marketing"/>
    <n v="840"/>
    <n v="3"/>
    <x v="0"/>
    <n v="43"/>
    <n v="3"/>
    <n v="3"/>
    <s v="Sales Executive"/>
    <n v="4"/>
    <s v="Married"/>
    <n v="7654"/>
    <n v="5860"/>
    <n v="1"/>
    <x v="1"/>
    <n v="18"/>
    <n v="3"/>
    <n v="1"/>
    <n v="2"/>
    <n v="9"/>
    <n v="3"/>
    <n v="4"/>
    <n v="9"/>
    <n v="8"/>
    <n v="7"/>
    <n v="7"/>
  </r>
  <r>
    <n v="55"/>
    <x v="0"/>
    <s v="Travel_Rarely"/>
    <n v="436"/>
    <x v="0"/>
    <n v="2"/>
    <n v="1"/>
    <s v="Medical"/>
    <n v="842"/>
    <n v="3"/>
    <x v="1"/>
    <n v="37"/>
    <n v="3"/>
    <n v="2"/>
    <s v="Sales Executive"/>
    <n v="4"/>
    <s v="Single"/>
    <n v="5160"/>
    <n v="21519"/>
    <n v="4"/>
    <x v="1"/>
    <n v="16"/>
    <n v="3"/>
    <n v="3"/>
    <n v="0"/>
    <n v="12"/>
    <n v="3"/>
    <n v="2"/>
    <n v="9"/>
    <n v="7"/>
    <n v="7"/>
    <n v="3"/>
  </r>
  <r>
    <n v="43"/>
    <x v="1"/>
    <s v="Travel_Rarely"/>
    <n v="589"/>
    <x v="1"/>
    <n v="14"/>
    <n v="2"/>
    <s v="Life Sciences"/>
    <n v="843"/>
    <n v="2"/>
    <x v="1"/>
    <n v="94"/>
    <n v="3"/>
    <n v="4"/>
    <s v="Research Director"/>
    <n v="1"/>
    <s v="Married"/>
    <n v="17159"/>
    <n v="5200"/>
    <n v="6"/>
    <x v="1"/>
    <n v="24"/>
    <n v="4"/>
    <n v="3"/>
    <n v="1"/>
    <n v="22"/>
    <n v="3"/>
    <n v="3"/>
    <n v="4"/>
    <n v="1"/>
    <n v="1"/>
    <n v="0"/>
  </r>
  <r>
    <n v="27"/>
    <x v="1"/>
    <s v="Travel_Rarely"/>
    <n v="269"/>
    <x v="1"/>
    <n v="5"/>
    <n v="1"/>
    <s v="Technical Degree"/>
    <n v="844"/>
    <n v="3"/>
    <x v="1"/>
    <n v="42"/>
    <n v="2"/>
    <n v="3"/>
    <s v="Research Director"/>
    <n v="4"/>
    <s v="Divorced"/>
    <n v="12808"/>
    <n v="8842"/>
    <n v="1"/>
    <x v="0"/>
    <n v="16"/>
    <n v="3"/>
    <n v="2"/>
    <n v="1"/>
    <n v="9"/>
    <n v="3"/>
    <n v="3"/>
    <n v="9"/>
    <n v="8"/>
    <n v="0"/>
    <n v="8"/>
  </r>
  <r>
    <n v="35"/>
    <x v="1"/>
    <s v="Travel_Rarely"/>
    <n v="950"/>
    <x v="1"/>
    <n v="7"/>
    <n v="3"/>
    <s v="Other"/>
    <n v="845"/>
    <n v="3"/>
    <x v="1"/>
    <n v="59"/>
    <n v="3"/>
    <n v="3"/>
    <s v="Manufacturing Director"/>
    <n v="3"/>
    <s v="Single"/>
    <n v="10221"/>
    <n v="18869"/>
    <n v="3"/>
    <x v="1"/>
    <n v="21"/>
    <n v="4"/>
    <n v="2"/>
    <n v="0"/>
    <n v="17"/>
    <n v="3"/>
    <n v="4"/>
    <n v="8"/>
    <n v="5"/>
    <n v="1"/>
    <n v="6"/>
  </r>
  <r>
    <n v="28"/>
    <x v="1"/>
    <s v="Travel_Rarely"/>
    <n v="760"/>
    <x v="0"/>
    <n v="2"/>
    <n v="4"/>
    <s v="Marketing"/>
    <n v="846"/>
    <n v="2"/>
    <x v="0"/>
    <n v="81"/>
    <n v="3"/>
    <n v="2"/>
    <s v="Sales Executive"/>
    <n v="2"/>
    <s v="Married"/>
    <n v="4779"/>
    <n v="3698"/>
    <n v="1"/>
    <x v="0"/>
    <n v="20"/>
    <n v="4"/>
    <n v="1"/>
    <n v="0"/>
    <n v="8"/>
    <n v="2"/>
    <n v="3"/>
    <n v="8"/>
    <n v="7"/>
    <n v="7"/>
    <n v="5"/>
  </r>
  <r>
    <n v="34"/>
    <x v="1"/>
    <s v="Travel_Rarely"/>
    <n v="829"/>
    <x v="2"/>
    <n v="3"/>
    <n v="2"/>
    <s v="Human Resources"/>
    <n v="847"/>
    <n v="3"/>
    <x v="1"/>
    <n v="88"/>
    <n v="3"/>
    <n v="1"/>
    <s v="Human Resources"/>
    <n v="4"/>
    <s v="Married"/>
    <n v="3737"/>
    <n v="2243"/>
    <n v="0"/>
    <x v="1"/>
    <n v="19"/>
    <n v="3"/>
    <n v="3"/>
    <n v="1"/>
    <n v="4"/>
    <n v="1"/>
    <n v="1"/>
    <n v="3"/>
    <n v="2"/>
    <n v="0"/>
    <n v="2"/>
  </r>
  <r>
    <n v="26"/>
    <x v="0"/>
    <s v="Travel_Frequently"/>
    <n v="887"/>
    <x v="1"/>
    <n v="5"/>
    <n v="2"/>
    <s v="Medical"/>
    <n v="848"/>
    <n v="3"/>
    <x v="0"/>
    <n v="88"/>
    <n v="2"/>
    <n v="1"/>
    <s v="Research Scientist"/>
    <n v="3"/>
    <s v="Married"/>
    <n v="2366"/>
    <n v="20898"/>
    <n v="1"/>
    <x v="0"/>
    <n v="14"/>
    <n v="3"/>
    <n v="1"/>
    <n v="1"/>
    <n v="8"/>
    <n v="2"/>
    <n v="3"/>
    <n v="8"/>
    <n v="7"/>
    <n v="1"/>
    <n v="7"/>
  </r>
  <r>
    <n v="27"/>
    <x v="1"/>
    <s v="Non-Travel"/>
    <n v="443"/>
    <x v="1"/>
    <n v="3"/>
    <n v="3"/>
    <s v="Medical"/>
    <n v="850"/>
    <n v="4"/>
    <x v="1"/>
    <n v="50"/>
    <n v="3"/>
    <n v="1"/>
    <s v="Research Scientist"/>
    <n v="4"/>
    <s v="Married"/>
    <n v="1706"/>
    <n v="16571"/>
    <n v="1"/>
    <x v="1"/>
    <n v="11"/>
    <n v="3"/>
    <n v="3"/>
    <n v="3"/>
    <n v="0"/>
    <n v="6"/>
    <n v="2"/>
    <n v="0"/>
    <n v="0"/>
    <n v="0"/>
    <n v="0"/>
  </r>
  <r>
    <n v="51"/>
    <x v="1"/>
    <s v="Travel_Rarely"/>
    <n v="1318"/>
    <x v="0"/>
    <n v="26"/>
    <n v="4"/>
    <s v="Marketing"/>
    <n v="851"/>
    <n v="1"/>
    <x v="0"/>
    <n v="66"/>
    <n v="3"/>
    <n v="4"/>
    <s v="Manager"/>
    <n v="3"/>
    <s v="Married"/>
    <n v="16307"/>
    <n v="5594"/>
    <n v="2"/>
    <x v="1"/>
    <n v="14"/>
    <n v="3"/>
    <n v="3"/>
    <n v="1"/>
    <n v="29"/>
    <n v="2"/>
    <n v="2"/>
    <n v="20"/>
    <n v="6"/>
    <n v="4"/>
    <n v="17"/>
  </r>
  <r>
    <n v="44"/>
    <x v="1"/>
    <s v="Travel_Rarely"/>
    <n v="625"/>
    <x v="1"/>
    <n v="4"/>
    <n v="3"/>
    <s v="Medical"/>
    <n v="852"/>
    <n v="4"/>
    <x v="1"/>
    <n v="50"/>
    <n v="3"/>
    <n v="2"/>
    <s v="Healthcare Representative"/>
    <n v="2"/>
    <s v="Single"/>
    <n v="5933"/>
    <n v="5197"/>
    <n v="9"/>
    <x v="1"/>
    <n v="12"/>
    <n v="3"/>
    <n v="4"/>
    <n v="0"/>
    <n v="10"/>
    <n v="2"/>
    <n v="2"/>
    <n v="5"/>
    <n v="2"/>
    <n v="2"/>
    <n v="3"/>
  </r>
  <r>
    <n v="25"/>
    <x v="1"/>
    <s v="Travel_Rarely"/>
    <n v="180"/>
    <x v="1"/>
    <n v="2"/>
    <n v="1"/>
    <s v="Medical"/>
    <n v="854"/>
    <n v="1"/>
    <x v="1"/>
    <n v="65"/>
    <n v="4"/>
    <n v="1"/>
    <s v="Research Scientist"/>
    <n v="1"/>
    <s v="Single"/>
    <n v="3424"/>
    <n v="21632"/>
    <n v="7"/>
    <x v="1"/>
    <n v="13"/>
    <n v="3"/>
    <n v="3"/>
    <n v="0"/>
    <n v="6"/>
    <n v="3"/>
    <n v="2"/>
    <n v="4"/>
    <n v="3"/>
    <n v="0"/>
    <n v="1"/>
  </r>
  <r>
    <n v="33"/>
    <x v="1"/>
    <s v="Travel_Rarely"/>
    <n v="586"/>
    <x v="0"/>
    <n v="1"/>
    <n v="3"/>
    <s v="Medical"/>
    <n v="855"/>
    <n v="1"/>
    <x v="1"/>
    <n v="48"/>
    <n v="4"/>
    <n v="2"/>
    <s v="Sales Executive"/>
    <n v="1"/>
    <s v="Divorced"/>
    <n v="4037"/>
    <n v="21816"/>
    <n v="1"/>
    <x v="1"/>
    <n v="22"/>
    <n v="4"/>
    <n v="1"/>
    <n v="1"/>
    <n v="9"/>
    <n v="5"/>
    <n v="3"/>
    <n v="9"/>
    <n v="8"/>
    <n v="0"/>
    <n v="8"/>
  </r>
  <r>
    <n v="35"/>
    <x v="1"/>
    <s v="Travel_Rarely"/>
    <n v="1343"/>
    <x v="1"/>
    <n v="27"/>
    <n v="1"/>
    <s v="Medical"/>
    <n v="856"/>
    <n v="3"/>
    <x v="0"/>
    <n v="53"/>
    <n v="2"/>
    <n v="1"/>
    <s v="Research Scientist"/>
    <n v="1"/>
    <s v="Single"/>
    <n v="2559"/>
    <n v="17852"/>
    <n v="1"/>
    <x v="1"/>
    <n v="11"/>
    <n v="3"/>
    <n v="4"/>
    <n v="0"/>
    <n v="6"/>
    <n v="3"/>
    <n v="2"/>
    <n v="6"/>
    <n v="5"/>
    <n v="1"/>
    <n v="1"/>
  </r>
  <r>
    <n v="36"/>
    <x v="1"/>
    <s v="Travel_Rarely"/>
    <n v="928"/>
    <x v="0"/>
    <n v="1"/>
    <n v="2"/>
    <s v="Life Sciences"/>
    <n v="857"/>
    <n v="2"/>
    <x v="1"/>
    <n v="56"/>
    <n v="3"/>
    <n v="2"/>
    <s v="Sales Executive"/>
    <n v="4"/>
    <s v="Married"/>
    <n v="6201"/>
    <n v="2823"/>
    <n v="1"/>
    <x v="0"/>
    <n v="14"/>
    <n v="3"/>
    <n v="4"/>
    <n v="1"/>
    <n v="18"/>
    <n v="1"/>
    <n v="2"/>
    <n v="18"/>
    <n v="14"/>
    <n v="4"/>
    <n v="11"/>
  </r>
  <r>
    <n v="32"/>
    <x v="1"/>
    <s v="Travel_Rarely"/>
    <n v="117"/>
    <x v="0"/>
    <n v="13"/>
    <n v="4"/>
    <s v="Life Sciences"/>
    <n v="859"/>
    <n v="2"/>
    <x v="1"/>
    <n v="73"/>
    <n v="3"/>
    <n v="2"/>
    <s v="Sales Executive"/>
    <n v="4"/>
    <s v="Divorced"/>
    <n v="4403"/>
    <n v="9250"/>
    <n v="2"/>
    <x v="1"/>
    <n v="11"/>
    <n v="3"/>
    <n v="3"/>
    <n v="1"/>
    <n v="8"/>
    <n v="3"/>
    <n v="2"/>
    <n v="5"/>
    <n v="2"/>
    <n v="0"/>
    <n v="3"/>
  </r>
  <r>
    <n v="30"/>
    <x v="1"/>
    <s v="Travel_Frequently"/>
    <n v="1012"/>
    <x v="1"/>
    <n v="5"/>
    <n v="4"/>
    <s v="Life Sciences"/>
    <n v="861"/>
    <n v="2"/>
    <x v="1"/>
    <n v="75"/>
    <n v="2"/>
    <n v="1"/>
    <s v="Research Scientist"/>
    <n v="4"/>
    <s v="Divorced"/>
    <n v="3761"/>
    <n v="2373"/>
    <n v="9"/>
    <x v="1"/>
    <n v="12"/>
    <n v="3"/>
    <n v="2"/>
    <n v="1"/>
    <n v="10"/>
    <n v="3"/>
    <n v="2"/>
    <n v="5"/>
    <n v="4"/>
    <n v="0"/>
    <n v="3"/>
  </r>
  <r>
    <n v="53"/>
    <x v="1"/>
    <s v="Travel_Rarely"/>
    <n v="661"/>
    <x v="0"/>
    <n v="7"/>
    <n v="2"/>
    <s v="Marketing"/>
    <n v="862"/>
    <n v="1"/>
    <x v="0"/>
    <n v="78"/>
    <n v="2"/>
    <n v="3"/>
    <s v="Sales Executive"/>
    <n v="4"/>
    <s v="Married"/>
    <n v="10934"/>
    <n v="20715"/>
    <n v="7"/>
    <x v="0"/>
    <n v="18"/>
    <n v="3"/>
    <n v="4"/>
    <n v="1"/>
    <n v="35"/>
    <n v="3"/>
    <n v="3"/>
    <n v="5"/>
    <n v="2"/>
    <n v="0"/>
    <n v="4"/>
  </r>
  <r>
    <n v="45"/>
    <x v="1"/>
    <s v="Travel_Rarely"/>
    <n v="930"/>
    <x v="0"/>
    <n v="9"/>
    <n v="3"/>
    <s v="Marketing"/>
    <n v="864"/>
    <n v="4"/>
    <x v="1"/>
    <n v="74"/>
    <n v="3"/>
    <n v="3"/>
    <s v="Sales Executive"/>
    <n v="1"/>
    <s v="Divorced"/>
    <n v="10761"/>
    <n v="19239"/>
    <n v="4"/>
    <x v="0"/>
    <n v="12"/>
    <n v="3"/>
    <n v="3"/>
    <n v="1"/>
    <n v="18"/>
    <n v="2"/>
    <n v="3"/>
    <n v="5"/>
    <n v="4"/>
    <n v="0"/>
    <n v="2"/>
  </r>
  <r>
    <n v="32"/>
    <x v="1"/>
    <s v="Travel_Rarely"/>
    <n v="638"/>
    <x v="1"/>
    <n v="8"/>
    <n v="2"/>
    <s v="Medical"/>
    <n v="865"/>
    <n v="3"/>
    <x v="0"/>
    <n v="91"/>
    <n v="4"/>
    <n v="2"/>
    <s v="Research Scientist"/>
    <n v="3"/>
    <s v="Married"/>
    <n v="5175"/>
    <n v="22162"/>
    <n v="5"/>
    <x v="1"/>
    <n v="12"/>
    <n v="3"/>
    <n v="3"/>
    <n v="1"/>
    <n v="9"/>
    <n v="3"/>
    <n v="2"/>
    <n v="5"/>
    <n v="3"/>
    <n v="1"/>
    <n v="3"/>
  </r>
  <r>
    <n v="52"/>
    <x v="1"/>
    <s v="Travel_Frequently"/>
    <n v="890"/>
    <x v="1"/>
    <n v="25"/>
    <n v="4"/>
    <s v="Medical"/>
    <n v="867"/>
    <n v="3"/>
    <x v="0"/>
    <n v="81"/>
    <n v="2"/>
    <n v="4"/>
    <s v="Manufacturing Director"/>
    <n v="4"/>
    <s v="Married"/>
    <n v="13826"/>
    <n v="19028"/>
    <n v="3"/>
    <x v="1"/>
    <n v="22"/>
    <n v="4"/>
    <n v="3"/>
    <n v="0"/>
    <n v="31"/>
    <n v="3"/>
    <n v="3"/>
    <n v="9"/>
    <n v="8"/>
    <n v="0"/>
    <n v="0"/>
  </r>
  <r>
    <n v="37"/>
    <x v="1"/>
    <s v="Travel_Rarely"/>
    <n v="342"/>
    <x v="0"/>
    <n v="16"/>
    <n v="4"/>
    <s v="Marketing"/>
    <n v="868"/>
    <n v="4"/>
    <x v="1"/>
    <n v="66"/>
    <n v="2"/>
    <n v="2"/>
    <s v="Sales Executive"/>
    <n v="3"/>
    <s v="Divorced"/>
    <n v="6334"/>
    <n v="24558"/>
    <n v="4"/>
    <x v="1"/>
    <n v="19"/>
    <n v="3"/>
    <n v="4"/>
    <n v="2"/>
    <n v="9"/>
    <n v="2"/>
    <n v="3"/>
    <n v="1"/>
    <n v="0"/>
    <n v="0"/>
    <n v="0"/>
  </r>
  <r>
    <n v="28"/>
    <x v="1"/>
    <s v="Travel_Rarely"/>
    <n v="1169"/>
    <x v="2"/>
    <n v="8"/>
    <n v="2"/>
    <s v="Medical"/>
    <n v="869"/>
    <n v="2"/>
    <x v="1"/>
    <n v="63"/>
    <n v="2"/>
    <n v="1"/>
    <s v="Human Resources"/>
    <n v="4"/>
    <s v="Divorced"/>
    <n v="4936"/>
    <n v="23965"/>
    <n v="1"/>
    <x v="1"/>
    <n v="13"/>
    <n v="3"/>
    <n v="4"/>
    <n v="1"/>
    <n v="6"/>
    <n v="6"/>
    <n v="3"/>
    <n v="5"/>
    <n v="1"/>
    <n v="0"/>
    <n v="4"/>
  </r>
  <r>
    <n v="22"/>
    <x v="1"/>
    <s v="Travel_Rarely"/>
    <n v="1230"/>
    <x v="1"/>
    <n v="1"/>
    <n v="2"/>
    <s v="Life Sciences"/>
    <n v="872"/>
    <n v="4"/>
    <x v="1"/>
    <n v="33"/>
    <n v="2"/>
    <n v="2"/>
    <s v="Manufacturing Director"/>
    <n v="4"/>
    <s v="Married"/>
    <n v="4775"/>
    <n v="19146"/>
    <n v="6"/>
    <x v="1"/>
    <n v="22"/>
    <n v="4"/>
    <n v="1"/>
    <n v="2"/>
    <n v="4"/>
    <n v="2"/>
    <n v="1"/>
    <n v="2"/>
    <n v="2"/>
    <n v="2"/>
    <n v="2"/>
  </r>
  <r>
    <n v="44"/>
    <x v="1"/>
    <s v="Travel_Rarely"/>
    <n v="986"/>
    <x v="1"/>
    <n v="8"/>
    <n v="4"/>
    <s v="Life Sciences"/>
    <n v="874"/>
    <n v="1"/>
    <x v="1"/>
    <n v="62"/>
    <n v="4"/>
    <n v="1"/>
    <s v="Laboratory Technician"/>
    <n v="4"/>
    <s v="Married"/>
    <n v="2818"/>
    <n v="5044"/>
    <n v="2"/>
    <x v="0"/>
    <n v="24"/>
    <n v="4"/>
    <n v="3"/>
    <n v="1"/>
    <n v="10"/>
    <n v="2"/>
    <n v="2"/>
    <n v="3"/>
    <n v="2"/>
    <n v="0"/>
    <n v="2"/>
  </r>
  <r>
    <n v="42"/>
    <x v="1"/>
    <s v="Travel_Frequently"/>
    <n v="1271"/>
    <x v="1"/>
    <n v="2"/>
    <n v="1"/>
    <s v="Medical"/>
    <n v="875"/>
    <n v="2"/>
    <x v="1"/>
    <n v="35"/>
    <n v="3"/>
    <n v="1"/>
    <s v="Research Scientist"/>
    <n v="4"/>
    <s v="Single"/>
    <n v="2515"/>
    <n v="9068"/>
    <n v="5"/>
    <x v="0"/>
    <n v="14"/>
    <n v="3"/>
    <n v="4"/>
    <n v="0"/>
    <n v="8"/>
    <n v="2"/>
    <n v="3"/>
    <n v="2"/>
    <n v="1"/>
    <n v="2"/>
    <n v="2"/>
  </r>
  <r>
    <n v="36"/>
    <x v="1"/>
    <s v="Travel_Rarely"/>
    <n v="1278"/>
    <x v="2"/>
    <n v="8"/>
    <n v="3"/>
    <s v="Life Sciences"/>
    <n v="878"/>
    <n v="1"/>
    <x v="1"/>
    <n v="77"/>
    <n v="2"/>
    <n v="1"/>
    <s v="Human Resources"/>
    <n v="1"/>
    <s v="Married"/>
    <n v="2342"/>
    <n v="8635"/>
    <n v="0"/>
    <x v="1"/>
    <n v="21"/>
    <n v="4"/>
    <n v="3"/>
    <n v="0"/>
    <n v="6"/>
    <n v="3"/>
    <n v="3"/>
    <n v="5"/>
    <n v="4"/>
    <n v="0"/>
    <n v="3"/>
  </r>
  <r>
    <n v="25"/>
    <x v="1"/>
    <s v="Travel_Rarely"/>
    <n v="141"/>
    <x v="0"/>
    <n v="3"/>
    <n v="1"/>
    <s v="Other"/>
    <n v="879"/>
    <n v="3"/>
    <x v="1"/>
    <n v="98"/>
    <n v="3"/>
    <n v="2"/>
    <s v="Sales Executive"/>
    <n v="1"/>
    <s v="Married"/>
    <n v="4194"/>
    <n v="14363"/>
    <n v="1"/>
    <x v="0"/>
    <n v="18"/>
    <n v="3"/>
    <n v="4"/>
    <n v="0"/>
    <n v="5"/>
    <n v="3"/>
    <n v="3"/>
    <n v="5"/>
    <n v="3"/>
    <n v="0"/>
    <n v="3"/>
  </r>
  <r>
    <n v="35"/>
    <x v="1"/>
    <s v="Travel_Rarely"/>
    <n v="607"/>
    <x v="1"/>
    <n v="9"/>
    <n v="3"/>
    <s v="Life Sciences"/>
    <n v="880"/>
    <n v="4"/>
    <x v="0"/>
    <n v="66"/>
    <n v="2"/>
    <n v="3"/>
    <s v="Manufacturing Director"/>
    <n v="3"/>
    <s v="Married"/>
    <n v="10685"/>
    <n v="23457"/>
    <n v="1"/>
    <x v="0"/>
    <n v="20"/>
    <n v="4"/>
    <n v="2"/>
    <n v="1"/>
    <n v="17"/>
    <n v="2"/>
    <n v="3"/>
    <n v="17"/>
    <n v="14"/>
    <n v="5"/>
    <n v="15"/>
  </r>
  <r>
    <n v="35"/>
    <x v="0"/>
    <s v="Travel_Frequently"/>
    <n v="130"/>
    <x v="1"/>
    <n v="25"/>
    <n v="4"/>
    <s v="Life Sciences"/>
    <n v="881"/>
    <n v="4"/>
    <x v="0"/>
    <n v="96"/>
    <n v="3"/>
    <n v="1"/>
    <s v="Research Scientist"/>
    <n v="2"/>
    <s v="Divorced"/>
    <n v="2022"/>
    <n v="16612"/>
    <n v="1"/>
    <x v="0"/>
    <n v="19"/>
    <n v="3"/>
    <n v="1"/>
    <n v="1"/>
    <n v="10"/>
    <n v="3"/>
    <n v="2"/>
    <n v="10"/>
    <n v="2"/>
    <n v="7"/>
    <n v="8"/>
  </r>
  <r>
    <n v="32"/>
    <x v="1"/>
    <s v="Non-Travel"/>
    <n v="300"/>
    <x v="1"/>
    <n v="1"/>
    <n v="3"/>
    <s v="Life Sciences"/>
    <n v="882"/>
    <n v="4"/>
    <x v="1"/>
    <n v="61"/>
    <n v="3"/>
    <n v="1"/>
    <s v="Laboratory Technician"/>
    <n v="4"/>
    <s v="Divorced"/>
    <n v="2314"/>
    <n v="9148"/>
    <n v="0"/>
    <x v="1"/>
    <n v="12"/>
    <n v="3"/>
    <n v="2"/>
    <n v="1"/>
    <n v="4"/>
    <n v="2"/>
    <n v="3"/>
    <n v="3"/>
    <n v="0"/>
    <n v="0"/>
    <n v="2"/>
  </r>
  <r>
    <n v="25"/>
    <x v="1"/>
    <s v="Travel_Rarely"/>
    <n v="583"/>
    <x v="0"/>
    <n v="4"/>
    <n v="1"/>
    <s v="Marketing"/>
    <n v="885"/>
    <n v="3"/>
    <x v="1"/>
    <n v="87"/>
    <n v="2"/>
    <n v="2"/>
    <s v="Sales Executive"/>
    <n v="1"/>
    <s v="Married"/>
    <n v="4256"/>
    <n v="18154"/>
    <n v="1"/>
    <x v="1"/>
    <n v="12"/>
    <n v="3"/>
    <n v="1"/>
    <n v="0"/>
    <n v="5"/>
    <n v="1"/>
    <n v="4"/>
    <n v="5"/>
    <n v="2"/>
    <n v="0"/>
    <n v="3"/>
  </r>
  <r>
    <n v="49"/>
    <x v="1"/>
    <s v="Travel_Rarely"/>
    <n v="1418"/>
    <x v="1"/>
    <n v="1"/>
    <n v="3"/>
    <s v="Technical Degree"/>
    <n v="887"/>
    <n v="3"/>
    <x v="0"/>
    <n v="36"/>
    <n v="3"/>
    <n v="1"/>
    <s v="Research Scientist"/>
    <n v="1"/>
    <s v="Married"/>
    <n v="3580"/>
    <n v="10554"/>
    <n v="2"/>
    <x v="1"/>
    <n v="16"/>
    <n v="3"/>
    <n v="2"/>
    <n v="1"/>
    <n v="7"/>
    <n v="2"/>
    <n v="3"/>
    <n v="4"/>
    <n v="2"/>
    <n v="0"/>
    <n v="2"/>
  </r>
  <r>
    <n v="24"/>
    <x v="1"/>
    <s v="Non-Travel"/>
    <n v="1269"/>
    <x v="1"/>
    <n v="4"/>
    <n v="1"/>
    <s v="Life Sciences"/>
    <n v="888"/>
    <n v="1"/>
    <x v="1"/>
    <n v="46"/>
    <n v="2"/>
    <n v="1"/>
    <s v="Laboratory Technician"/>
    <n v="4"/>
    <s v="Married"/>
    <n v="3162"/>
    <n v="10778"/>
    <n v="0"/>
    <x v="1"/>
    <n v="17"/>
    <n v="3"/>
    <n v="4"/>
    <n v="0"/>
    <n v="6"/>
    <n v="2"/>
    <n v="2"/>
    <n v="5"/>
    <n v="2"/>
    <n v="3"/>
    <n v="4"/>
  </r>
  <r>
    <n v="32"/>
    <x v="1"/>
    <s v="Travel_Frequently"/>
    <n v="379"/>
    <x v="0"/>
    <n v="5"/>
    <n v="2"/>
    <s v="Life Sciences"/>
    <n v="889"/>
    <n v="2"/>
    <x v="1"/>
    <n v="48"/>
    <n v="3"/>
    <n v="2"/>
    <s v="Sales Executive"/>
    <n v="2"/>
    <s v="Married"/>
    <n v="6524"/>
    <n v="8891"/>
    <n v="1"/>
    <x v="1"/>
    <n v="14"/>
    <n v="3"/>
    <n v="4"/>
    <n v="1"/>
    <n v="10"/>
    <n v="3"/>
    <n v="3"/>
    <n v="10"/>
    <n v="8"/>
    <n v="5"/>
    <n v="3"/>
  </r>
  <r>
    <n v="38"/>
    <x v="1"/>
    <s v="Travel_Rarely"/>
    <n v="395"/>
    <x v="0"/>
    <n v="9"/>
    <n v="3"/>
    <s v="Marketing"/>
    <n v="893"/>
    <n v="2"/>
    <x v="1"/>
    <n v="98"/>
    <n v="2"/>
    <n v="1"/>
    <s v="Sales Representative"/>
    <n v="2"/>
    <s v="Married"/>
    <n v="2899"/>
    <n v="12102"/>
    <n v="0"/>
    <x v="1"/>
    <n v="19"/>
    <n v="3"/>
    <n v="4"/>
    <n v="1"/>
    <n v="3"/>
    <n v="3"/>
    <n v="3"/>
    <n v="2"/>
    <n v="2"/>
    <n v="1"/>
    <n v="2"/>
  </r>
  <r>
    <n v="42"/>
    <x v="1"/>
    <s v="Travel_Rarely"/>
    <n v="1265"/>
    <x v="1"/>
    <n v="3"/>
    <n v="3"/>
    <s v="Life Sciences"/>
    <n v="894"/>
    <n v="3"/>
    <x v="0"/>
    <n v="95"/>
    <n v="4"/>
    <n v="2"/>
    <s v="Laboratory Technician"/>
    <n v="4"/>
    <s v="Married"/>
    <n v="5231"/>
    <n v="23726"/>
    <n v="2"/>
    <x v="0"/>
    <n v="13"/>
    <n v="3"/>
    <n v="2"/>
    <n v="1"/>
    <n v="17"/>
    <n v="1"/>
    <n v="2"/>
    <n v="5"/>
    <n v="3"/>
    <n v="1"/>
    <n v="3"/>
  </r>
  <r>
    <n v="31"/>
    <x v="1"/>
    <s v="Travel_Rarely"/>
    <n v="1222"/>
    <x v="1"/>
    <n v="11"/>
    <n v="4"/>
    <s v="Life Sciences"/>
    <n v="895"/>
    <n v="4"/>
    <x v="1"/>
    <n v="48"/>
    <n v="3"/>
    <n v="1"/>
    <s v="Research Scientist"/>
    <n v="4"/>
    <s v="Married"/>
    <n v="2356"/>
    <n v="14871"/>
    <n v="3"/>
    <x v="0"/>
    <n v="19"/>
    <n v="3"/>
    <n v="2"/>
    <n v="1"/>
    <n v="8"/>
    <n v="2"/>
    <n v="3"/>
    <n v="6"/>
    <n v="4"/>
    <n v="0"/>
    <n v="2"/>
  </r>
  <r>
    <n v="29"/>
    <x v="0"/>
    <s v="Travel_Rarely"/>
    <n v="341"/>
    <x v="0"/>
    <n v="1"/>
    <n v="3"/>
    <s v="Medical"/>
    <n v="896"/>
    <n v="2"/>
    <x v="0"/>
    <n v="48"/>
    <n v="2"/>
    <n v="1"/>
    <s v="Sales Representative"/>
    <n v="3"/>
    <s v="Divorced"/>
    <n v="2800"/>
    <n v="23522"/>
    <n v="6"/>
    <x v="0"/>
    <n v="19"/>
    <n v="3"/>
    <n v="3"/>
    <n v="3"/>
    <n v="5"/>
    <n v="3"/>
    <n v="3"/>
    <n v="3"/>
    <n v="2"/>
    <n v="0"/>
    <n v="2"/>
  </r>
  <r>
    <n v="53"/>
    <x v="1"/>
    <s v="Travel_Rarely"/>
    <n v="868"/>
    <x v="0"/>
    <n v="8"/>
    <n v="3"/>
    <s v="Marketing"/>
    <n v="897"/>
    <n v="1"/>
    <x v="1"/>
    <n v="73"/>
    <n v="3"/>
    <n v="4"/>
    <s v="Sales Executive"/>
    <n v="4"/>
    <s v="Married"/>
    <n v="11836"/>
    <n v="22789"/>
    <n v="5"/>
    <x v="1"/>
    <n v="14"/>
    <n v="3"/>
    <n v="3"/>
    <n v="1"/>
    <n v="28"/>
    <n v="3"/>
    <n v="3"/>
    <n v="2"/>
    <n v="0"/>
    <n v="2"/>
    <n v="2"/>
  </r>
  <r>
    <n v="35"/>
    <x v="1"/>
    <s v="Travel_Rarely"/>
    <n v="672"/>
    <x v="1"/>
    <n v="25"/>
    <n v="3"/>
    <s v="Technical Degree"/>
    <n v="899"/>
    <n v="4"/>
    <x v="1"/>
    <n v="78"/>
    <n v="2"/>
    <n v="3"/>
    <s v="Manufacturing Director"/>
    <n v="2"/>
    <s v="Married"/>
    <n v="10903"/>
    <n v="9129"/>
    <n v="3"/>
    <x v="1"/>
    <n v="16"/>
    <n v="3"/>
    <n v="1"/>
    <n v="0"/>
    <n v="16"/>
    <n v="2"/>
    <n v="3"/>
    <n v="13"/>
    <n v="10"/>
    <n v="4"/>
    <n v="8"/>
  </r>
  <r>
    <n v="37"/>
    <x v="1"/>
    <s v="Travel_Frequently"/>
    <n v="1231"/>
    <x v="0"/>
    <n v="21"/>
    <n v="2"/>
    <s v="Medical"/>
    <n v="900"/>
    <n v="3"/>
    <x v="0"/>
    <n v="54"/>
    <n v="3"/>
    <n v="1"/>
    <s v="Sales Representative"/>
    <n v="4"/>
    <s v="Married"/>
    <n v="2973"/>
    <n v="21222"/>
    <n v="5"/>
    <x v="1"/>
    <n v="15"/>
    <n v="3"/>
    <n v="2"/>
    <n v="1"/>
    <n v="10"/>
    <n v="3"/>
    <n v="3"/>
    <n v="5"/>
    <n v="4"/>
    <n v="0"/>
    <n v="0"/>
  </r>
  <r>
    <n v="53"/>
    <x v="1"/>
    <s v="Travel_Rarely"/>
    <n v="102"/>
    <x v="1"/>
    <n v="23"/>
    <n v="4"/>
    <s v="Life Sciences"/>
    <n v="901"/>
    <n v="4"/>
    <x v="0"/>
    <n v="72"/>
    <n v="3"/>
    <n v="4"/>
    <s v="Research Director"/>
    <n v="4"/>
    <s v="Single"/>
    <n v="14275"/>
    <n v="20206"/>
    <n v="6"/>
    <x v="1"/>
    <n v="18"/>
    <n v="3"/>
    <n v="3"/>
    <n v="0"/>
    <n v="33"/>
    <n v="0"/>
    <n v="3"/>
    <n v="12"/>
    <n v="9"/>
    <n v="3"/>
    <n v="8"/>
  </r>
  <r>
    <n v="43"/>
    <x v="1"/>
    <s v="Travel_Frequently"/>
    <n v="422"/>
    <x v="1"/>
    <n v="1"/>
    <n v="3"/>
    <s v="Life Sciences"/>
    <n v="902"/>
    <n v="4"/>
    <x v="0"/>
    <n v="33"/>
    <n v="3"/>
    <n v="2"/>
    <s v="Healthcare Representative"/>
    <n v="4"/>
    <s v="Married"/>
    <n v="5562"/>
    <n v="21782"/>
    <n v="4"/>
    <x v="1"/>
    <n v="13"/>
    <n v="3"/>
    <n v="2"/>
    <n v="1"/>
    <n v="12"/>
    <n v="2"/>
    <n v="2"/>
    <n v="5"/>
    <n v="2"/>
    <n v="2"/>
    <n v="2"/>
  </r>
  <r>
    <n v="47"/>
    <x v="1"/>
    <s v="Travel_Rarely"/>
    <n v="249"/>
    <x v="0"/>
    <n v="2"/>
    <n v="2"/>
    <s v="Marketing"/>
    <n v="903"/>
    <n v="3"/>
    <x v="0"/>
    <n v="35"/>
    <n v="3"/>
    <n v="2"/>
    <s v="Sales Executive"/>
    <n v="4"/>
    <s v="Married"/>
    <n v="4537"/>
    <n v="17783"/>
    <n v="0"/>
    <x v="0"/>
    <n v="22"/>
    <n v="4"/>
    <n v="1"/>
    <n v="1"/>
    <n v="8"/>
    <n v="2"/>
    <n v="3"/>
    <n v="7"/>
    <n v="6"/>
    <n v="7"/>
    <n v="7"/>
  </r>
  <r>
    <n v="37"/>
    <x v="1"/>
    <s v="Non-Travel"/>
    <n v="1252"/>
    <x v="0"/>
    <n v="19"/>
    <n v="2"/>
    <s v="Medical"/>
    <n v="904"/>
    <n v="1"/>
    <x v="1"/>
    <n v="32"/>
    <n v="3"/>
    <n v="3"/>
    <s v="Sales Executive"/>
    <n v="2"/>
    <s v="Single"/>
    <n v="7642"/>
    <n v="4814"/>
    <n v="1"/>
    <x v="0"/>
    <n v="13"/>
    <n v="3"/>
    <n v="4"/>
    <n v="0"/>
    <n v="10"/>
    <n v="2"/>
    <n v="3"/>
    <n v="10"/>
    <n v="0"/>
    <n v="0"/>
    <n v="9"/>
  </r>
  <r>
    <n v="50"/>
    <x v="1"/>
    <s v="Non-Travel"/>
    <n v="881"/>
    <x v="1"/>
    <n v="2"/>
    <n v="4"/>
    <s v="Life Sciences"/>
    <n v="905"/>
    <n v="1"/>
    <x v="1"/>
    <n v="98"/>
    <n v="3"/>
    <n v="4"/>
    <s v="Manager"/>
    <n v="1"/>
    <s v="Divorced"/>
    <n v="17924"/>
    <n v="4544"/>
    <n v="1"/>
    <x v="1"/>
    <n v="11"/>
    <n v="3"/>
    <n v="4"/>
    <n v="1"/>
    <n v="31"/>
    <n v="3"/>
    <n v="3"/>
    <n v="31"/>
    <n v="6"/>
    <n v="14"/>
    <n v="7"/>
  </r>
  <r>
    <n v="39"/>
    <x v="1"/>
    <s v="Travel_Rarely"/>
    <n v="1383"/>
    <x v="2"/>
    <n v="2"/>
    <n v="3"/>
    <s v="Life Sciences"/>
    <n v="909"/>
    <n v="4"/>
    <x v="0"/>
    <n v="42"/>
    <n v="2"/>
    <n v="2"/>
    <s v="Human Resources"/>
    <n v="4"/>
    <s v="Married"/>
    <n v="5204"/>
    <n v="7790"/>
    <n v="8"/>
    <x v="1"/>
    <n v="11"/>
    <n v="3"/>
    <n v="3"/>
    <n v="2"/>
    <n v="13"/>
    <n v="2"/>
    <n v="3"/>
    <n v="5"/>
    <n v="4"/>
    <n v="0"/>
    <n v="4"/>
  </r>
  <r>
    <n v="33"/>
    <x v="1"/>
    <s v="Travel_Rarely"/>
    <n v="1075"/>
    <x v="2"/>
    <n v="3"/>
    <n v="2"/>
    <s v="Human Resources"/>
    <n v="910"/>
    <n v="4"/>
    <x v="1"/>
    <n v="57"/>
    <n v="3"/>
    <n v="1"/>
    <s v="Human Resources"/>
    <n v="2"/>
    <s v="Divorced"/>
    <n v="2277"/>
    <n v="22650"/>
    <n v="3"/>
    <x v="0"/>
    <n v="11"/>
    <n v="3"/>
    <n v="3"/>
    <n v="1"/>
    <n v="7"/>
    <n v="4"/>
    <n v="4"/>
    <n v="4"/>
    <n v="3"/>
    <n v="0"/>
    <n v="3"/>
  </r>
  <r>
    <n v="32"/>
    <x v="0"/>
    <s v="Travel_Rarely"/>
    <n v="374"/>
    <x v="1"/>
    <n v="25"/>
    <n v="4"/>
    <s v="Life Sciences"/>
    <n v="911"/>
    <n v="1"/>
    <x v="1"/>
    <n v="87"/>
    <n v="3"/>
    <n v="1"/>
    <s v="Laboratory Technician"/>
    <n v="4"/>
    <s v="Single"/>
    <n v="2795"/>
    <n v="18016"/>
    <n v="1"/>
    <x v="0"/>
    <n v="24"/>
    <n v="4"/>
    <n v="3"/>
    <n v="0"/>
    <n v="1"/>
    <n v="2"/>
    <n v="1"/>
    <n v="1"/>
    <n v="0"/>
    <n v="0"/>
    <n v="1"/>
  </r>
  <r>
    <n v="29"/>
    <x v="1"/>
    <s v="Travel_Rarely"/>
    <n v="1086"/>
    <x v="1"/>
    <n v="7"/>
    <n v="1"/>
    <s v="Medical"/>
    <n v="912"/>
    <n v="1"/>
    <x v="0"/>
    <n v="62"/>
    <n v="2"/>
    <n v="1"/>
    <s v="Laboratory Technician"/>
    <n v="4"/>
    <s v="Divorced"/>
    <n v="2532"/>
    <n v="6054"/>
    <n v="6"/>
    <x v="1"/>
    <n v="14"/>
    <n v="3"/>
    <n v="3"/>
    <n v="3"/>
    <n v="8"/>
    <n v="5"/>
    <n v="3"/>
    <n v="4"/>
    <n v="3"/>
    <n v="0"/>
    <n v="3"/>
  </r>
  <r>
    <n v="44"/>
    <x v="1"/>
    <s v="Travel_Rarely"/>
    <n v="661"/>
    <x v="1"/>
    <n v="9"/>
    <n v="2"/>
    <s v="Life Sciences"/>
    <n v="913"/>
    <n v="2"/>
    <x v="1"/>
    <n v="61"/>
    <n v="3"/>
    <n v="1"/>
    <s v="Research Scientist"/>
    <n v="1"/>
    <s v="Married"/>
    <n v="2559"/>
    <n v="7508"/>
    <n v="1"/>
    <x v="0"/>
    <n v="13"/>
    <n v="3"/>
    <n v="4"/>
    <n v="0"/>
    <n v="8"/>
    <n v="0"/>
    <n v="3"/>
    <n v="8"/>
    <n v="7"/>
    <n v="7"/>
    <n v="1"/>
  </r>
  <r>
    <n v="28"/>
    <x v="1"/>
    <s v="Travel_Rarely"/>
    <n v="821"/>
    <x v="0"/>
    <n v="5"/>
    <n v="4"/>
    <s v="Medical"/>
    <n v="916"/>
    <n v="1"/>
    <x v="1"/>
    <n v="98"/>
    <n v="3"/>
    <n v="2"/>
    <s v="Sales Executive"/>
    <n v="4"/>
    <s v="Single"/>
    <n v="4908"/>
    <n v="24252"/>
    <n v="1"/>
    <x v="1"/>
    <n v="14"/>
    <n v="3"/>
    <n v="2"/>
    <n v="0"/>
    <n v="4"/>
    <n v="3"/>
    <n v="3"/>
    <n v="4"/>
    <n v="2"/>
    <n v="0"/>
    <n v="2"/>
  </r>
  <r>
    <n v="58"/>
    <x v="0"/>
    <s v="Travel_Frequently"/>
    <n v="781"/>
    <x v="1"/>
    <n v="2"/>
    <n v="1"/>
    <s v="Life Sciences"/>
    <n v="918"/>
    <n v="4"/>
    <x v="1"/>
    <n v="57"/>
    <n v="2"/>
    <n v="1"/>
    <s v="Laboratory Technician"/>
    <n v="4"/>
    <s v="Divorced"/>
    <n v="2380"/>
    <n v="13384"/>
    <n v="9"/>
    <x v="0"/>
    <n v="14"/>
    <n v="3"/>
    <n v="4"/>
    <n v="1"/>
    <n v="3"/>
    <n v="3"/>
    <n v="2"/>
    <n v="1"/>
    <n v="0"/>
    <n v="0"/>
    <n v="0"/>
  </r>
  <r>
    <n v="43"/>
    <x v="1"/>
    <s v="Travel_Rarely"/>
    <n v="177"/>
    <x v="1"/>
    <n v="8"/>
    <n v="3"/>
    <s v="Life Sciences"/>
    <n v="920"/>
    <n v="1"/>
    <x v="0"/>
    <n v="55"/>
    <n v="3"/>
    <n v="2"/>
    <s v="Manufacturing Director"/>
    <n v="2"/>
    <s v="Divorced"/>
    <n v="4765"/>
    <n v="23814"/>
    <n v="4"/>
    <x v="1"/>
    <n v="21"/>
    <n v="4"/>
    <n v="3"/>
    <n v="1"/>
    <n v="4"/>
    <n v="2"/>
    <n v="4"/>
    <n v="1"/>
    <n v="0"/>
    <n v="0"/>
    <n v="0"/>
  </r>
  <r>
    <n v="20"/>
    <x v="0"/>
    <s v="Travel_Rarely"/>
    <n v="500"/>
    <x v="0"/>
    <n v="2"/>
    <n v="3"/>
    <s v="Medical"/>
    <n v="922"/>
    <n v="3"/>
    <x v="0"/>
    <n v="49"/>
    <n v="2"/>
    <n v="1"/>
    <s v="Sales Representative"/>
    <n v="3"/>
    <s v="Single"/>
    <n v="2044"/>
    <n v="22052"/>
    <n v="1"/>
    <x v="1"/>
    <n v="13"/>
    <n v="3"/>
    <n v="4"/>
    <n v="0"/>
    <n v="2"/>
    <n v="3"/>
    <n v="2"/>
    <n v="2"/>
    <n v="2"/>
    <n v="0"/>
    <n v="2"/>
  </r>
  <r>
    <n v="21"/>
    <x v="0"/>
    <s v="Travel_Rarely"/>
    <n v="1427"/>
    <x v="1"/>
    <n v="18"/>
    <n v="1"/>
    <s v="Other"/>
    <n v="923"/>
    <n v="4"/>
    <x v="0"/>
    <n v="65"/>
    <n v="3"/>
    <n v="1"/>
    <s v="Research Scientist"/>
    <n v="4"/>
    <s v="Single"/>
    <n v="2693"/>
    <n v="8870"/>
    <n v="1"/>
    <x v="1"/>
    <n v="19"/>
    <n v="3"/>
    <n v="1"/>
    <n v="0"/>
    <n v="1"/>
    <n v="3"/>
    <n v="2"/>
    <n v="1"/>
    <n v="0"/>
    <n v="0"/>
    <n v="0"/>
  </r>
  <r>
    <n v="36"/>
    <x v="1"/>
    <s v="Travel_Rarely"/>
    <n v="1425"/>
    <x v="1"/>
    <n v="14"/>
    <n v="1"/>
    <s v="Life Sciences"/>
    <n v="924"/>
    <n v="3"/>
    <x v="1"/>
    <n v="68"/>
    <n v="3"/>
    <n v="2"/>
    <s v="Healthcare Representative"/>
    <n v="4"/>
    <s v="Married"/>
    <n v="6586"/>
    <n v="4821"/>
    <n v="0"/>
    <x v="0"/>
    <n v="17"/>
    <n v="3"/>
    <n v="1"/>
    <n v="1"/>
    <n v="17"/>
    <n v="2"/>
    <n v="2"/>
    <n v="16"/>
    <n v="8"/>
    <n v="4"/>
    <n v="11"/>
  </r>
  <r>
    <n v="47"/>
    <x v="1"/>
    <s v="Travel_Rarely"/>
    <n v="1454"/>
    <x v="0"/>
    <n v="2"/>
    <n v="4"/>
    <s v="Life Sciences"/>
    <n v="925"/>
    <n v="4"/>
    <x v="0"/>
    <n v="65"/>
    <n v="2"/>
    <n v="1"/>
    <s v="Sales Representative"/>
    <n v="4"/>
    <s v="Single"/>
    <n v="3294"/>
    <n v="13137"/>
    <n v="1"/>
    <x v="0"/>
    <n v="18"/>
    <n v="3"/>
    <n v="1"/>
    <n v="0"/>
    <n v="3"/>
    <n v="3"/>
    <n v="2"/>
    <n v="3"/>
    <n v="2"/>
    <n v="1"/>
    <n v="2"/>
  </r>
  <r>
    <n v="22"/>
    <x v="0"/>
    <s v="Travel_Rarely"/>
    <n v="617"/>
    <x v="1"/>
    <n v="3"/>
    <n v="1"/>
    <s v="Life Sciences"/>
    <n v="926"/>
    <n v="2"/>
    <x v="0"/>
    <n v="34"/>
    <n v="3"/>
    <n v="2"/>
    <s v="Manufacturing Director"/>
    <n v="3"/>
    <s v="Married"/>
    <n v="4171"/>
    <n v="10022"/>
    <n v="0"/>
    <x v="0"/>
    <n v="19"/>
    <n v="3"/>
    <n v="1"/>
    <n v="1"/>
    <n v="4"/>
    <n v="3"/>
    <n v="4"/>
    <n v="3"/>
    <n v="2"/>
    <n v="0"/>
    <n v="2"/>
  </r>
  <r>
    <n v="41"/>
    <x v="0"/>
    <s v="Travel_Rarely"/>
    <n v="1085"/>
    <x v="1"/>
    <n v="2"/>
    <n v="4"/>
    <s v="Life Sciences"/>
    <n v="927"/>
    <n v="2"/>
    <x v="0"/>
    <n v="57"/>
    <n v="1"/>
    <n v="1"/>
    <s v="Laboratory Technician"/>
    <n v="4"/>
    <s v="Divorced"/>
    <n v="2778"/>
    <n v="17725"/>
    <n v="4"/>
    <x v="0"/>
    <n v="13"/>
    <n v="3"/>
    <n v="3"/>
    <n v="1"/>
    <n v="10"/>
    <n v="1"/>
    <n v="2"/>
    <n v="7"/>
    <n v="7"/>
    <n v="1"/>
    <n v="0"/>
  </r>
  <r>
    <n v="28"/>
    <x v="1"/>
    <s v="Travel_Rarely"/>
    <n v="995"/>
    <x v="1"/>
    <n v="9"/>
    <n v="3"/>
    <s v="Medical"/>
    <n v="930"/>
    <n v="3"/>
    <x v="0"/>
    <n v="77"/>
    <n v="3"/>
    <n v="1"/>
    <s v="Research Scientist"/>
    <n v="3"/>
    <s v="Divorced"/>
    <n v="2377"/>
    <n v="9834"/>
    <n v="5"/>
    <x v="1"/>
    <n v="18"/>
    <n v="3"/>
    <n v="2"/>
    <n v="1"/>
    <n v="6"/>
    <n v="2"/>
    <n v="3"/>
    <n v="2"/>
    <n v="2"/>
    <n v="2"/>
    <n v="2"/>
  </r>
  <r>
    <n v="39"/>
    <x v="0"/>
    <s v="Travel_Rarely"/>
    <n v="1122"/>
    <x v="1"/>
    <n v="6"/>
    <n v="3"/>
    <s v="Medical"/>
    <n v="932"/>
    <n v="4"/>
    <x v="1"/>
    <n v="70"/>
    <n v="3"/>
    <n v="1"/>
    <s v="Laboratory Technician"/>
    <n v="1"/>
    <s v="Married"/>
    <n v="2404"/>
    <n v="4303"/>
    <n v="7"/>
    <x v="0"/>
    <n v="21"/>
    <n v="4"/>
    <n v="4"/>
    <n v="0"/>
    <n v="8"/>
    <n v="2"/>
    <n v="1"/>
    <n v="2"/>
    <n v="2"/>
    <n v="2"/>
    <n v="2"/>
  </r>
  <r>
    <n v="27"/>
    <x v="1"/>
    <s v="Travel_Rarely"/>
    <n v="618"/>
    <x v="1"/>
    <n v="4"/>
    <n v="3"/>
    <s v="Life Sciences"/>
    <n v="933"/>
    <n v="2"/>
    <x v="0"/>
    <n v="76"/>
    <n v="3"/>
    <n v="1"/>
    <s v="Research Scientist"/>
    <n v="3"/>
    <s v="Single"/>
    <n v="2318"/>
    <n v="17808"/>
    <n v="1"/>
    <x v="1"/>
    <n v="19"/>
    <n v="3"/>
    <n v="3"/>
    <n v="0"/>
    <n v="1"/>
    <n v="2"/>
    <n v="3"/>
    <n v="1"/>
    <n v="1"/>
    <n v="0"/>
    <n v="0"/>
  </r>
  <r>
    <n v="34"/>
    <x v="1"/>
    <s v="Travel_Rarely"/>
    <n v="546"/>
    <x v="1"/>
    <n v="10"/>
    <n v="3"/>
    <s v="Life Sciences"/>
    <n v="934"/>
    <n v="2"/>
    <x v="1"/>
    <n v="83"/>
    <n v="3"/>
    <n v="1"/>
    <s v="Laboratory Technician"/>
    <n v="2"/>
    <s v="Divorced"/>
    <n v="2008"/>
    <n v="6896"/>
    <n v="1"/>
    <x v="1"/>
    <n v="14"/>
    <n v="3"/>
    <n v="2"/>
    <n v="2"/>
    <n v="1"/>
    <n v="3"/>
    <n v="3"/>
    <n v="1"/>
    <n v="0"/>
    <n v="1"/>
    <n v="0"/>
  </r>
  <r>
    <n v="42"/>
    <x v="1"/>
    <s v="Travel_Rarely"/>
    <n v="462"/>
    <x v="0"/>
    <n v="14"/>
    <n v="2"/>
    <s v="Medical"/>
    <n v="936"/>
    <n v="3"/>
    <x v="0"/>
    <n v="68"/>
    <n v="2"/>
    <n v="2"/>
    <s v="Sales Executive"/>
    <n v="3"/>
    <s v="Single"/>
    <n v="6244"/>
    <n v="7824"/>
    <n v="7"/>
    <x v="1"/>
    <n v="17"/>
    <n v="3"/>
    <n v="1"/>
    <n v="0"/>
    <n v="10"/>
    <n v="6"/>
    <n v="3"/>
    <n v="5"/>
    <n v="4"/>
    <n v="0"/>
    <n v="3"/>
  </r>
  <r>
    <n v="33"/>
    <x v="1"/>
    <s v="Travel_Rarely"/>
    <n v="1198"/>
    <x v="1"/>
    <n v="1"/>
    <n v="4"/>
    <s v="Other"/>
    <n v="939"/>
    <n v="3"/>
    <x v="1"/>
    <n v="100"/>
    <n v="2"/>
    <n v="1"/>
    <s v="Research Scientist"/>
    <n v="1"/>
    <s v="Single"/>
    <n v="2799"/>
    <n v="3339"/>
    <n v="3"/>
    <x v="0"/>
    <n v="11"/>
    <n v="3"/>
    <n v="2"/>
    <n v="0"/>
    <n v="6"/>
    <n v="1"/>
    <n v="3"/>
    <n v="3"/>
    <n v="2"/>
    <n v="0"/>
    <n v="2"/>
  </r>
  <r>
    <n v="58"/>
    <x v="1"/>
    <s v="Travel_Rarely"/>
    <n v="1272"/>
    <x v="1"/>
    <n v="5"/>
    <n v="3"/>
    <s v="Technical Degree"/>
    <n v="940"/>
    <n v="3"/>
    <x v="0"/>
    <n v="37"/>
    <n v="2"/>
    <n v="3"/>
    <s v="Healthcare Representative"/>
    <n v="2"/>
    <s v="Divorced"/>
    <n v="10552"/>
    <n v="9255"/>
    <n v="2"/>
    <x v="0"/>
    <n v="13"/>
    <n v="3"/>
    <n v="4"/>
    <n v="1"/>
    <n v="24"/>
    <n v="3"/>
    <n v="3"/>
    <n v="6"/>
    <n v="0"/>
    <n v="0"/>
    <n v="4"/>
  </r>
  <r>
    <n v="31"/>
    <x v="1"/>
    <s v="Travel_Rarely"/>
    <n v="154"/>
    <x v="0"/>
    <n v="7"/>
    <n v="4"/>
    <s v="Life Sciences"/>
    <n v="941"/>
    <n v="2"/>
    <x v="1"/>
    <n v="41"/>
    <n v="2"/>
    <n v="1"/>
    <s v="Sales Representative"/>
    <n v="3"/>
    <s v="Married"/>
    <n v="2329"/>
    <n v="11737"/>
    <n v="3"/>
    <x v="1"/>
    <n v="15"/>
    <n v="3"/>
    <n v="2"/>
    <n v="0"/>
    <n v="13"/>
    <n v="2"/>
    <n v="4"/>
    <n v="7"/>
    <n v="7"/>
    <n v="5"/>
    <n v="2"/>
  </r>
  <r>
    <n v="35"/>
    <x v="1"/>
    <s v="Travel_Rarely"/>
    <n v="1137"/>
    <x v="1"/>
    <n v="21"/>
    <n v="1"/>
    <s v="Life Sciences"/>
    <n v="942"/>
    <n v="4"/>
    <x v="0"/>
    <n v="51"/>
    <n v="3"/>
    <n v="2"/>
    <s v="Healthcare Representative"/>
    <n v="4"/>
    <s v="Married"/>
    <n v="4014"/>
    <n v="19170"/>
    <n v="1"/>
    <x v="0"/>
    <n v="25"/>
    <n v="4"/>
    <n v="4"/>
    <n v="1"/>
    <n v="10"/>
    <n v="2"/>
    <n v="1"/>
    <n v="10"/>
    <n v="6"/>
    <n v="0"/>
    <n v="7"/>
  </r>
  <r>
    <n v="49"/>
    <x v="1"/>
    <s v="Travel_Rarely"/>
    <n v="527"/>
    <x v="1"/>
    <n v="8"/>
    <n v="2"/>
    <s v="Other"/>
    <n v="944"/>
    <n v="1"/>
    <x v="0"/>
    <n v="51"/>
    <n v="3"/>
    <n v="3"/>
    <s v="Laboratory Technician"/>
    <n v="2"/>
    <s v="Married"/>
    <n v="7403"/>
    <n v="22477"/>
    <n v="4"/>
    <x v="1"/>
    <n v="11"/>
    <n v="3"/>
    <n v="3"/>
    <n v="1"/>
    <n v="29"/>
    <n v="3"/>
    <n v="2"/>
    <n v="26"/>
    <n v="9"/>
    <n v="1"/>
    <n v="7"/>
  </r>
  <r>
    <n v="48"/>
    <x v="1"/>
    <s v="Travel_Rarely"/>
    <n v="1469"/>
    <x v="1"/>
    <n v="20"/>
    <n v="4"/>
    <s v="Medical"/>
    <n v="945"/>
    <n v="4"/>
    <x v="1"/>
    <n v="51"/>
    <n v="3"/>
    <n v="1"/>
    <s v="Research Scientist"/>
    <n v="3"/>
    <s v="Married"/>
    <n v="2259"/>
    <n v="5543"/>
    <n v="4"/>
    <x v="1"/>
    <n v="17"/>
    <n v="3"/>
    <n v="1"/>
    <n v="2"/>
    <n v="13"/>
    <n v="2"/>
    <n v="2"/>
    <n v="0"/>
    <n v="0"/>
    <n v="0"/>
    <n v="0"/>
  </r>
  <r>
    <n v="31"/>
    <x v="1"/>
    <s v="Non-Travel"/>
    <n v="1188"/>
    <x v="0"/>
    <n v="20"/>
    <n v="2"/>
    <s v="Marketing"/>
    <n v="947"/>
    <n v="4"/>
    <x v="0"/>
    <n v="45"/>
    <n v="3"/>
    <n v="2"/>
    <s v="Sales Executive"/>
    <n v="3"/>
    <s v="Married"/>
    <n v="6932"/>
    <n v="24406"/>
    <n v="1"/>
    <x v="1"/>
    <n v="13"/>
    <n v="3"/>
    <n v="4"/>
    <n v="1"/>
    <n v="9"/>
    <n v="2"/>
    <n v="2"/>
    <n v="9"/>
    <n v="8"/>
    <n v="0"/>
    <n v="0"/>
  </r>
  <r>
    <n v="36"/>
    <x v="1"/>
    <s v="Travel_Rarely"/>
    <n v="188"/>
    <x v="1"/>
    <n v="7"/>
    <n v="4"/>
    <s v="Other"/>
    <n v="949"/>
    <n v="2"/>
    <x v="1"/>
    <n v="65"/>
    <n v="3"/>
    <n v="1"/>
    <s v="Research Scientist"/>
    <n v="4"/>
    <s v="Single"/>
    <n v="4678"/>
    <n v="23293"/>
    <n v="2"/>
    <x v="1"/>
    <n v="18"/>
    <n v="3"/>
    <n v="3"/>
    <n v="0"/>
    <n v="8"/>
    <n v="6"/>
    <n v="3"/>
    <n v="6"/>
    <n v="2"/>
    <n v="0"/>
    <n v="1"/>
  </r>
  <r>
    <n v="38"/>
    <x v="1"/>
    <s v="Travel_Rarely"/>
    <n v="1333"/>
    <x v="1"/>
    <n v="1"/>
    <n v="3"/>
    <s v="Technical Degree"/>
    <n v="950"/>
    <n v="4"/>
    <x v="0"/>
    <n v="80"/>
    <n v="3"/>
    <n v="3"/>
    <s v="Research Director"/>
    <n v="1"/>
    <s v="Married"/>
    <n v="13582"/>
    <n v="16292"/>
    <n v="1"/>
    <x v="1"/>
    <n v="13"/>
    <n v="3"/>
    <n v="2"/>
    <n v="1"/>
    <n v="15"/>
    <n v="3"/>
    <n v="3"/>
    <n v="15"/>
    <n v="12"/>
    <n v="5"/>
    <n v="11"/>
  </r>
  <r>
    <n v="32"/>
    <x v="1"/>
    <s v="Non-Travel"/>
    <n v="1184"/>
    <x v="1"/>
    <n v="1"/>
    <n v="3"/>
    <s v="Life Sciences"/>
    <n v="951"/>
    <n v="3"/>
    <x v="0"/>
    <n v="70"/>
    <n v="2"/>
    <n v="1"/>
    <s v="Laboratory Technician"/>
    <n v="2"/>
    <s v="Married"/>
    <n v="2332"/>
    <n v="3974"/>
    <n v="6"/>
    <x v="1"/>
    <n v="20"/>
    <n v="4"/>
    <n v="3"/>
    <n v="0"/>
    <n v="5"/>
    <n v="3"/>
    <n v="3"/>
    <n v="3"/>
    <n v="0"/>
    <n v="0"/>
    <n v="2"/>
  </r>
  <r>
    <n v="25"/>
    <x v="0"/>
    <s v="Travel_Rarely"/>
    <n v="867"/>
    <x v="0"/>
    <n v="19"/>
    <n v="2"/>
    <s v="Marketing"/>
    <n v="952"/>
    <n v="3"/>
    <x v="1"/>
    <n v="36"/>
    <n v="2"/>
    <n v="1"/>
    <s v="Sales Representative"/>
    <n v="2"/>
    <s v="Married"/>
    <n v="2413"/>
    <n v="18798"/>
    <n v="1"/>
    <x v="0"/>
    <n v="18"/>
    <n v="3"/>
    <n v="3"/>
    <n v="3"/>
    <n v="1"/>
    <n v="2"/>
    <n v="3"/>
    <n v="1"/>
    <n v="0"/>
    <n v="0"/>
    <n v="0"/>
  </r>
  <r>
    <n v="40"/>
    <x v="1"/>
    <s v="Travel_Rarely"/>
    <n v="658"/>
    <x v="0"/>
    <n v="10"/>
    <n v="4"/>
    <s v="Marketing"/>
    <n v="954"/>
    <n v="1"/>
    <x v="1"/>
    <n v="67"/>
    <n v="2"/>
    <n v="3"/>
    <s v="Sales Executive"/>
    <n v="2"/>
    <s v="Divorced"/>
    <n v="9705"/>
    <n v="20652"/>
    <n v="2"/>
    <x v="1"/>
    <n v="12"/>
    <n v="3"/>
    <n v="2"/>
    <n v="1"/>
    <n v="11"/>
    <n v="2"/>
    <n v="2"/>
    <n v="1"/>
    <n v="0"/>
    <n v="0"/>
    <n v="0"/>
  </r>
  <r>
    <n v="26"/>
    <x v="1"/>
    <s v="Travel_Frequently"/>
    <n v="1283"/>
    <x v="0"/>
    <n v="1"/>
    <n v="3"/>
    <s v="Medical"/>
    <n v="956"/>
    <n v="3"/>
    <x v="1"/>
    <n v="52"/>
    <n v="2"/>
    <n v="2"/>
    <s v="Sales Executive"/>
    <n v="1"/>
    <s v="Single"/>
    <n v="4294"/>
    <n v="11148"/>
    <n v="1"/>
    <x v="1"/>
    <n v="12"/>
    <n v="3"/>
    <n v="2"/>
    <n v="0"/>
    <n v="7"/>
    <n v="2"/>
    <n v="3"/>
    <n v="7"/>
    <n v="7"/>
    <n v="0"/>
    <n v="7"/>
  </r>
  <r>
    <n v="41"/>
    <x v="1"/>
    <s v="Travel_Rarely"/>
    <n v="263"/>
    <x v="1"/>
    <n v="6"/>
    <n v="3"/>
    <s v="Medical"/>
    <n v="957"/>
    <n v="4"/>
    <x v="1"/>
    <n v="59"/>
    <n v="3"/>
    <n v="1"/>
    <s v="Laboratory Technician"/>
    <n v="1"/>
    <s v="Single"/>
    <n v="4721"/>
    <n v="3119"/>
    <n v="2"/>
    <x v="0"/>
    <n v="13"/>
    <n v="3"/>
    <n v="3"/>
    <n v="0"/>
    <n v="20"/>
    <n v="3"/>
    <n v="3"/>
    <n v="18"/>
    <n v="13"/>
    <n v="2"/>
    <n v="17"/>
  </r>
  <r>
    <n v="36"/>
    <x v="1"/>
    <s v="Travel_Rarely"/>
    <n v="938"/>
    <x v="1"/>
    <n v="2"/>
    <n v="4"/>
    <s v="Medical"/>
    <n v="958"/>
    <n v="3"/>
    <x v="1"/>
    <n v="79"/>
    <n v="3"/>
    <n v="1"/>
    <s v="Laboratory Technician"/>
    <n v="3"/>
    <s v="Single"/>
    <n v="2519"/>
    <n v="12287"/>
    <n v="4"/>
    <x v="1"/>
    <n v="21"/>
    <n v="4"/>
    <n v="3"/>
    <n v="0"/>
    <n v="16"/>
    <n v="6"/>
    <n v="3"/>
    <n v="11"/>
    <n v="8"/>
    <n v="3"/>
    <n v="9"/>
  </r>
  <r>
    <n v="19"/>
    <x v="0"/>
    <s v="Travel_Rarely"/>
    <n v="419"/>
    <x v="0"/>
    <n v="21"/>
    <n v="3"/>
    <s v="Other"/>
    <n v="959"/>
    <n v="4"/>
    <x v="1"/>
    <n v="37"/>
    <n v="2"/>
    <n v="1"/>
    <s v="Sales Representative"/>
    <n v="2"/>
    <s v="Single"/>
    <n v="2121"/>
    <n v="9947"/>
    <n v="1"/>
    <x v="0"/>
    <n v="13"/>
    <n v="3"/>
    <n v="2"/>
    <n v="0"/>
    <n v="1"/>
    <n v="3"/>
    <n v="4"/>
    <n v="1"/>
    <n v="0"/>
    <n v="0"/>
    <n v="0"/>
  </r>
  <r>
    <n v="20"/>
    <x v="0"/>
    <s v="Travel_Rarely"/>
    <n v="129"/>
    <x v="1"/>
    <n v="4"/>
    <n v="3"/>
    <s v="Technical Degree"/>
    <n v="960"/>
    <n v="1"/>
    <x v="1"/>
    <n v="84"/>
    <n v="3"/>
    <n v="1"/>
    <s v="Laboratory Technician"/>
    <n v="1"/>
    <s v="Single"/>
    <n v="2973"/>
    <n v="13008"/>
    <n v="1"/>
    <x v="1"/>
    <n v="19"/>
    <n v="3"/>
    <n v="2"/>
    <n v="0"/>
    <n v="1"/>
    <n v="2"/>
    <n v="3"/>
    <n v="1"/>
    <n v="0"/>
    <n v="0"/>
    <n v="0"/>
  </r>
  <r>
    <n v="31"/>
    <x v="1"/>
    <s v="Travel_Rarely"/>
    <n v="616"/>
    <x v="1"/>
    <n v="12"/>
    <n v="3"/>
    <s v="Medical"/>
    <n v="961"/>
    <n v="4"/>
    <x v="0"/>
    <n v="41"/>
    <n v="3"/>
    <n v="2"/>
    <s v="Healthcare Representative"/>
    <n v="4"/>
    <s v="Married"/>
    <n v="5855"/>
    <n v="17369"/>
    <n v="0"/>
    <x v="0"/>
    <n v="11"/>
    <n v="3"/>
    <n v="3"/>
    <n v="2"/>
    <n v="10"/>
    <n v="2"/>
    <n v="1"/>
    <n v="9"/>
    <n v="7"/>
    <n v="8"/>
    <n v="5"/>
  </r>
  <r>
    <n v="40"/>
    <x v="1"/>
    <s v="Travel_Frequently"/>
    <n v="1469"/>
    <x v="1"/>
    <n v="9"/>
    <n v="4"/>
    <s v="Medical"/>
    <n v="964"/>
    <n v="4"/>
    <x v="1"/>
    <n v="35"/>
    <n v="3"/>
    <n v="1"/>
    <s v="Research Scientist"/>
    <n v="2"/>
    <s v="Divorced"/>
    <n v="3617"/>
    <n v="25063"/>
    <n v="8"/>
    <x v="0"/>
    <n v="14"/>
    <n v="3"/>
    <n v="4"/>
    <n v="1"/>
    <n v="3"/>
    <n v="2"/>
    <n v="3"/>
    <n v="1"/>
    <n v="1"/>
    <n v="0"/>
    <n v="0"/>
  </r>
  <r>
    <n v="32"/>
    <x v="1"/>
    <s v="Travel_Rarely"/>
    <n v="498"/>
    <x v="1"/>
    <n v="3"/>
    <n v="4"/>
    <s v="Medical"/>
    <n v="966"/>
    <n v="3"/>
    <x v="0"/>
    <n v="93"/>
    <n v="3"/>
    <n v="2"/>
    <s v="Manufacturing Director"/>
    <n v="1"/>
    <s v="Married"/>
    <n v="6725"/>
    <n v="13554"/>
    <n v="1"/>
    <x v="1"/>
    <n v="12"/>
    <n v="3"/>
    <n v="3"/>
    <n v="1"/>
    <n v="8"/>
    <n v="2"/>
    <n v="4"/>
    <n v="8"/>
    <n v="7"/>
    <n v="6"/>
    <n v="3"/>
  </r>
  <r>
    <n v="36"/>
    <x v="0"/>
    <s v="Travel_Rarely"/>
    <n v="530"/>
    <x v="0"/>
    <n v="3"/>
    <n v="1"/>
    <s v="Life Sciences"/>
    <n v="967"/>
    <n v="3"/>
    <x v="1"/>
    <n v="51"/>
    <n v="2"/>
    <n v="3"/>
    <s v="Sales Executive"/>
    <n v="4"/>
    <s v="Married"/>
    <n v="10325"/>
    <n v="5518"/>
    <n v="1"/>
    <x v="0"/>
    <n v="11"/>
    <n v="3"/>
    <n v="1"/>
    <n v="1"/>
    <n v="16"/>
    <n v="6"/>
    <n v="3"/>
    <n v="16"/>
    <n v="7"/>
    <n v="3"/>
    <n v="7"/>
  </r>
  <r>
    <n v="33"/>
    <x v="1"/>
    <s v="Travel_Rarely"/>
    <n v="1069"/>
    <x v="1"/>
    <n v="1"/>
    <n v="3"/>
    <s v="Life Sciences"/>
    <n v="969"/>
    <n v="2"/>
    <x v="0"/>
    <n v="42"/>
    <n v="2"/>
    <n v="2"/>
    <s v="Healthcare Representative"/>
    <n v="4"/>
    <s v="Single"/>
    <n v="6949"/>
    <n v="12291"/>
    <n v="0"/>
    <x v="1"/>
    <n v="14"/>
    <n v="3"/>
    <n v="1"/>
    <n v="0"/>
    <n v="6"/>
    <n v="3"/>
    <n v="3"/>
    <n v="5"/>
    <n v="0"/>
    <n v="1"/>
    <n v="4"/>
  </r>
  <r>
    <n v="37"/>
    <x v="0"/>
    <s v="Travel_Rarely"/>
    <n v="625"/>
    <x v="0"/>
    <n v="1"/>
    <n v="4"/>
    <s v="Life Sciences"/>
    <n v="970"/>
    <n v="1"/>
    <x v="1"/>
    <n v="46"/>
    <n v="2"/>
    <n v="3"/>
    <s v="Sales Executive"/>
    <n v="3"/>
    <s v="Married"/>
    <n v="10609"/>
    <n v="14922"/>
    <n v="5"/>
    <x v="1"/>
    <n v="11"/>
    <n v="3"/>
    <n v="3"/>
    <n v="0"/>
    <n v="17"/>
    <n v="2"/>
    <n v="1"/>
    <n v="14"/>
    <n v="1"/>
    <n v="11"/>
    <n v="7"/>
  </r>
  <r>
    <n v="45"/>
    <x v="1"/>
    <s v="Non-Travel"/>
    <n v="805"/>
    <x v="1"/>
    <n v="4"/>
    <n v="2"/>
    <s v="Life Sciences"/>
    <n v="972"/>
    <n v="3"/>
    <x v="1"/>
    <n v="57"/>
    <n v="3"/>
    <n v="2"/>
    <s v="Laboratory Technician"/>
    <n v="2"/>
    <s v="Married"/>
    <n v="4447"/>
    <n v="23163"/>
    <n v="1"/>
    <x v="1"/>
    <n v="12"/>
    <n v="3"/>
    <n v="2"/>
    <n v="0"/>
    <n v="9"/>
    <n v="5"/>
    <n v="2"/>
    <n v="9"/>
    <n v="7"/>
    <n v="0"/>
    <n v="8"/>
  </r>
  <r>
    <n v="29"/>
    <x v="1"/>
    <s v="Travel_Frequently"/>
    <n v="1404"/>
    <x v="0"/>
    <n v="20"/>
    <n v="3"/>
    <s v="Technical Degree"/>
    <n v="974"/>
    <n v="3"/>
    <x v="0"/>
    <n v="84"/>
    <n v="3"/>
    <n v="1"/>
    <s v="Sales Representative"/>
    <n v="4"/>
    <s v="Married"/>
    <n v="2157"/>
    <n v="18203"/>
    <n v="1"/>
    <x v="1"/>
    <n v="15"/>
    <n v="3"/>
    <n v="2"/>
    <n v="1"/>
    <n v="3"/>
    <n v="5"/>
    <n v="3"/>
    <n v="3"/>
    <n v="1"/>
    <n v="0"/>
    <n v="2"/>
  </r>
  <r>
    <n v="35"/>
    <x v="1"/>
    <s v="Travel_Rarely"/>
    <n v="1219"/>
    <x v="0"/>
    <n v="18"/>
    <n v="3"/>
    <s v="Medical"/>
    <n v="975"/>
    <n v="3"/>
    <x v="0"/>
    <n v="86"/>
    <n v="3"/>
    <n v="2"/>
    <s v="Sales Executive"/>
    <n v="3"/>
    <s v="Married"/>
    <n v="4601"/>
    <n v="6179"/>
    <n v="1"/>
    <x v="1"/>
    <n v="16"/>
    <n v="3"/>
    <n v="2"/>
    <n v="0"/>
    <n v="5"/>
    <n v="3"/>
    <n v="3"/>
    <n v="5"/>
    <n v="2"/>
    <n v="1"/>
    <n v="0"/>
  </r>
  <r>
    <n v="52"/>
    <x v="1"/>
    <s v="Travel_Rarely"/>
    <n v="1053"/>
    <x v="1"/>
    <n v="1"/>
    <n v="2"/>
    <s v="Life Sciences"/>
    <n v="976"/>
    <n v="4"/>
    <x v="1"/>
    <n v="70"/>
    <n v="3"/>
    <n v="4"/>
    <s v="Manager"/>
    <n v="4"/>
    <s v="Married"/>
    <n v="17099"/>
    <n v="13829"/>
    <n v="2"/>
    <x v="1"/>
    <n v="15"/>
    <n v="3"/>
    <n v="2"/>
    <n v="1"/>
    <n v="26"/>
    <n v="2"/>
    <n v="2"/>
    <n v="9"/>
    <n v="8"/>
    <n v="7"/>
    <n v="8"/>
  </r>
  <r>
    <n v="58"/>
    <x v="0"/>
    <s v="Travel_Rarely"/>
    <n v="289"/>
    <x v="1"/>
    <n v="2"/>
    <n v="3"/>
    <s v="Technical Degree"/>
    <n v="977"/>
    <n v="4"/>
    <x v="1"/>
    <n v="51"/>
    <n v="3"/>
    <n v="1"/>
    <s v="Research Scientist"/>
    <n v="3"/>
    <s v="Single"/>
    <n v="2479"/>
    <n v="26227"/>
    <n v="4"/>
    <x v="1"/>
    <n v="24"/>
    <n v="4"/>
    <n v="1"/>
    <n v="0"/>
    <n v="7"/>
    <n v="4"/>
    <n v="3"/>
    <n v="1"/>
    <n v="0"/>
    <n v="0"/>
    <n v="0"/>
  </r>
  <r>
    <n v="53"/>
    <x v="1"/>
    <s v="Travel_Rarely"/>
    <n v="1376"/>
    <x v="0"/>
    <n v="2"/>
    <n v="2"/>
    <s v="Medical"/>
    <n v="981"/>
    <n v="3"/>
    <x v="1"/>
    <n v="45"/>
    <n v="3"/>
    <n v="4"/>
    <s v="Manager"/>
    <n v="3"/>
    <s v="Divorced"/>
    <n v="14852"/>
    <n v="13938"/>
    <n v="6"/>
    <x v="1"/>
    <n v="13"/>
    <n v="3"/>
    <n v="3"/>
    <n v="1"/>
    <n v="22"/>
    <n v="3"/>
    <n v="4"/>
    <n v="17"/>
    <n v="13"/>
    <n v="15"/>
    <n v="2"/>
  </r>
  <r>
    <n v="30"/>
    <x v="1"/>
    <s v="Travel_Rarely"/>
    <n v="231"/>
    <x v="0"/>
    <n v="8"/>
    <n v="2"/>
    <s v="Other"/>
    <n v="982"/>
    <n v="3"/>
    <x v="1"/>
    <n v="62"/>
    <n v="3"/>
    <n v="3"/>
    <s v="Sales Executive"/>
    <n v="3"/>
    <s v="Divorced"/>
    <n v="7264"/>
    <n v="9977"/>
    <n v="5"/>
    <x v="1"/>
    <n v="11"/>
    <n v="3"/>
    <n v="1"/>
    <n v="1"/>
    <n v="10"/>
    <n v="2"/>
    <n v="4"/>
    <n v="8"/>
    <n v="4"/>
    <n v="7"/>
    <n v="7"/>
  </r>
  <r>
    <n v="38"/>
    <x v="1"/>
    <s v="Non-Travel"/>
    <n v="152"/>
    <x v="0"/>
    <n v="10"/>
    <n v="3"/>
    <s v="Technical Degree"/>
    <n v="983"/>
    <n v="3"/>
    <x v="0"/>
    <n v="85"/>
    <n v="3"/>
    <n v="2"/>
    <s v="Sales Executive"/>
    <n v="4"/>
    <s v="Single"/>
    <n v="5666"/>
    <n v="19899"/>
    <n v="1"/>
    <x v="0"/>
    <n v="13"/>
    <n v="3"/>
    <n v="2"/>
    <n v="0"/>
    <n v="6"/>
    <n v="1"/>
    <n v="3"/>
    <n v="5"/>
    <n v="3"/>
    <n v="1"/>
    <n v="3"/>
  </r>
  <r>
    <n v="35"/>
    <x v="1"/>
    <s v="Travel_Rarely"/>
    <n v="882"/>
    <x v="0"/>
    <n v="3"/>
    <n v="4"/>
    <s v="Life Sciences"/>
    <n v="984"/>
    <n v="4"/>
    <x v="1"/>
    <n v="92"/>
    <n v="3"/>
    <n v="3"/>
    <s v="Sales Executive"/>
    <n v="4"/>
    <s v="Divorced"/>
    <n v="7823"/>
    <n v="6812"/>
    <n v="6"/>
    <x v="1"/>
    <n v="13"/>
    <n v="3"/>
    <n v="2"/>
    <n v="1"/>
    <n v="12"/>
    <n v="2"/>
    <n v="3"/>
    <n v="10"/>
    <n v="9"/>
    <n v="0"/>
    <n v="8"/>
  </r>
  <r>
    <n v="39"/>
    <x v="1"/>
    <s v="Travel_Rarely"/>
    <n v="903"/>
    <x v="0"/>
    <n v="2"/>
    <n v="5"/>
    <s v="Life Sciences"/>
    <n v="985"/>
    <n v="1"/>
    <x v="1"/>
    <n v="41"/>
    <n v="4"/>
    <n v="3"/>
    <s v="Sales Executive"/>
    <n v="3"/>
    <s v="Single"/>
    <n v="7880"/>
    <n v="2560"/>
    <n v="0"/>
    <x v="1"/>
    <n v="18"/>
    <n v="3"/>
    <n v="4"/>
    <n v="0"/>
    <n v="9"/>
    <n v="3"/>
    <n v="3"/>
    <n v="8"/>
    <n v="7"/>
    <n v="0"/>
    <n v="7"/>
  </r>
  <r>
    <n v="40"/>
    <x v="0"/>
    <s v="Non-Travel"/>
    <n v="1479"/>
    <x v="0"/>
    <n v="24"/>
    <n v="3"/>
    <s v="Life Sciences"/>
    <n v="986"/>
    <n v="2"/>
    <x v="0"/>
    <n v="100"/>
    <n v="4"/>
    <n v="4"/>
    <s v="Sales Executive"/>
    <n v="2"/>
    <s v="Single"/>
    <n v="13194"/>
    <n v="17071"/>
    <n v="4"/>
    <x v="0"/>
    <n v="16"/>
    <n v="3"/>
    <n v="4"/>
    <n v="0"/>
    <n v="22"/>
    <n v="2"/>
    <n v="2"/>
    <n v="1"/>
    <n v="0"/>
    <n v="0"/>
    <n v="0"/>
  </r>
  <r>
    <n v="47"/>
    <x v="1"/>
    <s v="Travel_Frequently"/>
    <n v="1379"/>
    <x v="1"/>
    <n v="16"/>
    <n v="4"/>
    <s v="Medical"/>
    <n v="987"/>
    <n v="3"/>
    <x v="1"/>
    <n v="64"/>
    <n v="4"/>
    <n v="2"/>
    <s v="Manufacturing Director"/>
    <n v="3"/>
    <s v="Divorced"/>
    <n v="5067"/>
    <n v="6759"/>
    <n v="1"/>
    <x v="0"/>
    <n v="19"/>
    <n v="3"/>
    <n v="3"/>
    <n v="0"/>
    <n v="20"/>
    <n v="3"/>
    <n v="4"/>
    <n v="19"/>
    <n v="10"/>
    <n v="2"/>
    <n v="7"/>
  </r>
  <r>
    <n v="36"/>
    <x v="1"/>
    <s v="Non-Travel"/>
    <n v="1229"/>
    <x v="0"/>
    <n v="8"/>
    <n v="4"/>
    <s v="Technical Degree"/>
    <n v="990"/>
    <n v="1"/>
    <x v="1"/>
    <n v="84"/>
    <n v="3"/>
    <n v="2"/>
    <s v="Sales Executive"/>
    <n v="4"/>
    <s v="Divorced"/>
    <n v="5079"/>
    <n v="25952"/>
    <n v="4"/>
    <x v="1"/>
    <n v="13"/>
    <n v="3"/>
    <n v="4"/>
    <n v="2"/>
    <n v="12"/>
    <n v="3"/>
    <n v="3"/>
    <n v="7"/>
    <n v="7"/>
    <n v="0"/>
    <n v="7"/>
  </r>
  <r>
    <n v="31"/>
    <x v="0"/>
    <s v="Non-Travel"/>
    <n v="335"/>
    <x v="1"/>
    <n v="9"/>
    <n v="2"/>
    <s v="Medical"/>
    <n v="991"/>
    <n v="3"/>
    <x v="1"/>
    <n v="46"/>
    <n v="2"/>
    <n v="1"/>
    <s v="Research Scientist"/>
    <n v="1"/>
    <s v="Single"/>
    <n v="2321"/>
    <n v="10322"/>
    <n v="0"/>
    <x v="0"/>
    <n v="22"/>
    <n v="4"/>
    <n v="1"/>
    <n v="0"/>
    <n v="4"/>
    <n v="0"/>
    <n v="3"/>
    <n v="3"/>
    <n v="2"/>
    <n v="1"/>
    <n v="2"/>
  </r>
  <r>
    <n v="33"/>
    <x v="1"/>
    <s v="Non-Travel"/>
    <n v="722"/>
    <x v="0"/>
    <n v="17"/>
    <n v="3"/>
    <s v="Life Sciences"/>
    <n v="992"/>
    <n v="4"/>
    <x v="1"/>
    <n v="38"/>
    <n v="3"/>
    <n v="4"/>
    <s v="Manager"/>
    <n v="3"/>
    <s v="Single"/>
    <n v="17444"/>
    <n v="20489"/>
    <n v="1"/>
    <x v="1"/>
    <n v="11"/>
    <n v="3"/>
    <n v="4"/>
    <n v="0"/>
    <n v="10"/>
    <n v="2"/>
    <n v="3"/>
    <n v="10"/>
    <n v="8"/>
    <n v="6"/>
    <n v="0"/>
  </r>
  <r>
    <n v="29"/>
    <x v="0"/>
    <s v="Travel_Rarely"/>
    <n v="906"/>
    <x v="1"/>
    <n v="10"/>
    <n v="3"/>
    <s v="Life Sciences"/>
    <n v="994"/>
    <n v="4"/>
    <x v="0"/>
    <n v="92"/>
    <n v="2"/>
    <n v="1"/>
    <s v="Research Scientist"/>
    <n v="1"/>
    <s v="Single"/>
    <n v="2404"/>
    <n v="11479"/>
    <n v="6"/>
    <x v="0"/>
    <n v="20"/>
    <n v="4"/>
    <n v="3"/>
    <n v="0"/>
    <n v="3"/>
    <n v="5"/>
    <n v="3"/>
    <n v="0"/>
    <n v="0"/>
    <n v="0"/>
    <n v="0"/>
  </r>
  <r>
    <n v="33"/>
    <x v="1"/>
    <s v="Travel_Rarely"/>
    <n v="461"/>
    <x v="1"/>
    <n v="13"/>
    <n v="1"/>
    <s v="Life Sciences"/>
    <n v="995"/>
    <n v="2"/>
    <x v="0"/>
    <n v="53"/>
    <n v="3"/>
    <n v="1"/>
    <s v="Research Scientist"/>
    <n v="4"/>
    <s v="Single"/>
    <n v="3452"/>
    <n v="17241"/>
    <n v="3"/>
    <x v="1"/>
    <n v="18"/>
    <n v="3"/>
    <n v="1"/>
    <n v="0"/>
    <n v="5"/>
    <n v="4"/>
    <n v="3"/>
    <n v="3"/>
    <n v="2"/>
    <n v="0"/>
    <n v="2"/>
  </r>
  <r>
    <n v="45"/>
    <x v="1"/>
    <s v="Travel_Rarely"/>
    <n v="974"/>
    <x v="1"/>
    <n v="1"/>
    <n v="4"/>
    <s v="Medical"/>
    <n v="996"/>
    <n v="4"/>
    <x v="0"/>
    <n v="91"/>
    <n v="3"/>
    <n v="1"/>
    <s v="Laboratory Technician"/>
    <n v="4"/>
    <s v="Divorced"/>
    <n v="2270"/>
    <n v="11005"/>
    <n v="3"/>
    <x v="1"/>
    <n v="14"/>
    <n v="3"/>
    <n v="4"/>
    <n v="2"/>
    <n v="8"/>
    <n v="2"/>
    <n v="3"/>
    <n v="5"/>
    <n v="3"/>
    <n v="0"/>
    <n v="2"/>
  </r>
  <r>
    <n v="50"/>
    <x v="1"/>
    <s v="Travel_Rarely"/>
    <n v="1126"/>
    <x v="1"/>
    <n v="1"/>
    <n v="2"/>
    <s v="Medical"/>
    <n v="997"/>
    <n v="4"/>
    <x v="1"/>
    <n v="66"/>
    <n v="3"/>
    <n v="4"/>
    <s v="Research Director"/>
    <n v="4"/>
    <s v="Divorced"/>
    <n v="17399"/>
    <n v="6615"/>
    <n v="9"/>
    <x v="1"/>
    <n v="22"/>
    <n v="4"/>
    <n v="3"/>
    <n v="1"/>
    <n v="32"/>
    <n v="1"/>
    <n v="2"/>
    <n v="5"/>
    <n v="4"/>
    <n v="1"/>
    <n v="3"/>
  </r>
  <r>
    <n v="33"/>
    <x v="1"/>
    <s v="Travel_Frequently"/>
    <n v="827"/>
    <x v="1"/>
    <n v="1"/>
    <n v="4"/>
    <s v="Other"/>
    <n v="998"/>
    <n v="3"/>
    <x v="0"/>
    <n v="84"/>
    <n v="4"/>
    <n v="2"/>
    <s v="Healthcare Representative"/>
    <n v="2"/>
    <s v="Married"/>
    <n v="5488"/>
    <n v="20161"/>
    <n v="1"/>
    <x v="0"/>
    <n v="13"/>
    <n v="3"/>
    <n v="1"/>
    <n v="1"/>
    <n v="6"/>
    <n v="2"/>
    <n v="3"/>
    <n v="6"/>
    <n v="5"/>
    <n v="1"/>
    <n v="2"/>
  </r>
  <r>
    <n v="41"/>
    <x v="1"/>
    <s v="Travel_Frequently"/>
    <n v="840"/>
    <x v="1"/>
    <n v="9"/>
    <n v="3"/>
    <s v="Medical"/>
    <n v="999"/>
    <n v="1"/>
    <x v="1"/>
    <n v="64"/>
    <n v="3"/>
    <n v="5"/>
    <s v="Research Director"/>
    <n v="3"/>
    <s v="Divorced"/>
    <n v="19419"/>
    <n v="3735"/>
    <n v="2"/>
    <x v="1"/>
    <n v="17"/>
    <n v="3"/>
    <n v="2"/>
    <n v="1"/>
    <n v="21"/>
    <n v="2"/>
    <n v="4"/>
    <n v="18"/>
    <n v="16"/>
    <n v="0"/>
    <n v="11"/>
  </r>
  <r>
    <n v="27"/>
    <x v="1"/>
    <s v="Travel_Rarely"/>
    <n v="1134"/>
    <x v="1"/>
    <n v="16"/>
    <n v="4"/>
    <s v="Technical Degree"/>
    <n v="1001"/>
    <n v="3"/>
    <x v="0"/>
    <n v="37"/>
    <n v="3"/>
    <n v="1"/>
    <s v="Laboratory Technician"/>
    <n v="2"/>
    <s v="Married"/>
    <n v="2811"/>
    <n v="12086"/>
    <n v="9"/>
    <x v="1"/>
    <n v="14"/>
    <n v="3"/>
    <n v="2"/>
    <n v="1"/>
    <n v="4"/>
    <n v="2"/>
    <n v="3"/>
    <n v="2"/>
    <n v="2"/>
    <n v="2"/>
    <n v="2"/>
  </r>
  <r>
    <n v="45"/>
    <x v="1"/>
    <s v="Non-Travel"/>
    <n v="248"/>
    <x v="1"/>
    <n v="23"/>
    <n v="2"/>
    <s v="Life Sciences"/>
    <n v="1002"/>
    <n v="4"/>
    <x v="1"/>
    <n v="42"/>
    <n v="3"/>
    <n v="2"/>
    <s v="Laboratory Technician"/>
    <n v="1"/>
    <s v="Married"/>
    <n v="3633"/>
    <n v="14039"/>
    <n v="1"/>
    <x v="0"/>
    <n v="15"/>
    <n v="3"/>
    <n v="3"/>
    <n v="1"/>
    <n v="9"/>
    <n v="2"/>
    <n v="3"/>
    <n v="9"/>
    <n v="8"/>
    <n v="0"/>
    <n v="8"/>
  </r>
  <r>
    <n v="47"/>
    <x v="1"/>
    <s v="Travel_Rarely"/>
    <n v="955"/>
    <x v="0"/>
    <n v="4"/>
    <n v="2"/>
    <s v="Life Sciences"/>
    <n v="1003"/>
    <n v="4"/>
    <x v="0"/>
    <n v="83"/>
    <n v="3"/>
    <n v="2"/>
    <s v="Sales Executive"/>
    <n v="4"/>
    <s v="Single"/>
    <n v="4163"/>
    <n v="8571"/>
    <n v="1"/>
    <x v="0"/>
    <n v="17"/>
    <n v="3"/>
    <n v="3"/>
    <n v="0"/>
    <n v="9"/>
    <n v="0"/>
    <n v="3"/>
    <n v="9"/>
    <n v="0"/>
    <n v="0"/>
    <n v="7"/>
  </r>
  <r>
    <n v="30"/>
    <x v="0"/>
    <s v="Travel_Rarely"/>
    <n v="138"/>
    <x v="1"/>
    <n v="22"/>
    <n v="3"/>
    <s v="Life Sciences"/>
    <n v="1004"/>
    <n v="1"/>
    <x v="0"/>
    <n v="48"/>
    <n v="3"/>
    <n v="1"/>
    <s v="Research Scientist"/>
    <n v="3"/>
    <s v="Married"/>
    <n v="2132"/>
    <n v="11539"/>
    <n v="4"/>
    <x v="0"/>
    <n v="11"/>
    <n v="3"/>
    <n v="2"/>
    <n v="0"/>
    <n v="7"/>
    <n v="2"/>
    <n v="3"/>
    <n v="5"/>
    <n v="2"/>
    <n v="0"/>
    <n v="1"/>
  </r>
  <r>
    <n v="50"/>
    <x v="1"/>
    <s v="Travel_Rarely"/>
    <n v="939"/>
    <x v="1"/>
    <n v="24"/>
    <n v="3"/>
    <s v="Life Sciences"/>
    <n v="1005"/>
    <n v="4"/>
    <x v="1"/>
    <n v="95"/>
    <n v="3"/>
    <n v="4"/>
    <s v="Manufacturing Director"/>
    <n v="3"/>
    <s v="Married"/>
    <n v="13973"/>
    <n v="4161"/>
    <n v="3"/>
    <x v="0"/>
    <n v="18"/>
    <n v="3"/>
    <n v="4"/>
    <n v="1"/>
    <n v="22"/>
    <n v="2"/>
    <n v="3"/>
    <n v="12"/>
    <n v="11"/>
    <n v="1"/>
    <n v="5"/>
  </r>
  <r>
    <n v="38"/>
    <x v="1"/>
    <s v="Travel_Frequently"/>
    <n v="1391"/>
    <x v="1"/>
    <n v="10"/>
    <n v="1"/>
    <s v="Medical"/>
    <n v="1006"/>
    <n v="3"/>
    <x v="1"/>
    <n v="66"/>
    <n v="3"/>
    <n v="1"/>
    <s v="Research Scientist"/>
    <n v="3"/>
    <s v="Married"/>
    <n v="2684"/>
    <n v="12127"/>
    <n v="0"/>
    <x v="1"/>
    <n v="17"/>
    <n v="3"/>
    <n v="2"/>
    <n v="1"/>
    <n v="3"/>
    <n v="0"/>
    <n v="2"/>
    <n v="2"/>
    <n v="1"/>
    <n v="0"/>
    <n v="2"/>
  </r>
  <r>
    <n v="46"/>
    <x v="1"/>
    <s v="Travel_Rarely"/>
    <n v="566"/>
    <x v="1"/>
    <n v="7"/>
    <n v="2"/>
    <s v="Medical"/>
    <n v="1007"/>
    <n v="4"/>
    <x v="1"/>
    <n v="75"/>
    <n v="3"/>
    <n v="3"/>
    <s v="Manufacturing Director"/>
    <n v="3"/>
    <s v="Divorced"/>
    <n v="10845"/>
    <n v="24208"/>
    <n v="6"/>
    <x v="1"/>
    <n v="13"/>
    <n v="3"/>
    <n v="2"/>
    <n v="1"/>
    <n v="13"/>
    <n v="3"/>
    <n v="3"/>
    <n v="8"/>
    <n v="7"/>
    <n v="0"/>
    <n v="7"/>
  </r>
  <r>
    <n v="24"/>
    <x v="1"/>
    <s v="Travel_Rarely"/>
    <n v="1206"/>
    <x v="1"/>
    <n v="17"/>
    <n v="1"/>
    <s v="Medical"/>
    <n v="1009"/>
    <n v="4"/>
    <x v="0"/>
    <n v="41"/>
    <n v="2"/>
    <n v="2"/>
    <s v="Manufacturing Director"/>
    <n v="3"/>
    <s v="Divorced"/>
    <n v="4377"/>
    <n v="24117"/>
    <n v="1"/>
    <x v="1"/>
    <n v="15"/>
    <n v="3"/>
    <n v="2"/>
    <n v="2"/>
    <n v="5"/>
    <n v="6"/>
    <n v="3"/>
    <n v="4"/>
    <n v="2"/>
    <n v="3"/>
    <n v="2"/>
  </r>
  <r>
    <n v="35"/>
    <x v="0"/>
    <s v="Travel_Rarely"/>
    <n v="622"/>
    <x v="1"/>
    <n v="14"/>
    <n v="4"/>
    <s v="Other"/>
    <n v="1010"/>
    <n v="3"/>
    <x v="1"/>
    <n v="39"/>
    <n v="2"/>
    <n v="1"/>
    <s v="Laboratory Technician"/>
    <n v="2"/>
    <s v="Divorced"/>
    <n v="3743"/>
    <n v="10074"/>
    <n v="1"/>
    <x v="0"/>
    <n v="24"/>
    <n v="4"/>
    <n v="4"/>
    <n v="1"/>
    <n v="5"/>
    <n v="2"/>
    <n v="1"/>
    <n v="4"/>
    <n v="2"/>
    <n v="0"/>
    <n v="2"/>
  </r>
  <r>
    <n v="31"/>
    <x v="1"/>
    <s v="Travel_Frequently"/>
    <n v="853"/>
    <x v="1"/>
    <n v="1"/>
    <n v="1"/>
    <s v="Life Sciences"/>
    <n v="1011"/>
    <n v="3"/>
    <x v="0"/>
    <n v="96"/>
    <n v="3"/>
    <n v="2"/>
    <s v="Manufacturing Director"/>
    <n v="1"/>
    <s v="Married"/>
    <n v="4148"/>
    <n v="11275"/>
    <n v="1"/>
    <x v="1"/>
    <n v="12"/>
    <n v="3"/>
    <n v="3"/>
    <n v="1"/>
    <n v="4"/>
    <n v="1"/>
    <n v="3"/>
    <n v="4"/>
    <n v="3"/>
    <n v="0"/>
    <n v="3"/>
  </r>
  <r>
    <n v="18"/>
    <x v="1"/>
    <s v="Non-Travel"/>
    <n v="287"/>
    <x v="1"/>
    <n v="5"/>
    <n v="2"/>
    <s v="Life Sciences"/>
    <n v="1012"/>
    <n v="2"/>
    <x v="1"/>
    <n v="73"/>
    <n v="3"/>
    <n v="1"/>
    <s v="Research Scientist"/>
    <n v="4"/>
    <s v="Single"/>
    <n v="1051"/>
    <n v="13493"/>
    <n v="1"/>
    <x v="1"/>
    <n v="15"/>
    <n v="3"/>
    <n v="4"/>
    <n v="0"/>
    <n v="0"/>
    <n v="2"/>
    <n v="3"/>
    <n v="0"/>
    <n v="0"/>
    <n v="0"/>
    <n v="0"/>
  </r>
  <r>
    <n v="54"/>
    <x v="1"/>
    <s v="Travel_Rarely"/>
    <n v="1441"/>
    <x v="1"/>
    <n v="17"/>
    <n v="3"/>
    <s v="Technical Degree"/>
    <n v="1013"/>
    <n v="3"/>
    <x v="0"/>
    <n v="56"/>
    <n v="3"/>
    <n v="3"/>
    <s v="Manufacturing Director"/>
    <n v="3"/>
    <s v="Married"/>
    <n v="10739"/>
    <n v="13943"/>
    <n v="8"/>
    <x v="1"/>
    <n v="11"/>
    <n v="3"/>
    <n v="3"/>
    <n v="1"/>
    <n v="22"/>
    <n v="2"/>
    <n v="3"/>
    <n v="10"/>
    <n v="7"/>
    <n v="0"/>
    <n v="8"/>
  </r>
  <r>
    <n v="35"/>
    <x v="1"/>
    <s v="Travel_Rarely"/>
    <n v="583"/>
    <x v="1"/>
    <n v="25"/>
    <n v="4"/>
    <s v="Medical"/>
    <n v="1014"/>
    <n v="3"/>
    <x v="0"/>
    <n v="57"/>
    <n v="3"/>
    <n v="3"/>
    <s v="Healthcare Representative"/>
    <n v="3"/>
    <s v="Divorced"/>
    <n v="10388"/>
    <n v="6975"/>
    <n v="1"/>
    <x v="0"/>
    <n v="11"/>
    <n v="3"/>
    <n v="3"/>
    <n v="1"/>
    <n v="16"/>
    <n v="3"/>
    <n v="2"/>
    <n v="16"/>
    <n v="10"/>
    <n v="10"/>
    <n v="1"/>
  </r>
  <r>
    <n v="30"/>
    <x v="1"/>
    <s v="Travel_Rarely"/>
    <n v="153"/>
    <x v="1"/>
    <n v="8"/>
    <n v="2"/>
    <s v="Life Sciences"/>
    <n v="1015"/>
    <n v="2"/>
    <x v="0"/>
    <n v="73"/>
    <n v="4"/>
    <n v="3"/>
    <s v="Research Director"/>
    <n v="1"/>
    <s v="Married"/>
    <n v="11416"/>
    <n v="17802"/>
    <n v="0"/>
    <x v="0"/>
    <n v="12"/>
    <n v="3"/>
    <n v="3"/>
    <n v="3"/>
    <n v="9"/>
    <n v="4"/>
    <n v="2"/>
    <n v="8"/>
    <n v="7"/>
    <n v="1"/>
    <n v="7"/>
  </r>
  <r>
    <n v="20"/>
    <x v="0"/>
    <s v="Travel_Rarely"/>
    <n v="1097"/>
    <x v="1"/>
    <n v="11"/>
    <n v="3"/>
    <s v="Medical"/>
    <n v="1016"/>
    <n v="4"/>
    <x v="0"/>
    <n v="98"/>
    <n v="2"/>
    <n v="1"/>
    <s v="Research Scientist"/>
    <n v="1"/>
    <s v="Single"/>
    <n v="2600"/>
    <n v="18275"/>
    <n v="1"/>
    <x v="0"/>
    <n v="15"/>
    <n v="3"/>
    <n v="1"/>
    <n v="0"/>
    <n v="1"/>
    <n v="2"/>
    <n v="3"/>
    <n v="1"/>
    <n v="0"/>
    <n v="0"/>
    <n v="0"/>
  </r>
  <r>
    <n v="30"/>
    <x v="0"/>
    <s v="Travel_Frequently"/>
    <n v="109"/>
    <x v="1"/>
    <n v="5"/>
    <n v="3"/>
    <s v="Medical"/>
    <n v="1017"/>
    <n v="2"/>
    <x v="0"/>
    <n v="60"/>
    <n v="3"/>
    <n v="1"/>
    <s v="Laboratory Technician"/>
    <n v="2"/>
    <s v="Single"/>
    <n v="2422"/>
    <n v="25725"/>
    <n v="0"/>
    <x v="1"/>
    <n v="17"/>
    <n v="3"/>
    <n v="1"/>
    <n v="0"/>
    <n v="4"/>
    <n v="3"/>
    <n v="3"/>
    <n v="3"/>
    <n v="2"/>
    <n v="1"/>
    <n v="2"/>
  </r>
  <r>
    <n v="26"/>
    <x v="1"/>
    <s v="Travel_Rarely"/>
    <n v="1066"/>
    <x v="1"/>
    <n v="2"/>
    <n v="2"/>
    <s v="Medical"/>
    <n v="1018"/>
    <n v="4"/>
    <x v="1"/>
    <n v="32"/>
    <n v="4"/>
    <n v="2"/>
    <s v="Manufacturing Director"/>
    <n v="4"/>
    <s v="Married"/>
    <n v="5472"/>
    <n v="3334"/>
    <n v="1"/>
    <x v="1"/>
    <n v="12"/>
    <n v="3"/>
    <n v="2"/>
    <n v="0"/>
    <n v="8"/>
    <n v="2"/>
    <n v="3"/>
    <n v="8"/>
    <n v="7"/>
    <n v="1"/>
    <n v="3"/>
  </r>
  <r>
    <n v="22"/>
    <x v="1"/>
    <s v="Travel_Rarely"/>
    <n v="217"/>
    <x v="1"/>
    <n v="8"/>
    <n v="1"/>
    <s v="Life Sciences"/>
    <n v="1019"/>
    <n v="2"/>
    <x v="1"/>
    <n v="94"/>
    <n v="1"/>
    <n v="1"/>
    <s v="Laboratory Technician"/>
    <n v="1"/>
    <s v="Married"/>
    <n v="2451"/>
    <n v="6881"/>
    <n v="1"/>
    <x v="1"/>
    <n v="15"/>
    <n v="3"/>
    <n v="1"/>
    <n v="1"/>
    <n v="4"/>
    <n v="3"/>
    <n v="2"/>
    <n v="4"/>
    <n v="3"/>
    <n v="1"/>
    <n v="1"/>
  </r>
  <r>
    <n v="48"/>
    <x v="1"/>
    <s v="Travel_Rarely"/>
    <n v="277"/>
    <x v="1"/>
    <n v="6"/>
    <n v="3"/>
    <s v="Life Sciences"/>
    <n v="1022"/>
    <n v="1"/>
    <x v="1"/>
    <n v="97"/>
    <n v="2"/>
    <n v="2"/>
    <s v="Healthcare Representative"/>
    <n v="3"/>
    <s v="Single"/>
    <n v="4240"/>
    <n v="13119"/>
    <n v="2"/>
    <x v="1"/>
    <n v="13"/>
    <n v="3"/>
    <n v="4"/>
    <n v="0"/>
    <n v="19"/>
    <n v="0"/>
    <n v="3"/>
    <n v="2"/>
    <n v="2"/>
    <n v="2"/>
    <n v="2"/>
  </r>
  <r>
    <n v="48"/>
    <x v="1"/>
    <s v="Travel_Rarely"/>
    <n v="1355"/>
    <x v="1"/>
    <n v="4"/>
    <n v="4"/>
    <s v="Life Sciences"/>
    <n v="1024"/>
    <n v="3"/>
    <x v="1"/>
    <n v="78"/>
    <n v="2"/>
    <n v="3"/>
    <s v="Healthcare Representative"/>
    <n v="3"/>
    <s v="Single"/>
    <n v="10999"/>
    <n v="22245"/>
    <n v="7"/>
    <x v="1"/>
    <n v="14"/>
    <n v="3"/>
    <n v="2"/>
    <n v="0"/>
    <n v="27"/>
    <n v="3"/>
    <n v="3"/>
    <n v="15"/>
    <n v="11"/>
    <n v="4"/>
    <n v="8"/>
  </r>
  <r>
    <n v="41"/>
    <x v="1"/>
    <s v="Travel_Rarely"/>
    <n v="549"/>
    <x v="1"/>
    <n v="7"/>
    <n v="2"/>
    <s v="Medical"/>
    <n v="1025"/>
    <n v="4"/>
    <x v="0"/>
    <n v="42"/>
    <n v="3"/>
    <n v="2"/>
    <s v="Manufacturing Director"/>
    <n v="3"/>
    <s v="Single"/>
    <n v="5003"/>
    <n v="23371"/>
    <n v="6"/>
    <x v="1"/>
    <n v="14"/>
    <n v="3"/>
    <n v="2"/>
    <n v="0"/>
    <n v="8"/>
    <n v="6"/>
    <n v="3"/>
    <n v="2"/>
    <n v="2"/>
    <n v="2"/>
    <n v="1"/>
  </r>
  <r>
    <n v="39"/>
    <x v="1"/>
    <s v="Travel_Rarely"/>
    <n v="466"/>
    <x v="1"/>
    <n v="1"/>
    <n v="1"/>
    <s v="Life Sciences"/>
    <n v="1026"/>
    <n v="4"/>
    <x v="0"/>
    <n v="65"/>
    <n v="2"/>
    <n v="4"/>
    <s v="Manufacturing Director"/>
    <n v="4"/>
    <s v="Married"/>
    <n v="12742"/>
    <n v="7060"/>
    <n v="1"/>
    <x v="1"/>
    <n v="16"/>
    <n v="3"/>
    <n v="3"/>
    <n v="1"/>
    <n v="21"/>
    <n v="3"/>
    <n v="3"/>
    <n v="21"/>
    <n v="6"/>
    <n v="11"/>
    <n v="8"/>
  </r>
  <r>
    <n v="27"/>
    <x v="1"/>
    <s v="Travel_Rarely"/>
    <n v="1055"/>
    <x v="1"/>
    <n v="2"/>
    <n v="4"/>
    <s v="Life Sciences"/>
    <n v="1027"/>
    <n v="1"/>
    <x v="0"/>
    <n v="47"/>
    <n v="3"/>
    <n v="2"/>
    <s v="Manufacturing Director"/>
    <n v="4"/>
    <s v="Married"/>
    <n v="4227"/>
    <n v="4658"/>
    <n v="0"/>
    <x v="1"/>
    <n v="18"/>
    <n v="3"/>
    <n v="2"/>
    <n v="1"/>
    <n v="4"/>
    <n v="2"/>
    <n v="3"/>
    <n v="3"/>
    <n v="2"/>
    <n v="2"/>
    <n v="2"/>
  </r>
  <r>
    <n v="35"/>
    <x v="1"/>
    <s v="Travel_Rarely"/>
    <n v="802"/>
    <x v="1"/>
    <n v="10"/>
    <n v="3"/>
    <s v="Other"/>
    <n v="1028"/>
    <n v="2"/>
    <x v="1"/>
    <n v="45"/>
    <n v="3"/>
    <n v="1"/>
    <s v="Laboratory Technician"/>
    <n v="4"/>
    <s v="Divorced"/>
    <n v="3917"/>
    <n v="9541"/>
    <n v="1"/>
    <x v="1"/>
    <n v="20"/>
    <n v="4"/>
    <n v="1"/>
    <n v="1"/>
    <n v="3"/>
    <n v="4"/>
    <n v="2"/>
    <n v="3"/>
    <n v="2"/>
    <n v="1"/>
    <n v="2"/>
  </r>
  <r>
    <n v="42"/>
    <x v="1"/>
    <s v="Travel_Rarely"/>
    <n v="265"/>
    <x v="0"/>
    <n v="5"/>
    <n v="2"/>
    <s v="Marketing"/>
    <n v="1029"/>
    <n v="4"/>
    <x v="1"/>
    <n v="90"/>
    <n v="3"/>
    <n v="5"/>
    <s v="Manager"/>
    <n v="3"/>
    <s v="Married"/>
    <n v="18303"/>
    <n v="7770"/>
    <n v="6"/>
    <x v="1"/>
    <n v="13"/>
    <n v="3"/>
    <n v="2"/>
    <n v="0"/>
    <n v="21"/>
    <n v="3"/>
    <n v="4"/>
    <n v="1"/>
    <n v="0"/>
    <n v="0"/>
    <n v="0"/>
  </r>
  <r>
    <n v="50"/>
    <x v="1"/>
    <s v="Travel_Rarely"/>
    <n v="804"/>
    <x v="1"/>
    <n v="9"/>
    <n v="3"/>
    <s v="Life Sciences"/>
    <n v="1030"/>
    <n v="1"/>
    <x v="1"/>
    <n v="64"/>
    <n v="3"/>
    <n v="1"/>
    <s v="Laboratory Technician"/>
    <n v="4"/>
    <s v="Married"/>
    <n v="2380"/>
    <n v="20165"/>
    <n v="4"/>
    <x v="1"/>
    <n v="18"/>
    <n v="3"/>
    <n v="2"/>
    <n v="0"/>
    <n v="8"/>
    <n v="5"/>
    <n v="3"/>
    <n v="1"/>
    <n v="0"/>
    <n v="0"/>
    <n v="0"/>
  </r>
  <r>
    <n v="59"/>
    <x v="1"/>
    <s v="Travel_Rarely"/>
    <n v="715"/>
    <x v="1"/>
    <n v="2"/>
    <n v="3"/>
    <s v="Life Sciences"/>
    <n v="1032"/>
    <n v="3"/>
    <x v="0"/>
    <n v="69"/>
    <n v="2"/>
    <n v="4"/>
    <s v="Manufacturing Director"/>
    <n v="4"/>
    <s v="Single"/>
    <n v="13726"/>
    <n v="21829"/>
    <n v="3"/>
    <x v="0"/>
    <n v="13"/>
    <n v="3"/>
    <n v="1"/>
    <n v="0"/>
    <n v="30"/>
    <n v="4"/>
    <n v="3"/>
    <n v="5"/>
    <n v="3"/>
    <n v="4"/>
    <n v="3"/>
  </r>
  <r>
    <n v="37"/>
    <x v="0"/>
    <s v="Travel_Rarely"/>
    <n v="1141"/>
    <x v="1"/>
    <n v="11"/>
    <n v="2"/>
    <s v="Medical"/>
    <n v="1033"/>
    <n v="1"/>
    <x v="0"/>
    <n v="61"/>
    <n v="1"/>
    <n v="2"/>
    <s v="Healthcare Representative"/>
    <n v="2"/>
    <s v="Married"/>
    <n v="4777"/>
    <n v="14382"/>
    <n v="5"/>
    <x v="1"/>
    <n v="15"/>
    <n v="3"/>
    <n v="1"/>
    <n v="0"/>
    <n v="15"/>
    <n v="2"/>
    <n v="1"/>
    <n v="1"/>
    <n v="0"/>
    <n v="0"/>
    <n v="0"/>
  </r>
  <r>
    <n v="55"/>
    <x v="1"/>
    <s v="Travel_Frequently"/>
    <n v="135"/>
    <x v="1"/>
    <n v="18"/>
    <n v="4"/>
    <s v="Medical"/>
    <n v="1034"/>
    <n v="3"/>
    <x v="1"/>
    <n v="62"/>
    <n v="3"/>
    <n v="2"/>
    <s v="Healthcare Representative"/>
    <n v="2"/>
    <s v="Married"/>
    <n v="6385"/>
    <n v="12992"/>
    <n v="3"/>
    <x v="0"/>
    <n v="14"/>
    <n v="3"/>
    <n v="4"/>
    <n v="2"/>
    <n v="17"/>
    <n v="3"/>
    <n v="3"/>
    <n v="8"/>
    <n v="7"/>
    <n v="6"/>
    <n v="7"/>
  </r>
  <r>
    <n v="41"/>
    <x v="1"/>
    <s v="Non-Travel"/>
    <n v="247"/>
    <x v="1"/>
    <n v="7"/>
    <n v="1"/>
    <s v="Life Sciences"/>
    <n v="1035"/>
    <n v="2"/>
    <x v="0"/>
    <n v="55"/>
    <n v="1"/>
    <n v="5"/>
    <s v="Research Director"/>
    <n v="3"/>
    <s v="Divorced"/>
    <n v="19973"/>
    <n v="20284"/>
    <n v="1"/>
    <x v="1"/>
    <n v="22"/>
    <n v="4"/>
    <n v="2"/>
    <n v="2"/>
    <n v="21"/>
    <n v="3"/>
    <n v="3"/>
    <n v="21"/>
    <n v="16"/>
    <n v="5"/>
    <n v="10"/>
  </r>
  <r>
    <n v="38"/>
    <x v="1"/>
    <s v="Travel_Rarely"/>
    <n v="1035"/>
    <x v="0"/>
    <n v="3"/>
    <n v="4"/>
    <s v="Life Sciences"/>
    <n v="1036"/>
    <n v="2"/>
    <x v="1"/>
    <n v="42"/>
    <n v="3"/>
    <n v="2"/>
    <s v="Sales Executive"/>
    <n v="4"/>
    <s v="Single"/>
    <n v="6861"/>
    <n v="4981"/>
    <n v="8"/>
    <x v="0"/>
    <n v="12"/>
    <n v="3"/>
    <n v="3"/>
    <n v="0"/>
    <n v="19"/>
    <n v="1"/>
    <n v="3"/>
    <n v="1"/>
    <n v="0"/>
    <n v="0"/>
    <n v="0"/>
  </r>
  <r>
    <n v="26"/>
    <x v="0"/>
    <s v="Non-Travel"/>
    <n v="265"/>
    <x v="0"/>
    <n v="29"/>
    <n v="2"/>
    <s v="Medical"/>
    <n v="1037"/>
    <n v="2"/>
    <x v="1"/>
    <n v="79"/>
    <n v="1"/>
    <n v="2"/>
    <s v="Sales Executive"/>
    <n v="1"/>
    <s v="Single"/>
    <n v="4969"/>
    <n v="21813"/>
    <n v="8"/>
    <x v="1"/>
    <n v="18"/>
    <n v="3"/>
    <n v="4"/>
    <n v="0"/>
    <n v="7"/>
    <n v="6"/>
    <n v="3"/>
    <n v="2"/>
    <n v="2"/>
    <n v="2"/>
    <n v="2"/>
  </r>
  <r>
    <n v="52"/>
    <x v="0"/>
    <s v="Travel_Rarely"/>
    <n v="266"/>
    <x v="0"/>
    <n v="2"/>
    <n v="1"/>
    <s v="Marketing"/>
    <n v="1038"/>
    <n v="1"/>
    <x v="0"/>
    <n v="57"/>
    <n v="1"/>
    <n v="5"/>
    <s v="Manager"/>
    <n v="4"/>
    <s v="Married"/>
    <n v="19845"/>
    <n v="25846"/>
    <n v="1"/>
    <x v="1"/>
    <n v="15"/>
    <n v="3"/>
    <n v="4"/>
    <n v="1"/>
    <n v="33"/>
    <n v="3"/>
    <n v="3"/>
    <n v="32"/>
    <n v="14"/>
    <n v="6"/>
    <n v="9"/>
  </r>
  <r>
    <n v="44"/>
    <x v="1"/>
    <s v="Travel_Rarely"/>
    <n v="1448"/>
    <x v="0"/>
    <n v="28"/>
    <n v="3"/>
    <s v="Medical"/>
    <n v="1039"/>
    <n v="4"/>
    <x v="0"/>
    <n v="53"/>
    <n v="4"/>
    <n v="4"/>
    <s v="Sales Executive"/>
    <n v="4"/>
    <s v="Married"/>
    <n v="13320"/>
    <n v="11737"/>
    <n v="3"/>
    <x v="0"/>
    <n v="18"/>
    <n v="3"/>
    <n v="3"/>
    <n v="1"/>
    <n v="23"/>
    <n v="2"/>
    <n v="3"/>
    <n v="12"/>
    <n v="11"/>
    <n v="11"/>
    <n v="11"/>
  </r>
  <r>
    <n v="50"/>
    <x v="1"/>
    <s v="Non-Travel"/>
    <n v="145"/>
    <x v="0"/>
    <n v="1"/>
    <n v="3"/>
    <s v="Life Sciences"/>
    <n v="1040"/>
    <n v="4"/>
    <x v="0"/>
    <n v="95"/>
    <n v="3"/>
    <n v="2"/>
    <s v="Sales Executive"/>
    <n v="3"/>
    <s v="Married"/>
    <n v="6347"/>
    <n v="24920"/>
    <n v="0"/>
    <x v="1"/>
    <n v="12"/>
    <n v="3"/>
    <n v="1"/>
    <n v="1"/>
    <n v="19"/>
    <n v="3"/>
    <n v="3"/>
    <n v="18"/>
    <n v="7"/>
    <n v="0"/>
    <n v="13"/>
  </r>
  <r>
    <n v="36"/>
    <x v="0"/>
    <s v="Travel_Rarely"/>
    <n v="885"/>
    <x v="1"/>
    <n v="16"/>
    <n v="4"/>
    <s v="Life Sciences"/>
    <n v="1042"/>
    <n v="3"/>
    <x v="0"/>
    <n v="43"/>
    <n v="4"/>
    <n v="1"/>
    <s v="Laboratory Technician"/>
    <n v="1"/>
    <s v="Single"/>
    <n v="2743"/>
    <n v="8269"/>
    <n v="1"/>
    <x v="1"/>
    <n v="16"/>
    <n v="3"/>
    <n v="3"/>
    <n v="0"/>
    <n v="18"/>
    <n v="1"/>
    <n v="3"/>
    <n v="17"/>
    <n v="13"/>
    <n v="15"/>
    <n v="14"/>
  </r>
  <r>
    <n v="39"/>
    <x v="1"/>
    <s v="Travel_Frequently"/>
    <n v="945"/>
    <x v="1"/>
    <n v="22"/>
    <n v="3"/>
    <s v="Medical"/>
    <n v="1043"/>
    <n v="4"/>
    <x v="0"/>
    <n v="82"/>
    <n v="3"/>
    <n v="3"/>
    <s v="Manufacturing Director"/>
    <n v="1"/>
    <s v="Single"/>
    <n v="10880"/>
    <n v="5083"/>
    <n v="1"/>
    <x v="0"/>
    <n v="13"/>
    <n v="3"/>
    <n v="3"/>
    <n v="0"/>
    <n v="21"/>
    <n v="2"/>
    <n v="3"/>
    <n v="21"/>
    <n v="6"/>
    <n v="2"/>
    <n v="8"/>
  </r>
  <r>
    <n v="33"/>
    <x v="1"/>
    <s v="Non-Travel"/>
    <n v="1038"/>
    <x v="0"/>
    <n v="8"/>
    <n v="1"/>
    <s v="Life Sciences"/>
    <n v="1044"/>
    <n v="2"/>
    <x v="0"/>
    <n v="88"/>
    <n v="2"/>
    <n v="1"/>
    <s v="Sales Representative"/>
    <n v="4"/>
    <s v="Single"/>
    <n v="2342"/>
    <n v="21437"/>
    <n v="0"/>
    <x v="1"/>
    <n v="19"/>
    <n v="3"/>
    <n v="4"/>
    <n v="0"/>
    <n v="3"/>
    <n v="2"/>
    <n v="2"/>
    <n v="2"/>
    <n v="2"/>
    <n v="2"/>
    <n v="2"/>
  </r>
  <r>
    <n v="45"/>
    <x v="1"/>
    <s v="Travel_Rarely"/>
    <n v="1234"/>
    <x v="0"/>
    <n v="11"/>
    <n v="2"/>
    <s v="Life Sciences"/>
    <n v="1045"/>
    <n v="4"/>
    <x v="0"/>
    <n v="90"/>
    <n v="3"/>
    <n v="4"/>
    <s v="Manager"/>
    <n v="4"/>
    <s v="Married"/>
    <n v="17650"/>
    <n v="5404"/>
    <n v="3"/>
    <x v="1"/>
    <n v="13"/>
    <n v="3"/>
    <n v="2"/>
    <n v="1"/>
    <n v="26"/>
    <n v="4"/>
    <n v="4"/>
    <n v="9"/>
    <n v="3"/>
    <n v="1"/>
    <n v="1"/>
  </r>
  <r>
    <n v="32"/>
    <x v="1"/>
    <s v="Non-Travel"/>
    <n v="1109"/>
    <x v="1"/>
    <n v="29"/>
    <n v="4"/>
    <s v="Medical"/>
    <n v="1046"/>
    <n v="4"/>
    <x v="0"/>
    <n v="69"/>
    <n v="3"/>
    <n v="1"/>
    <s v="Laboratory Technician"/>
    <n v="3"/>
    <s v="Single"/>
    <n v="4025"/>
    <n v="11135"/>
    <n v="9"/>
    <x v="1"/>
    <n v="12"/>
    <n v="3"/>
    <n v="2"/>
    <n v="0"/>
    <n v="10"/>
    <n v="2"/>
    <n v="3"/>
    <n v="8"/>
    <n v="7"/>
    <n v="7"/>
    <n v="7"/>
  </r>
  <r>
    <n v="34"/>
    <x v="1"/>
    <s v="Travel_Rarely"/>
    <n v="216"/>
    <x v="0"/>
    <n v="1"/>
    <n v="4"/>
    <s v="Marketing"/>
    <n v="1047"/>
    <n v="2"/>
    <x v="1"/>
    <n v="75"/>
    <n v="4"/>
    <n v="2"/>
    <s v="Sales Executive"/>
    <n v="4"/>
    <s v="Divorced"/>
    <n v="9725"/>
    <n v="12278"/>
    <n v="0"/>
    <x v="1"/>
    <n v="11"/>
    <n v="3"/>
    <n v="4"/>
    <n v="1"/>
    <n v="16"/>
    <n v="2"/>
    <n v="2"/>
    <n v="15"/>
    <n v="1"/>
    <n v="0"/>
    <n v="9"/>
  </r>
  <r>
    <n v="59"/>
    <x v="1"/>
    <s v="Travel_Rarely"/>
    <n v="1089"/>
    <x v="0"/>
    <n v="1"/>
    <n v="2"/>
    <s v="Technical Degree"/>
    <n v="1048"/>
    <n v="2"/>
    <x v="1"/>
    <n v="66"/>
    <n v="3"/>
    <n v="3"/>
    <s v="Manager"/>
    <n v="4"/>
    <s v="Married"/>
    <n v="11904"/>
    <n v="11038"/>
    <n v="3"/>
    <x v="0"/>
    <n v="14"/>
    <n v="3"/>
    <n v="3"/>
    <n v="1"/>
    <n v="14"/>
    <n v="1"/>
    <n v="1"/>
    <n v="6"/>
    <n v="4"/>
    <n v="0"/>
    <n v="4"/>
  </r>
  <r>
    <n v="45"/>
    <x v="1"/>
    <s v="Travel_Rarely"/>
    <n v="788"/>
    <x v="2"/>
    <n v="24"/>
    <n v="4"/>
    <s v="Medical"/>
    <n v="1049"/>
    <n v="2"/>
    <x v="1"/>
    <n v="36"/>
    <n v="3"/>
    <n v="1"/>
    <s v="Human Resources"/>
    <n v="2"/>
    <s v="Single"/>
    <n v="2177"/>
    <n v="8318"/>
    <n v="1"/>
    <x v="1"/>
    <n v="16"/>
    <n v="3"/>
    <n v="1"/>
    <n v="0"/>
    <n v="6"/>
    <n v="3"/>
    <n v="3"/>
    <n v="6"/>
    <n v="3"/>
    <n v="0"/>
    <n v="4"/>
  </r>
  <r>
    <n v="53"/>
    <x v="1"/>
    <s v="Travel_Frequently"/>
    <n v="124"/>
    <x v="0"/>
    <n v="2"/>
    <n v="3"/>
    <s v="Marketing"/>
    <n v="1050"/>
    <n v="3"/>
    <x v="0"/>
    <n v="38"/>
    <n v="2"/>
    <n v="3"/>
    <s v="Sales Executive"/>
    <n v="2"/>
    <s v="Married"/>
    <n v="7525"/>
    <n v="23537"/>
    <n v="2"/>
    <x v="1"/>
    <n v="12"/>
    <n v="3"/>
    <n v="1"/>
    <n v="1"/>
    <n v="30"/>
    <n v="2"/>
    <n v="3"/>
    <n v="15"/>
    <n v="7"/>
    <n v="6"/>
    <n v="12"/>
  </r>
  <r>
    <n v="36"/>
    <x v="0"/>
    <s v="Travel_Rarely"/>
    <n v="660"/>
    <x v="1"/>
    <n v="15"/>
    <n v="3"/>
    <s v="Other"/>
    <n v="1052"/>
    <n v="1"/>
    <x v="1"/>
    <n v="81"/>
    <n v="3"/>
    <n v="2"/>
    <s v="Laboratory Technician"/>
    <n v="3"/>
    <s v="Divorced"/>
    <n v="4834"/>
    <n v="7858"/>
    <n v="7"/>
    <x v="1"/>
    <n v="14"/>
    <n v="3"/>
    <n v="2"/>
    <n v="1"/>
    <n v="9"/>
    <n v="3"/>
    <n v="2"/>
    <n v="1"/>
    <n v="0"/>
    <n v="0"/>
    <n v="0"/>
  </r>
  <r>
    <n v="26"/>
    <x v="0"/>
    <s v="Travel_Frequently"/>
    <n v="342"/>
    <x v="1"/>
    <n v="2"/>
    <n v="3"/>
    <s v="Life Sciences"/>
    <n v="1053"/>
    <n v="1"/>
    <x v="1"/>
    <n v="57"/>
    <n v="3"/>
    <n v="1"/>
    <s v="Research Scientist"/>
    <n v="1"/>
    <s v="Married"/>
    <n v="2042"/>
    <n v="15346"/>
    <n v="6"/>
    <x v="0"/>
    <n v="14"/>
    <n v="3"/>
    <n v="2"/>
    <n v="1"/>
    <n v="6"/>
    <n v="2"/>
    <n v="3"/>
    <n v="3"/>
    <n v="2"/>
    <n v="1"/>
    <n v="2"/>
  </r>
  <r>
    <n v="34"/>
    <x v="1"/>
    <s v="Travel_Rarely"/>
    <n v="1333"/>
    <x v="0"/>
    <n v="10"/>
    <n v="4"/>
    <s v="Life Sciences"/>
    <n v="1055"/>
    <n v="3"/>
    <x v="0"/>
    <n v="87"/>
    <n v="3"/>
    <n v="1"/>
    <s v="Sales Representative"/>
    <n v="3"/>
    <s v="Married"/>
    <n v="2220"/>
    <n v="18410"/>
    <n v="1"/>
    <x v="0"/>
    <n v="19"/>
    <n v="3"/>
    <n v="4"/>
    <n v="1"/>
    <n v="1"/>
    <n v="2"/>
    <n v="3"/>
    <n v="1"/>
    <n v="1"/>
    <n v="0"/>
    <n v="0"/>
  </r>
  <r>
    <n v="28"/>
    <x v="1"/>
    <s v="Travel_Rarely"/>
    <n v="1144"/>
    <x v="0"/>
    <n v="10"/>
    <n v="1"/>
    <s v="Medical"/>
    <n v="1056"/>
    <n v="4"/>
    <x v="1"/>
    <n v="74"/>
    <n v="3"/>
    <n v="1"/>
    <s v="Sales Representative"/>
    <n v="2"/>
    <s v="Married"/>
    <n v="1052"/>
    <n v="23384"/>
    <n v="1"/>
    <x v="1"/>
    <n v="22"/>
    <n v="4"/>
    <n v="2"/>
    <n v="0"/>
    <n v="1"/>
    <n v="5"/>
    <n v="3"/>
    <n v="1"/>
    <n v="0"/>
    <n v="0"/>
    <n v="0"/>
  </r>
  <r>
    <n v="38"/>
    <x v="1"/>
    <s v="Travel_Frequently"/>
    <n v="1186"/>
    <x v="1"/>
    <n v="3"/>
    <n v="4"/>
    <s v="Other"/>
    <n v="1060"/>
    <n v="3"/>
    <x v="1"/>
    <n v="44"/>
    <n v="3"/>
    <n v="1"/>
    <s v="Research Scientist"/>
    <n v="3"/>
    <s v="Married"/>
    <n v="2821"/>
    <n v="2997"/>
    <n v="3"/>
    <x v="1"/>
    <n v="16"/>
    <n v="3"/>
    <n v="1"/>
    <n v="1"/>
    <n v="8"/>
    <n v="2"/>
    <n v="3"/>
    <n v="2"/>
    <n v="2"/>
    <n v="2"/>
    <n v="2"/>
  </r>
  <r>
    <n v="50"/>
    <x v="1"/>
    <s v="Travel_Rarely"/>
    <n v="1464"/>
    <x v="1"/>
    <n v="2"/>
    <n v="4"/>
    <s v="Medical"/>
    <n v="1061"/>
    <n v="2"/>
    <x v="1"/>
    <n v="62"/>
    <n v="3"/>
    <n v="5"/>
    <s v="Research Director"/>
    <n v="3"/>
    <s v="Married"/>
    <n v="19237"/>
    <n v="12853"/>
    <n v="2"/>
    <x v="0"/>
    <n v="11"/>
    <n v="3"/>
    <n v="4"/>
    <n v="1"/>
    <n v="29"/>
    <n v="2"/>
    <n v="2"/>
    <n v="8"/>
    <n v="1"/>
    <n v="7"/>
    <n v="7"/>
  </r>
  <r>
    <n v="37"/>
    <x v="1"/>
    <s v="Travel_Rarely"/>
    <n v="124"/>
    <x v="1"/>
    <n v="3"/>
    <n v="3"/>
    <s v="Other"/>
    <n v="1062"/>
    <n v="4"/>
    <x v="0"/>
    <n v="35"/>
    <n v="3"/>
    <n v="2"/>
    <s v="Healthcare Representative"/>
    <n v="2"/>
    <s v="Single"/>
    <n v="4107"/>
    <n v="13848"/>
    <n v="3"/>
    <x v="1"/>
    <n v="15"/>
    <n v="3"/>
    <n v="1"/>
    <n v="0"/>
    <n v="8"/>
    <n v="3"/>
    <n v="2"/>
    <n v="4"/>
    <n v="3"/>
    <n v="0"/>
    <n v="1"/>
  </r>
  <r>
    <n v="40"/>
    <x v="1"/>
    <s v="Travel_Rarely"/>
    <n v="300"/>
    <x v="0"/>
    <n v="26"/>
    <n v="3"/>
    <s v="Marketing"/>
    <n v="1066"/>
    <n v="3"/>
    <x v="1"/>
    <n v="74"/>
    <n v="3"/>
    <n v="2"/>
    <s v="Sales Executive"/>
    <n v="1"/>
    <s v="Married"/>
    <n v="8396"/>
    <n v="22217"/>
    <n v="1"/>
    <x v="1"/>
    <n v="14"/>
    <n v="3"/>
    <n v="2"/>
    <n v="1"/>
    <n v="8"/>
    <n v="3"/>
    <n v="2"/>
    <n v="7"/>
    <n v="7"/>
    <n v="7"/>
    <n v="5"/>
  </r>
  <r>
    <n v="26"/>
    <x v="1"/>
    <s v="Travel_Frequently"/>
    <n v="921"/>
    <x v="1"/>
    <n v="1"/>
    <n v="1"/>
    <s v="Medical"/>
    <n v="1068"/>
    <n v="1"/>
    <x v="0"/>
    <n v="66"/>
    <n v="2"/>
    <n v="1"/>
    <s v="Research Scientist"/>
    <n v="3"/>
    <s v="Divorced"/>
    <n v="2007"/>
    <n v="25265"/>
    <n v="1"/>
    <x v="1"/>
    <n v="13"/>
    <n v="3"/>
    <n v="3"/>
    <n v="2"/>
    <n v="5"/>
    <n v="5"/>
    <n v="3"/>
    <n v="5"/>
    <n v="3"/>
    <n v="1"/>
    <n v="3"/>
  </r>
  <r>
    <n v="46"/>
    <x v="1"/>
    <s v="Travel_Rarely"/>
    <n v="430"/>
    <x v="1"/>
    <n v="1"/>
    <n v="4"/>
    <s v="Medical"/>
    <n v="1069"/>
    <n v="4"/>
    <x v="1"/>
    <n v="40"/>
    <n v="3"/>
    <n v="5"/>
    <s v="Research Director"/>
    <n v="4"/>
    <s v="Divorced"/>
    <n v="19627"/>
    <n v="21445"/>
    <n v="9"/>
    <x v="1"/>
    <n v="17"/>
    <n v="3"/>
    <n v="4"/>
    <n v="2"/>
    <n v="23"/>
    <n v="0"/>
    <n v="3"/>
    <n v="2"/>
    <n v="2"/>
    <n v="2"/>
    <n v="2"/>
  </r>
  <r>
    <n v="54"/>
    <x v="1"/>
    <s v="Travel_Rarely"/>
    <n v="1082"/>
    <x v="0"/>
    <n v="2"/>
    <n v="4"/>
    <s v="Life Sciences"/>
    <n v="1070"/>
    <n v="3"/>
    <x v="0"/>
    <n v="41"/>
    <n v="2"/>
    <n v="3"/>
    <s v="Sales Executive"/>
    <n v="3"/>
    <s v="Married"/>
    <n v="10686"/>
    <n v="8392"/>
    <n v="6"/>
    <x v="1"/>
    <n v="11"/>
    <n v="3"/>
    <n v="2"/>
    <n v="1"/>
    <n v="13"/>
    <n v="4"/>
    <n v="3"/>
    <n v="9"/>
    <n v="4"/>
    <n v="7"/>
    <n v="0"/>
  </r>
  <r>
    <n v="56"/>
    <x v="1"/>
    <s v="Travel_Frequently"/>
    <n v="1240"/>
    <x v="1"/>
    <n v="9"/>
    <n v="3"/>
    <s v="Medical"/>
    <n v="1071"/>
    <n v="1"/>
    <x v="0"/>
    <n v="63"/>
    <n v="3"/>
    <n v="1"/>
    <s v="Research Scientist"/>
    <n v="3"/>
    <s v="Married"/>
    <n v="2942"/>
    <n v="12154"/>
    <n v="2"/>
    <x v="1"/>
    <n v="19"/>
    <n v="3"/>
    <n v="2"/>
    <n v="1"/>
    <n v="18"/>
    <n v="4"/>
    <n v="3"/>
    <n v="5"/>
    <n v="4"/>
    <n v="0"/>
    <n v="3"/>
  </r>
  <r>
    <n v="36"/>
    <x v="1"/>
    <s v="Travel_Rarely"/>
    <n v="796"/>
    <x v="1"/>
    <n v="12"/>
    <n v="5"/>
    <s v="Medical"/>
    <n v="1073"/>
    <n v="4"/>
    <x v="0"/>
    <n v="51"/>
    <n v="2"/>
    <n v="3"/>
    <s v="Manufacturing Director"/>
    <n v="4"/>
    <s v="Single"/>
    <n v="8858"/>
    <n v="15669"/>
    <n v="0"/>
    <x v="1"/>
    <n v="11"/>
    <n v="3"/>
    <n v="2"/>
    <n v="0"/>
    <n v="15"/>
    <n v="2"/>
    <n v="2"/>
    <n v="14"/>
    <n v="8"/>
    <n v="7"/>
    <n v="8"/>
  </r>
  <r>
    <n v="55"/>
    <x v="1"/>
    <s v="Non-Travel"/>
    <n v="444"/>
    <x v="1"/>
    <n v="2"/>
    <n v="1"/>
    <s v="Medical"/>
    <n v="1074"/>
    <n v="3"/>
    <x v="1"/>
    <n v="40"/>
    <n v="2"/>
    <n v="4"/>
    <s v="Manager"/>
    <n v="1"/>
    <s v="Single"/>
    <n v="16756"/>
    <n v="17323"/>
    <n v="7"/>
    <x v="1"/>
    <n v="15"/>
    <n v="3"/>
    <n v="2"/>
    <n v="0"/>
    <n v="31"/>
    <n v="3"/>
    <n v="4"/>
    <n v="9"/>
    <n v="7"/>
    <n v="6"/>
    <n v="2"/>
  </r>
  <r>
    <n v="43"/>
    <x v="1"/>
    <s v="Travel_Rarely"/>
    <n v="415"/>
    <x v="0"/>
    <n v="25"/>
    <n v="3"/>
    <s v="Medical"/>
    <n v="1076"/>
    <n v="3"/>
    <x v="1"/>
    <n v="79"/>
    <n v="2"/>
    <n v="3"/>
    <s v="Sales Executive"/>
    <n v="4"/>
    <s v="Divorced"/>
    <n v="10798"/>
    <n v="5268"/>
    <n v="5"/>
    <x v="1"/>
    <n v="13"/>
    <n v="3"/>
    <n v="3"/>
    <n v="1"/>
    <n v="18"/>
    <n v="5"/>
    <n v="3"/>
    <n v="1"/>
    <n v="0"/>
    <n v="0"/>
    <n v="0"/>
  </r>
  <r>
    <n v="20"/>
    <x v="0"/>
    <s v="Travel_Frequently"/>
    <n v="769"/>
    <x v="0"/>
    <n v="9"/>
    <n v="3"/>
    <s v="Marketing"/>
    <n v="1077"/>
    <n v="4"/>
    <x v="0"/>
    <n v="54"/>
    <n v="3"/>
    <n v="1"/>
    <s v="Sales Representative"/>
    <n v="4"/>
    <s v="Single"/>
    <n v="2323"/>
    <n v="17205"/>
    <n v="1"/>
    <x v="0"/>
    <n v="14"/>
    <n v="3"/>
    <n v="2"/>
    <n v="0"/>
    <n v="2"/>
    <n v="3"/>
    <n v="3"/>
    <n v="2"/>
    <n v="2"/>
    <n v="0"/>
    <n v="2"/>
  </r>
  <r>
    <n v="21"/>
    <x v="0"/>
    <s v="Travel_Rarely"/>
    <n v="1334"/>
    <x v="1"/>
    <n v="10"/>
    <n v="3"/>
    <s v="Life Sciences"/>
    <n v="1079"/>
    <n v="3"/>
    <x v="0"/>
    <n v="36"/>
    <n v="2"/>
    <n v="1"/>
    <s v="Laboratory Technician"/>
    <n v="1"/>
    <s v="Single"/>
    <n v="1416"/>
    <n v="17258"/>
    <n v="1"/>
    <x v="1"/>
    <n v="13"/>
    <n v="3"/>
    <n v="1"/>
    <n v="0"/>
    <n v="1"/>
    <n v="6"/>
    <n v="2"/>
    <n v="1"/>
    <n v="0"/>
    <n v="1"/>
    <n v="0"/>
  </r>
  <r>
    <n v="46"/>
    <x v="1"/>
    <s v="Travel_Rarely"/>
    <n v="1003"/>
    <x v="1"/>
    <n v="8"/>
    <n v="4"/>
    <s v="Life Sciences"/>
    <n v="1080"/>
    <n v="4"/>
    <x v="0"/>
    <n v="74"/>
    <n v="2"/>
    <n v="2"/>
    <s v="Research Scientist"/>
    <n v="1"/>
    <s v="Divorced"/>
    <n v="4615"/>
    <n v="21029"/>
    <n v="8"/>
    <x v="0"/>
    <n v="23"/>
    <n v="4"/>
    <n v="1"/>
    <n v="3"/>
    <n v="19"/>
    <n v="2"/>
    <n v="3"/>
    <n v="16"/>
    <n v="13"/>
    <n v="1"/>
    <n v="7"/>
  </r>
  <r>
    <n v="51"/>
    <x v="0"/>
    <s v="Travel_Rarely"/>
    <n v="1323"/>
    <x v="1"/>
    <n v="4"/>
    <n v="4"/>
    <s v="Life Sciences"/>
    <n v="1081"/>
    <n v="1"/>
    <x v="1"/>
    <n v="34"/>
    <n v="3"/>
    <n v="1"/>
    <s v="Research Scientist"/>
    <n v="3"/>
    <s v="Married"/>
    <n v="2461"/>
    <n v="10332"/>
    <n v="9"/>
    <x v="0"/>
    <n v="12"/>
    <n v="3"/>
    <n v="3"/>
    <n v="3"/>
    <n v="18"/>
    <n v="2"/>
    <n v="4"/>
    <n v="10"/>
    <n v="0"/>
    <n v="2"/>
    <n v="7"/>
  </r>
  <r>
    <n v="28"/>
    <x v="0"/>
    <s v="Non-Travel"/>
    <n v="1366"/>
    <x v="1"/>
    <n v="24"/>
    <n v="2"/>
    <s v="Technical Degree"/>
    <n v="1082"/>
    <n v="2"/>
    <x v="1"/>
    <n v="72"/>
    <n v="2"/>
    <n v="3"/>
    <s v="Healthcare Representative"/>
    <n v="1"/>
    <s v="Single"/>
    <n v="8722"/>
    <n v="12355"/>
    <n v="1"/>
    <x v="1"/>
    <n v="12"/>
    <n v="3"/>
    <n v="1"/>
    <n v="0"/>
    <n v="10"/>
    <n v="2"/>
    <n v="2"/>
    <n v="10"/>
    <n v="7"/>
    <n v="1"/>
    <n v="9"/>
  </r>
  <r>
    <n v="26"/>
    <x v="1"/>
    <s v="Travel_Rarely"/>
    <n v="192"/>
    <x v="1"/>
    <n v="1"/>
    <n v="2"/>
    <s v="Medical"/>
    <n v="1083"/>
    <n v="1"/>
    <x v="1"/>
    <n v="59"/>
    <n v="2"/>
    <n v="1"/>
    <s v="Laboratory Technician"/>
    <n v="1"/>
    <s v="Married"/>
    <n v="3955"/>
    <n v="11141"/>
    <n v="1"/>
    <x v="1"/>
    <n v="16"/>
    <n v="3"/>
    <n v="1"/>
    <n v="2"/>
    <n v="6"/>
    <n v="2"/>
    <n v="3"/>
    <n v="5"/>
    <n v="3"/>
    <n v="1"/>
    <n v="3"/>
  </r>
  <r>
    <n v="30"/>
    <x v="1"/>
    <s v="Travel_Rarely"/>
    <n v="1176"/>
    <x v="1"/>
    <n v="20"/>
    <n v="3"/>
    <s v="Other"/>
    <n v="1084"/>
    <n v="3"/>
    <x v="1"/>
    <n v="85"/>
    <n v="3"/>
    <n v="2"/>
    <s v="Manufacturing Director"/>
    <n v="1"/>
    <s v="Married"/>
    <n v="9957"/>
    <n v="9096"/>
    <n v="0"/>
    <x v="1"/>
    <n v="15"/>
    <n v="3"/>
    <n v="3"/>
    <n v="1"/>
    <n v="7"/>
    <n v="1"/>
    <n v="2"/>
    <n v="6"/>
    <n v="2"/>
    <n v="0"/>
    <n v="2"/>
  </r>
  <r>
    <n v="41"/>
    <x v="1"/>
    <s v="Travel_Rarely"/>
    <n v="509"/>
    <x v="1"/>
    <n v="7"/>
    <n v="2"/>
    <s v="Technical Degree"/>
    <n v="1085"/>
    <n v="2"/>
    <x v="0"/>
    <n v="43"/>
    <n v="4"/>
    <n v="1"/>
    <s v="Research Scientist"/>
    <n v="3"/>
    <s v="Married"/>
    <n v="3376"/>
    <n v="18863"/>
    <n v="1"/>
    <x v="1"/>
    <n v="13"/>
    <n v="3"/>
    <n v="3"/>
    <n v="0"/>
    <n v="10"/>
    <n v="3"/>
    <n v="3"/>
    <n v="10"/>
    <n v="6"/>
    <n v="0"/>
    <n v="8"/>
  </r>
  <r>
    <n v="38"/>
    <x v="1"/>
    <s v="Travel_Rarely"/>
    <n v="330"/>
    <x v="1"/>
    <n v="17"/>
    <n v="1"/>
    <s v="Life Sciences"/>
    <n v="1088"/>
    <n v="3"/>
    <x v="0"/>
    <n v="65"/>
    <n v="2"/>
    <n v="3"/>
    <s v="Healthcare Representative"/>
    <n v="3"/>
    <s v="Married"/>
    <n v="8823"/>
    <n v="24608"/>
    <n v="0"/>
    <x v="1"/>
    <n v="18"/>
    <n v="3"/>
    <n v="1"/>
    <n v="1"/>
    <n v="20"/>
    <n v="4"/>
    <n v="2"/>
    <n v="19"/>
    <n v="9"/>
    <n v="1"/>
    <n v="9"/>
  </r>
  <r>
    <n v="40"/>
    <x v="1"/>
    <s v="Travel_Rarely"/>
    <n v="1492"/>
    <x v="1"/>
    <n v="20"/>
    <n v="4"/>
    <s v="Technical Degree"/>
    <n v="1092"/>
    <n v="1"/>
    <x v="1"/>
    <n v="61"/>
    <n v="3"/>
    <n v="3"/>
    <s v="Healthcare Representative"/>
    <n v="4"/>
    <s v="Married"/>
    <n v="10322"/>
    <n v="26542"/>
    <n v="4"/>
    <x v="1"/>
    <n v="20"/>
    <n v="4"/>
    <n v="4"/>
    <n v="1"/>
    <n v="14"/>
    <n v="6"/>
    <n v="3"/>
    <n v="11"/>
    <n v="10"/>
    <n v="11"/>
    <n v="1"/>
  </r>
  <r>
    <n v="27"/>
    <x v="1"/>
    <s v="Non-Travel"/>
    <n v="1277"/>
    <x v="1"/>
    <n v="8"/>
    <n v="5"/>
    <s v="Life Sciences"/>
    <n v="1094"/>
    <n v="1"/>
    <x v="1"/>
    <n v="87"/>
    <n v="1"/>
    <n v="1"/>
    <s v="Laboratory Technician"/>
    <n v="3"/>
    <s v="Married"/>
    <n v="4621"/>
    <n v="5869"/>
    <n v="1"/>
    <x v="1"/>
    <n v="19"/>
    <n v="3"/>
    <n v="4"/>
    <n v="3"/>
    <n v="3"/>
    <n v="4"/>
    <n v="3"/>
    <n v="3"/>
    <n v="2"/>
    <n v="1"/>
    <n v="2"/>
  </r>
  <r>
    <n v="55"/>
    <x v="1"/>
    <s v="Travel_Frequently"/>
    <n v="1091"/>
    <x v="1"/>
    <n v="2"/>
    <n v="1"/>
    <s v="Life Sciences"/>
    <n v="1096"/>
    <n v="4"/>
    <x v="1"/>
    <n v="65"/>
    <n v="3"/>
    <n v="3"/>
    <s v="Manufacturing Director"/>
    <n v="2"/>
    <s v="Married"/>
    <n v="10976"/>
    <n v="15813"/>
    <n v="3"/>
    <x v="1"/>
    <n v="18"/>
    <n v="3"/>
    <n v="2"/>
    <n v="1"/>
    <n v="23"/>
    <n v="4"/>
    <n v="3"/>
    <n v="3"/>
    <n v="2"/>
    <n v="1"/>
    <n v="2"/>
  </r>
  <r>
    <n v="28"/>
    <x v="1"/>
    <s v="Travel_Rarely"/>
    <n v="857"/>
    <x v="1"/>
    <n v="10"/>
    <n v="3"/>
    <s v="Other"/>
    <n v="1097"/>
    <n v="3"/>
    <x v="0"/>
    <n v="59"/>
    <n v="3"/>
    <n v="2"/>
    <s v="Research Scientist"/>
    <n v="3"/>
    <s v="Single"/>
    <n v="3660"/>
    <n v="7909"/>
    <n v="3"/>
    <x v="1"/>
    <n v="13"/>
    <n v="3"/>
    <n v="4"/>
    <n v="0"/>
    <n v="10"/>
    <n v="4"/>
    <n v="4"/>
    <n v="8"/>
    <n v="7"/>
    <n v="1"/>
    <n v="7"/>
  </r>
  <r>
    <n v="44"/>
    <x v="0"/>
    <s v="Travel_Rarely"/>
    <n v="1376"/>
    <x v="2"/>
    <n v="1"/>
    <n v="2"/>
    <s v="Medical"/>
    <n v="1098"/>
    <n v="2"/>
    <x v="1"/>
    <n v="91"/>
    <n v="2"/>
    <n v="3"/>
    <s v="Human Resources"/>
    <n v="1"/>
    <s v="Married"/>
    <n v="10482"/>
    <n v="2326"/>
    <n v="9"/>
    <x v="1"/>
    <n v="14"/>
    <n v="3"/>
    <n v="4"/>
    <n v="1"/>
    <n v="24"/>
    <n v="1"/>
    <n v="3"/>
    <n v="20"/>
    <n v="6"/>
    <n v="3"/>
    <n v="6"/>
  </r>
  <r>
    <n v="33"/>
    <x v="1"/>
    <s v="Travel_Rarely"/>
    <n v="654"/>
    <x v="1"/>
    <n v="5"/>
    <n v="3"/>
    <s v="Life Sciences"/>
    <n v="1099"/>
    <n v="4"/>
    <x v="1"/>
    <n v="34"/>
    <n v="2"/>
    <n v="3"/>
    <s v="Healthcare Representative"/>
    <n v="4"/>
    <s v="Divorced"/>
    <n v="7119"/>
    <n v="21214"/>
    <n v="4"/>
    <x v="1"/>
    <n v="15"/>
    <n v="3"/>
    <n v="3"/>
    <n v="1"/>
    <n v="9"/>
    <n v="2"/>
    <n v="3"/>
    <n v="3"/>
    <n v="2"/>
    <n v="1"/>
    <n v="2"/>
  </r>
  <r>
    <n v="35"/>
    <x v="0"/>
    <s v="Travel_Rarely"/>
    <n v="1204"/>
    <x v="0"/>
    <n v="4"/>
    <n v="3"/>
    <s v="Technical Degree"/>
    <n v="1100"/>
    <n v="4"/>
    <x v="1"/>
    <n v="86"/>
    <n v="3"/>
    <n v="3"/>
    <s v="Sales Executive"/>
    <n v="1"/>
    <s v="Single"/>
    <n v="9582"/>
    <n v="10333"/>
    <n v="0"/>
    <x v="0"/>
    <n v="22"/>
    <n v="4"/>
    <n v="1"/>
    <n v="0"/>
    <n v="9"/>
    <n v="2"/>
    <n v="3"/>
    <n v="8"/>
    <n v="7"/>
    <n v="4"/>
    <n v="7"/>
  </r>
  <r>
    <n v="33"/>
    <x v="0"/>
    <s v="Travel_Frequently"/>
    <n v="827"/>
    <x v="1"/>
    <n v="29"/>
    <n v="4"/>
    <s v="Medical"/>
    <n v="1101"/>
    <n v="1"/>
    <x v="0"/>
    <n v="54"/>
    <n v="2"/>
    <n v="2"/>
    <s v="Research Scientist"/>
    <n v="3"/>
    <s v="Single"/>
    <n v="4508"/>
    <n v="3129"/>
    <n v="1"/>
    <x v="1"/>
    <n v="22"/>
    <n v="4"/>
    <n v="2"/>
    <n v="0"/>
    <n v="14"/>
    <n v="4"/>
    <n v="3"/>
    <n v="13"/>
    <n v="7"/>
    <n v="3"/>
    <n v="8"/>
  </r>
  <r>
    <n v="28"/>
    <x v="1"/>
    <s v="Travel_Rarely"/>
    <n v="895"/>
    <x v="1"/>
    <n v="15"/>
    <n v="2"/>
    <s v="Life Sciences"/>
    <n v="1102"/>
    <n v="1"/>
    <x v="1"/>
    <n v="50"/>
    <n v="3"/>
    <n v="1"/>
    <s v="Laboratory Technician"/>
    <n v="3"/>
    <s v="Divorced"/>
    <n v="2207"/>
    <n v="22482"/>
    <n v="1"/>
    <x v="1"/>
    <n v="16"/>
    <n v="3"/>
    <n v="4"/>
    <n v="1"/>
    <n v="4"/>
    <n v="5"/>
    <n v="2"/>
    <n v="4"/>
    <n v="2"/>
    <n v="2"/>
    <n v="2"/>
  </r>
  <r>
    <n v="34"/>
    <x v="1"/>
    <s v="Travel_Frequently"/>
    <n v="618"/>
    <x v="1"/>
    <n v="3"/>
    <n v="1"/>
    <s v="Life Sciences"/>
    <n v="1103"/>
    <n v="1"/>
    <x v="1"/>
    <n v="45"/>
    <n v="3"/>
    <n v="2"/>
    <s v="Healthcare Representative"/>
    <n v="4"/>
    <s v="Single"/>
    <n v="7756"/>
    <n v="22266"/>
    <n v="0"/>
    <x v="1"/>
    <n v="17"/>
    <n v="3"/>
    <n v="3"/>
    <n v="0"/>
    <n v="7"/>
    <n v="1"/>
    <n v="2"/>
    <n v="6"/>
    <n v="2"/>
    <n v="0"/>
    <n v="4"/>
  </r>
  <r>
    <n v="37"/>
    <x v="1"/>
    <s v="Travel_Rarely"/>
    <n v="309"/>
    <x v="0"/>
    <n v="10"/>
    <n v="4"/>
    <s v="Life Sciences"/>
    <n v="1105"/>
    <n v="4"/>
    <x v="0"/>
    <n v="88"/>
    <n v="2"/>
    <n v="2"/>
    <s v="Sales Executive"/>
    <n v="4"/>
    <s v="Divorced"/>
    <n v="6694"/>
    <n v="24223"/>
    <n v="2"/>
    <x v="0"/>
    <n v="14"/>
    <n v="3"/>
    <n v="3"/>
    <n v="3"/>
    <n v="8"/>
    <n v="5"/>
    <n v="3"/>
    <n v="1"/>
    <n v="0"/>
    <n v="0"/>
    <n v="0"/>
  </r>
  <r>
    <n v="25"/>
    <x v="0"/>
    <s v="Travel_Rarely"/>
    <n v="1219"/>
    <x v="1"/>
    <n v="4"/>
    <n v="1"/>
    <s v="Technical Degree"/>
    <n v="1106"/>
    <n v="4"/>
    <x v="1"/>
    <n v="32"/>
    <n v="3"/>
    <n v="1"/>
    <s v="Laboratory Technician"/>
    <n v="4"/>
    <s v="Married"/>
    <n v="3691"/>
    <n v="4605"/>
    <n v="1"/>
    <x v="0"/>
    <n v="15"/>
    <n v="3"/>
    <n v="2"/>
    <n v="1"/>
    <n v="7"/>
    <n v="3"/>
    <n v="4"/>
    <n v="7"/>
    <n v="7"/>
    <n v="5"/>
    <n v="6"/>
  </r>
  <r>
    <n v="26"/>
    <x v="0"/>
    <s v="Travel_Rarely"/>
    <n v="1330"/>
    <x v="1"/>
    <n v="21"/>
    <n v="3"/>
    <s v="Medical"/>
    <n v="1107"/>
    <n v="1"/>
    <x v="1"/>
    <n v="37"/>
    <n v="3"/>
    <n v="1"/>
    <s v="Laboratory Technician"/>
    <n v="3"/>
    <s v="Divorced"/>
    <n v="2377"/>
    <n v="19373"/>
    <n v="1"/>
    <x v="1"/>
    <n v="20"/>
    <n v="4"/>
    <n v="3"/>
    <n v="1"/>
    <n v="1"/>
    <n v="0"/>
    <n v="2"/>
    <n v="1"/>
    <n v="1"/>
    <n v="0"/>
    <n v="0"/>
  </r>
  <r>
    <n v="33"/>
    <x v="0"/>
    <s v="Travel_Rarely"/>
    <n v="1017"/>
    <x v="1"/>
    <n v="25"/>
    <n v="3"/>
    <s v="Medical"/>
    <n v="1108"/>
    <n v="1"/>
    <x v="1"/>
    <n v="55"/>
    <n v="2"/>
    <n v="1"/>
    <s v="Research Scientist"/>
    <n v="2"/>
    <s v="Single"/>
    <n v="2313"/>
    <n v="2993"/>
    <n v="4"/>
    <x v="0"/>
    <n v="20"/>
    <n v="4"/>
    <n v="2"/>
    <n v="0"/>
    <n v="5"/>
    <n v="0"/>
    <n v="3"/>
    <n v="2"/>
    <n v="2"/>
    <n v="2"/>
    <n v="2"/>
  </r>
  <r>
    <n v="42"/>
    <x v="1"/>
    <s v="Travel_Rarely"/>
    <n v="469"/>
    <x v="1"/>
    <n v="2"/>
    <n v="2"/>
    <s v="Medical"/>
    <n v="1109"/>
    <n v="4"/>
    <x v="1"/>
    <n v="35"/>
    <n v="3"/>
    <n v="4"/>
    <s v="Manager"/>
    <n v="1"/>
    <s v="Married"/>
    <n v="17665"/>
    <n v="14399"/>
    <n v="0"/>
    <x v="1"/>
    <n v="17"/>
    <n v="3"/>
    <n v="4"/>
    <n v="1"/>
    <n v="23"/>
    <n v="3"/>
    <n v="3"/>
    <n v="22"/>
    <n v="6"/>
    <n v="13"/>
    <n v="7"/>
  </r>
  <r>
    <n v="28"/>
    <x v="0"/>
    <s v="Travel_Frequently"/>
    <n v="1009"/>
    <x v="1"/>
    <n v="1"/>
    <n v="3"/>
    <s v="Medical"/>
    <n v="1111"/>
    <n v="1"/>
    <x v="1"/>
    <n v="45"/>
    <n v="2"/>
    <n v="1"/>
    <s v="Laboratory Technician"/>
    <n v="2"/>
    <s v="Divorced"/>
    <n v="2596"/>
    <n v="7160"/>
    <n v="1"/>
    <x v="1"/>
    <n v="15"/>
    <n v="3"/>
    <n v="1"/>
    <n v="2"/>
    <n v="1"/>
    <n v="2"/>
    <n v="3"/>
    <n v="1"/>
    <n v="0"/>
    <n v="0"/>
    <n v="0"/>
  </r>
  <r>
    <n v="50"/>
    <x v="0"/>
    <s v="Travel_Frequently"/>
    <n v="959"/>
    <x v="0"/>
    <n v="1"/>
    <n v="4"/>
    <s v="Other"/>
    <n v="1113"/>
    <n v="4"/>
    <x v="1"/>
    <n v="81"/>
    <n v="3"/>
    <n v="2"/>
    <s v="Sales Executive"/>
    <n v="3"/>
    <s v="Single"/>
    <n v="4728"/>
    <n v="17251"/>
    <n v="3"/>
    <x v="0"/>
    <n v="14"/>
    <n v="3"/>
    <n v="4"/>
    <n v="0"/>
    <n v="5"/>
    <n v="4"/>
    <n v="3"/>
    <n v="0"/>
    <n v="0"/>
    <n v="0"/>
    <n v="0"/>
  </r>
  <r>
    <n v="33"/>
    <x v="1"/>
    <s v="Travel_Frequently"/>
    <n v="970"/>
    <x v="0"/>
    <n v="7"/>
    <n v="3"/>
    <s v="Life Sciences"/>
    <n v="1114"/>
    <n v="4"/>
    <x v="0"/>
    <n v="30"/>
    <n v="3"/>
    <n v="2"/>
    <s v="Sales Executive"/>
    <n v="2"/>
    <s v="Married"/>
    <n v="4302"/>
    <n v="13401"/>
    <n v="0"/>
    <x v="1"/>
    <n v="17"/>
    <n v="3"/>
    <n v="3"/>
    <n v="1"/>
    <n v="4"/>
    <n v="3"/>
    <n v="3"/>
    <n v="3"/>
    <n v="2"/>
    <n v="0"/>
    <n v="2"/>
  </r>
  <r>
    <n v="34"/>
    <x v="1"/>
    <s v="Non-Travel"/>
    <n v="697"/>
    <x v="1"/>
    <n v="3"/>
    <n v="4"/>
    <s v="Life Sciences"/>
    <n v="1115"/>
    <n v="3"/>
    <x v="1"/>
    <n v="40"/>
    <n v="2"/>
    <n v="1"/>
    <s v="Research Scientist"/>
    <n v="4"/>
    <s v="Married"/>
    <n v="2979"/>
    <n v="22478"/>
    <n v="3"/>
    <x v="1"/>
    <n v="17"/>
    <n v="3"/>
    <n v="4"/>
    <n v="3"/>
    <n v="6"/>
    <n v="2"/>
    <n v="3"/>
    <n v="0"/>
    <n v="0"/>
    <n v="0"/>
    <n v="0"/>
  </r>
  <r>
    <n v="48"/>
    <x v="1"/>
    <s v="Non-Travel"/>
    <n v="1262"/>
    <x v="1"/>
    <n v="1"/>
    <n v="4"/>
    <s v="Medical"/>
    <n v="1116"/>
    <n v="1"/>
    <x v="1"/>
    <n v="35"/>
    <n v="4"/>
    <n v="4"/>
    <s v="Manager"/>
    <n v="4"/>
    <s v="Single"/>
    <n v="16885"/>
    <n v="16154"/>
    <n v="2"/>
    <x v="1"/>
    <n v="22"/>
    <n v="4"/>
    <n v="3"/>
    <n v="0"/>
    <n v="27"/>
    <n v="3"/>
    <n v="2"/>
    <n v="5"/>
    <n v="4"/>
    <n v="2"/>
    <n v="1"/>
  </r>
  <r>
    <n v="45"/>
    <x v="1"/>
    <s v="Non-Travel"/>
    <n v="1050"/>
    <x v="0"/>
    <n v="9"/>
    <n v="4"/>
    <s v="Life Sciences"/>
    <n v="1117"/>
    <n v="2"/>
    <x v="0"/>
    <n v="65"/>
    <n v="2"/>
    <n v="2"/>
    <s v="Sales Executive"/>
    <n v="3"/>
    <s v="Married"/>
    <n v="5593"/>
    <n v="17970"/>
    <n v="1"/>
    <x v="1"/>
    <n v="13"/>
    <n v="3"/>
    <n v="4"/>
    <n v="1"/>
    <n v="15"/>
    <n v="2"/>
    <n v="3"/>
    <n v="15"/>
    <n v="10"/>
    <n v="4"/>
    <n v="12"/>
  </r>
  <r>
    <n v="52"/>
    <x v="1"/>
    <s v="Travel_Rarely"/>
    <n v="994"/>
    <x v="1"/>
    <n v="7"/>
    <n v="4"/>
    <s v="Life Sciences"/>
    <n v="1118"/>
    <n v="2"/>
    <x v="1"/>
    <n v="87"/>
    <n v="3"/>
    <n v="3"/>
    <s v="Healthcare Representative"/>
    <n v="2"/>
    <s v="Single"/>
    <n v="10445"/>
    <n v="15322"/>
    <n v="7"/>
    <x v="1"/>
    <n v="19"/>
    <n v="3"/>
    <n v="4"/>
    <n v="0"/>
    <n v="18"/>
    <n v="4"/>
    <n v="3"/>
    <n v="8"/>
    <n v="6"/>
    <n v="4"/>
    <n v="0"/>
  </r>
  <r>
    <n v="38"/>
    <x v="1"/>
    <s v="Travel_Rarely"/>
    <n v="770"/>
    <x v="0"/>
    <n v="10"/>
    <n v="4"/>
    <s v="Marketing"/>
    <n v="1119"/>
    <n v="3"/>
    <x v="1"/>
    <n v="73"/>
    <n v="2"/>
    <n v="3"/>
    <s v="Sales Executive"/>
    <n v="3"/>
    <s v="Divorced"/>
    <n v="8740"/>
    <n v="5569"/>
    <n v="0"/>
    <x v="0"/>
    <n v="14"/>
    <n v="3"/>
    <n v="2"/>
    <n v="2"/>
    <n v="9"/>
    <n v="2"/>
    <n v="3"/>
    <n v="8"/>
    <n v="7"/>
    <n v="2"/>
    <n v="7"/>
  </r>
  <r>
    <n v="29"/>
    <x v="1"/>
    <s v="Travel_Rarely"/>
    <n v="1107"/>
    <x v="1"/>
    <n v="28"/>
    <n v="4"/>
    <s v="Life Sciences"/>
    <n v="1120"/>
    <n v="3"/>
    <x v="0"/>
    <n v="93"/>
    <n v="3"/>
    <n v="1"/>
    <s v="Research Scientist"/>
    <n v="4"/>
    <s v="Divorced"/>
    <n v="2514"/>
    <n v="26968"/>
    <n v="4"/>
    <x v="1"/>
    <n v="22"/>
    <n v="4"/>
    <n v="1"/>
    <n v="1"/>
    <n v="11"/>
    <n v="1"/>
    <n v="3"/>
    <n v="7"/>
    <n v="5"/>
    <n v="1"/>
    <n v="7"/>
  </r>
  <r>
    <n v="28"/>
    <x v="1"/>
    <s v="Travel_Rarely"/>
    <n v="950"/>
    <x v="1"/>
    <n v="3"/>
    <n v="3"/>
    <s v="Medical"/>
    <n v="1121"/>
    <n v="4"/>
    <x v="0"/>
    <n v="93"/>
    <n v="3"/>
    <n v="3"/>
    <s v="Manufacturing Director"/>
    <n v="2"/>
    <s v="Divorced"/>
    <n v="7655"/>
    <n v="8039"/>
    <n v="0"/>
    <x v="1"/>
    <n v="17"/>
    <n v="3"/>
    <n v="2"/>
    <n v="3"/>
    <n v="10"/>
    <n v="3"/>
    <n v="2"/>
    <n v="9"/>
    <n v="7"/>
    <n v="1"/>
    <n v="7"/>
  </r>
  <r>
    <n v="46"/>
    <x v="1"/>
    <s v="Travel_Rarely"/>
    <n v="406"/>
    <x v="0"/>
    <n v="3"/>
    <n v="1"/>
    <s v="Marketing"/>
    <n v="1124"/>
    <n v="1"/>
    <x v="1"/>
    <n v="52"/>
    <n v="3"/>
    <n v="4"/>
    <s v="Manager"/>
    <n v="3"/>
    <s v="Married"/>
    <n v="17465"/>
    <n v="15596"/>
    <n v="3"/>
    <x v="1"/>
    <n v="12"/>
    <n v="3"/>
    <n v="4"/>
    <n v="1"/>
    <n v="23"/>
    <n v="3"/>
    <n v="3"/>
    <n v="12"/>
    <n v="9"/>
    <n v="4"/>
    <n v="9"/>
  </r>
  <r>
    <n v="38"/>
    <x v="1"/>
    <s v="Travel_Rarely"/>
    <n v="130"/>
    <x v="0"/>
    <n v="2"/>
    <n v="2"/>
    <s v="Marketing"/>
    <n v="1125"/>
    <n v="4"/>
    <x v="1"/>
    <n v="32"/>
    <n v="3"/>
    <n v="3"/>
    <s v="Sales Executive"/>
    <n v="2"/>
    <s v="Single"/>
    <n v="7351"/>
    <n v="20619"/>
    <n v="7"/>
    <x v="1"/>
    <n v="16"/>
    <n v="3"/>
    <n v="3"/>
    <n v="0"/>
    <n v="10"/>
    <n v="2"/>
    <n v="3"/>
    <n v="1"/>
    <n v="0"/>
    <n v="0"/>
    <n v="0"/>
  </r>
  <r>
    <n v="43"/>
    <x v="1"/>
    <s v="Travel_Frequently"/>
    <n v="1082"/>
    <x v="1"/>
    <n v="27"/>
    <n v="3"/>
    <s v="Life Sciences"/>
    <n v="1126"/>
    <n v="3"/>
    <x v="0"/>
    <n v="83"/>
    <n v="3"/>
    <n v="3"/>
    <s v="Manufacturing Director"/>
    <n v="1"/>
    <s v="Married"/>
    <n v="10820"/>
    <n v="11535"/>
    <n v="8"/>
    <x v="1"/>
    <n v="11"/>
    <n v="3"/>
    <n v="3"/>
    <n v="1"/>
    <n v="18"/>
    <n v="1"/>
    <n v="3"/>
    <n v="8"/>
    <n v="7"/>
    <n v="0"/>
    <n v="1"/>
  </r>
  <r>
    <n v="39"/>
    <x v="0"/>
    <s v="Travel_Frequently"/>
    <n v="203"/>
    <x v="1"/>
    <n v="2"/>
    <n v="3"/>
    <s v="Life Sciences"/>
    <n v="1127"/>
    <n v="1"/>
    <x v="1"/>
    <n v="84"/>
    <n v="3"/>
    <n v="4"/>
    <s v="Healthcare Representative"/>
    <n v="4"/>
    <s v="Divorced"/>
    <n v="12169"/>
    <n v="13547"/>
    <n v="7"/>
    <x v="1"/>
    <n v="11"/>
    <n v="3"/>
    <n v="4"/>
    <n v="3"/>
    <n v="21"/>
    <n v="4"/>
    <n v="3"/>
    <n v="18"/>
    <n v="7"/>
    <n v="11"/>
    <n v="5"/>
  </r>
  <r>
    <n v="40"/>
    <x v="1"/>
    <s v="Travel_Rarely"/>
    <n v="1308"/>
    <x v="1"/>
    <n v="14"/>
    <n v="3"/>
    <s v="Medical"/>
    <n v="1128"/>
    <n v="3"/>
    <x v="1"/>
    <n v="44"/>
    <n v="2"/>
    <n v="5"/>
    <s v="Research Director"/>
    <n v="3"/>
    <s v="Single"/>
    <n v="19626"/>
    <n v="17544"/>
    <n v="1"/>
    <x v="1"/>
    <n v="14"/>
    <n v="3"/>
    <n v="1"/>
    <n v="0"/>
    <n v="21"/>
    <n v="2"/>
    <n v="4"/>
    <n v="20"/>
    <n v="7"/>
    <n v="4"/>
    <n v="9"/>
  </r>
  <r>
    <n v="21"/>
    <x v="1"/>
    <s v="Travel_Rarely"/>
    <n v="984"/>
    <x v="1"/>
    <n v="1"/>
    <n v="1"/>
    <s v="Technical Degree"/>
    <n v="1131"/>
    <n v="4"/>
    <x v="0"/>
    <n v="70"/>
    <n v="2"/>
    <n v="1"/>
    <s v="Research Scientist"/>
    <n v="2"/>
    <s v="Single"/>
    <n v="2070"/>
    <n v="25326"/>
    <n v="1"/>
    <x v="0"/>
    <n v="11"/>
    <n v="3"/>
    <n v="3"/>
    <n v="0"/>
    <n v="2"/>
    <n v="6"/>
    <n v="4"/>
    <n v="2"/>
    <n v="2"/>
    <n v="2"/>
    <n v="2"/>
  </r>
  <r>
    <n v="39"/>
    <x v="1"/>
    <s v="Non-Travel"/>
    <n v="439"/>
    <x v="1"/>
    <n v="9"/>
    <n v="3"/>
    <s v="Life Sciences"/>
    <n v="1132"/>
    <n v="3"/>
    <x v="1"/>
    <n v="70"/>
    <n v="3"/>
    <n v="2"/>
    <s v="Laboratory Technician"/>
    <n v="2"/>
    <s v="Single"/>
    <n v="6782"/>
    <n v="8770"/>
    <n v="9"/>
    <x v="1"/>
    <n v="15"/>
    <n v="3"/>
    <n v="3"/>
    <n v="0"/>
    <n v="9"/>
    <n v="2"/>
    <n v="2"/>
    <n v="5"/>
    <n v="4"/>
    <n v="0"/>
    <n v="3"/>
  </r>
  <r>
    <n v="36"/>
    <x v="1"/>
    <s v="Non-Travel"/>
    <n v="217"/>
    <x v="1"/>
    <n v="18"/>
    <n v="4"/>
    <s v="Life Sciences"/>
    <n v="1133"/>
    <n v="1"/>
    <x v="1"/>
    <n v="78"/>
    <n v="3"/>
    <n v="2"/>
    <s v="Manufacturing Director"/>
    <n v="4"/>
    <s v="Single"/>
    <n v="7779"/>
    <n v="23238"/>
    <n v="2"/>
    <x v="1"/>
    <n v="20"/>
    <n v="4"/>
    <n v="1"/>
    <n v="0"/>
    <n v="18"/>
    <n v="0"/>
    <n v="3"/>
    <n v="11"/>
    <n v="9"/>
    <n v="0"/>
    <n v="9"/>
  </r>
  <r>
    <n v="31"/>
    <x v="1"/>
    <s v="Travel_Frequently"/>
    <n v="793"/>
    <x v="0"/>
    <n v="20"/>
    <n v="3"/>
    <s v="Life Sciences"/>
    <n v="1135"/>
    <n v="3"/>
    <x v="1"/>
    <n v="67"/>
    <n v="4"/>
    <n v="1"/>
    <s v="Sales Representative"/>
    <n v="4"/>
    <s v="Married"/>
    <n v="2791"/>
    <n v="21981"/>
    <n v="0"/>
    <x v="1"/>
    <n v="12"/>
    <n v="3"/>
    <n v="1"/>
    <n v="1"/>
    <n v="3"/>
    <n v="4"/>
    <n v="3"/>
    <n v="2"/>
    <n v="2"/>
    <n v="2"/>
    <n v="2"/>
  </r>
  <r>
    <n v="28"/>
    <x v="1"/>
    <s v="Travel_Rarely"/>
    <n v="1451"/>
    <x v="1"/>
    <n v="2"/>
    <n v="1"/>
    <s v="Life Sciences"/>
    <n v="1136"/>
    <n v="1"/>
    <x v="1"/>
    <n v="67"/>
    <n v="2"/>
    <n v="1"/>
    <s v="Research Scientist"/>
    <n v="2"/>
    <s v="Married"/>
    <n v="3201"/>
    <n v="19911"/>
    <n v="0"/>
    <x v="1"/>
    <n v="17"/>
    <n v="3"/>
    <n v="1"/>
    <n v="0"/>
    <n v="6"/>
    <n v="2"/>
    <n v="1"/>
    <n v="5"/>
    <n v="3"/>
    <n v="0"/>
    <n v="4"/>
  </r>
  <r>
    <n v="35"/>
    <x v="1"/>
    <s v="Travel_Frequently"/>
    <n v="1182"/>
    <x v="0"/>
    <n v="11"/>
    <n v="2"/>
    <s v="Marketing"/>
    <n v="1137"/>
    <n v="4"/>
    <x v="1"/>
    <n v="54"/>
    <n v="3"/>
    <n v="2"/>
    <s v="Sales Executive"/>
    <n v="4"/>
    <s v="Divorced"/>
    <n v="4968"/>
    <n v="18500"/>
    <n v="1"/>
    <x v="1"/>
    <n v="11"/>
    <n v="3"/>
    <n v="4"/>
    <n v="1"/>
    <n v="5"/>
    <n v="3"/>
    <n v="3"/>
    <n v="5"/>
    <n v="2"/>
    <n v="0"/>
    <n v="2"/>
  </r>
  <r>
    <n v="49"/>
    <x v="1"/>
    <s v="Travel_Rarely"/>
    <n v="174"/>
    <x v="0"/>
    <n v="8"/>
    <n v="4"/>
    <s v="Technical Degree"/>
    <n v="1138"/>
    <n v="4"/>
    <x v="1"/>
    <n v="56"/>
    <n v="2"/>
    <n v="4"/>
    <s v="Sales Executive"/>
    <n v="2"/>
    <s v="Married"/>
    <n v="13120"/>
    <n v="11879"/>
    <n v="6"/>
    <x v="1"/>
    <n v="17"/>
    <n v="3"/>
    <n v="2"/>
    <n v="1"/>
    <n v="22"/>
    <n v="3"/>
    <n v="3"/>
    <n v="9"/>
    <n v="8"/>
    <n v="2"/>
    <n v="3"/>
  </r>
  <r>
    <n v="34"/>
    <x v="1"/>
    <s v="Travel_Frequently"/>
    <n v="1003"/>
    <x v="1"/>
    <n v="2"/>
    <n v="2"/>
    <s v="Life Sciences"/>
    <n v="1140"/>
    <n v="4"/>
    <x v="1"/>
    <n v="95"/>
    <n v="3"/>
    <n v="2"/>
    <s v="Manufacturing Director"/>
    <n v="3"/>
    <s v="Single"/>
    <n v="4033"/>
    <n v="15834"/>
    <n v="2"/>
    <x v="1"/>
    <n v="11"/>
    <n v="3"/>
    <n v="4"/>
    <n v="0"/>
    <n v="5"/>
    <n v="3"/>
    <n v="2"/>
    <n v="3"/>
    <n v="2"/>
    <n v="0"/>
    <n v="2"/>
  </r>
  <r>
    <n v="29"/>
    <x v="1"/>
    <s v="Travel_Frequently"/>
    <n v="490"/>
    <x v="1"/>
    <n v="10"/>
    <n v="3"/>
    <s v="Life Sciences"/>
    <n v="1143"/>
    <n v="4"/>
    <x v="0"/>
    <n v="61"/>
    <n v="3"/>
    <n v="1"/>
    <s v="Research Scientist"/>
    <n v="2"/>
    <s v="Divorced"/>
    <n v="3291"/>
    <n v="17940"/>
    <n v="0"/>
    <x v="1"/>
    <n v="14"/>
    <n v="3"/>
    <n v="4"/>
    <n v="2"/>
    <n v="8"/>
    <n v="2"/>
    <n v="2"/>
    <n v="7"/>
    <n v="5"/>
    <n v="1"/>
    <n v="1"/>
  </r>
  <r>
    <n v="42"/>
    <x v="1"/>
    <s v="Travel_Rarely"/>
    <n v="188"/>
    <x v="1"/>
    <n v="29"/>
    <n v="3"/>
    <s v="Medical"/>
    <n v="1148"/>
    <n v="2"/>
    <x v="1"/>
    <n v="56"/>
    <n v="1"/>
    <n v="2"/>
    <s v="Laboratory Technician"/>
    <n v="4"/>
    <s v="Single"/>
    <n v="4272"/>
    <n v="9558"/>
    <n v="4"/>
    <x v="1"/>
    <n v="19"/>
    <n v="3"/>
    <n v="1"/>
    <n v="0"/>
    <n v="16"/>
    <n v="3"/>
    <n v="3"/>
    <n v="1"/>
    <n v="0"/>
    <n v="0"/>
    <n v="0"/>
  </r>
  <r>
    <n v="29"/>
    <x v="1"/>
    <s v="Travel_Rarely"/>
    <n v="718"/>
    <x v="1"/>
    <n v="8"/>
    <n v="1"/>
    <s v="Medical"/>
    <n v="1150"/>
    <n v="2"/>
    <x v="1"/>
    <n v="79"/>
    <n v="2"/>
    <n v="2"/>
    <s v="Manufacturing Director"/>
    <n v="4"/>
    <s v="Married"/>
    <n v="5056"/>
    <n v="17689"/>
    <n v="1"/>
    <x v="0"/>
    <n v="15"/>
    <n v="3"/>
    <n v="3"/>
    <n v="1"/>
    <n v="10"/>
    <n v="2"/>
    <n v="2"/>
    <n v="10"/>
    <n v="7"/>
    <n v="1"/>
    <n v="2"/>
  </r>
  <r>
    <n v="38"/>
    <x v="1"/>
    <s v="Travel_Rarely"/>
    <n v="433"/>
    <x v="2"/>
    <n v="1"/>
    <n v="3"/>
    <s v="Human Resources"/>
    <n v="1152"/>
    <n v="3"/>
    <x v="1"/>
    <n v="37"/>
    <n v="4"/>
    <n v="1"/>
    <s v="Human Resources"/>
    <n v="3"/>
    <s v="Married"/>
    <n v="2844"/>
    <n v="6004"/>
    <n v="1"/>
    <x v="1"/>
    <n v="13"/>
    <n v="3"/>
    <n v="4"/>
    <n v="1"/>
    <n v="7"/>
    <n v="2"/>
    <n v="4"/>
    <n v="7"/>
    <n v="6"/>
    <n v="5"/>
    <n v="0"/>
  </r>
  <r>
    <n v="28"/>
    <x v="1"/>
    <s v="Travel_Frequently"/>
    <n v="773"/>
    <x v="1"/>
    <n v="6"/>
    <n v="3"/>
    <s v="Life Sciences"/>
    <n v="1154"/>
    <n v="3"/>
    <x v="1"/>
    <n v="39"/>
    <n v="2"/>
    <n v="1"/>
    <s v="Research Scientist"/>
    <n v="3"/>
    <s v="Divorced"/>
    <n v="2703"/>
    <n v="22088"/>
    <n v="1"/>
    <x v="0"/>
    <n v="14"/>
    <n v="3"/>
    <n v="4"/>
    <n v="1"/>
    <n v="3"/>
    <n v="2"/>
    <n v="3"/>
    <n v="3"/>
    <n v="1"/>
    <n v="0"/>
    <n v="2"/>
  </r>
  <r>
    <n v="18"/>
    <x v="0"/>
    <s v="Non-Travel"/>
    <n v="247"/>
    <x v="1"/>
    <n v="8"/>
    <n v="1"/>
    <s v="Medical"/>
    <n v="1156"/>
    <n v="3"/>
    <x v="1"/>
    <n v="80"/>
    <n v="3"/>
    <n v="1"/>
    <s v="Laboratory Technician"/>
    <n v="3"/>
    <s v="Single"/>
    <n v="1904"/>
    <n v="13556"/>
    <n v="1"/>
    <x v="1"/>
    <n v="12"/>
    <n v="3"/>
    <n v="4"/>
    <n v="0"/>
    <n v="0"/>
    <n v="0"/>
    <n v="3"/>
    <n v="0"/>
    <n v="0"/>
    <n v="0"/>
    <n v="0"/>
  </r>
  <r>
    <n v="33"/>
    <x v="0"/>
    <s v="Travel_Rarely"/>
    <n v="603"/>
    <x v="0"/>
    <n v="9"/>
    <n v="4"/>
    <s v="Marketing"/>
    <n v="1157"/>
    <n v="1"/>
    <x v="0"/>
    <n v="77"/>
    <n v="3"/>
    <n v="2"/>
    <s v="Sales Executive"/>
    <n v="1"/>
    <s v="Single"/>
    <n v="8224"/>
    <n v="18385"/>
    <n v="0"/>
    <x v="0"/>
    <n v="17"/>
    <n v="3"/>
    <n v="1"/>
    <n v="0"/>
    <n v="6"/>
    <n v="3"/>
    <n v="3"/>
    <n v="5"/>
    <n v="2"/>
    <n v="0"/>
    <n v="3"/>
  </r>
  <r>
    <n v="41"/>
    <x v="1"/>
    <s v="Travel_Rarely"/>
    <n v="167"/>
    <x v="1"/>
    <n v="12"/>
    <n v="4"/>
    <s v="Life Sciences"/>
    <n v="1158"/>
    <n v="2"/>
    <x v="1"/>
    <n v="46"/>
    <n v="3"/>
    <n v="1"/>
    <s v="Laboratory Technician"/>
    <n v="4"/>
    <s v="Married"/>
    <n v="4766"/>
    <n v="9051"/>
    <n v="3"/>
    <x v="0"/>
    <n v="11"/>
    <n v="3"/>
    <n v="1"/>
    <n v="1"/>
    <n v="6"/>
    <n v="4"/>
    <n v="3"/>
    <n v="1"/>
    <n v="0"/>
    <n v="0"/>
    <n v="0"/>
  </r>
  <r>
    <n v="31"/>
    <x v="0"/>
    <s v="Travel_Frequently"/>
    <n v="874"/>
    <x v="1"/>
    <n v="15"/>
    <n v="3"/>
    <s v="Medical"/>
    <n v="1160"/>
    <n v="3"/>
    <x v="1"/>
    <n v="72"/>
    <n v="3"/>
    <n v="1"/>
    <s v="Laboratory Technician"/>
    <n v="3"/>
    <s v="Married"/>
    <n v="2610"/>
    <n v="6233"/>
    <n v="1"/>
    <x v="1"/>
    <n v="12"/>
    <n v="3"/>
    <n v="3"/>
    <n v="1"/>
    <n v="2"/>
    <n v="5"/>
    <n v="2"/>
    <n v="2"/>
    <n v="2"/>
    <n v="2"/>
    <n v="2"/>
  </r>
  <r>
    <n v="37"/>
    <x v="1"/>
    <s v="Travel_Rarely"/>
    <n v="367"/>
    <x v="1"/>
    <n v="25"/>
    <n v="2"/>
    <s v="Medical"/>
    <n v="1161"/>
    <n v="3"/>
    <x v="0"/>
    <n v="52"/>
    <n v="2"/>
    <n v="2"/>
    <s v="Healthcare Representative"/>
    <n v="4"/>
    <s v="Divorced"/>
    <n v="5731"/>
    <n v="17171"/>
    <n v="7"/>
    <x v="1"/>
    <n v="13"/>
    <n v="3"/>
    <n v="3"/>
    <n v="2"/>
    <n v="9"/>
    <n v="2"/>
    <n v="3"/>
    <n v="6"/>
    <n v="2"/>
    <n v="1"/>
    <n v="3"/>
  </r>
  <r>
    <n v="27"/>
    <x v="1"/>
    <s v="Travel_Rarely"/>
    <n v="199"/>
    <x v="1"/>
    <n v="6"/>
    <n v="3"/>
    <s v="Life Sciences"/>
    <n v="1162"/>
    <n v="4"/>
    <x v="1"/>
    <n v="55"/>
    <n v="2"/>
    <n v="1"/>
    <s v="Research Scientist"/>
    <n v="3"/>
    <s v="Married"/>
    <n v="2539"/>
    <n v="7950"/>
    <n v="1"/>
    <x v="1"/>
    <n v="13"/>
    <n v="3"/>
    <n v="3"/>
    <n v="1"/>
    <n v="4"/>
    <n v="0"/>
    <n v="3"/>
    <n v="4"/>
    <n v="2"/>
    <n v="2"/>
    <n v="2"/>
  </r>
  <r>
    <n v="34"/>
    <x v="1"/>
    <s v="Travel_Rarely"/>
    <n v="1400"/>
    <x v="0"/>
    <n v="9"/>
    <n v="1"/>
    <s v="Life Sciences"/>
    <n v="1163"/>
    <n v="2"/>
    <x v="0"/>
    <n v="70"/>
    <n v="3"/>
    <n v="2"/>
    <s v="Sales Executive"/>
    <n v="3"/>
    <s v="Married"/>
    <n v="5714"/>
    <n v="5829"/>
    <n v="1"/>
    <x v="1"/>
    <n v="20"/>
    <n v="4"/>
    <n v="1"/>
    <n v="0"/>
    <n v="6"/>
    <n v="3"/>
    <n v="2"/>
    <n v="6"/>
    <n v="5"/>
    <n v="1"/>
    <n v="3"/>
  </r>
  <r>
    <n v="35"/>
    <x v="1"/>
    <s v="Travel_Rarely"/>
    <n v="528"/>
    <x v="2"/>
    <n v="8"/>
    <n v="4"/>
    <s v="Technical Degree"/>
    <n v="1164"/>
    <n v="3"/>
    <x v="1"/>
    <n v="100"/>
    <n v="3"/>
    <n v="1"/>
    <s v="Human Resources"/>
    <n v="3"/>
    <s v="Single"/>
    <n v="4323"/>
    <n v="7108"/>
    <n v="1"/>
    <x v="1"/>
    <n v="17"/>
    <n v="3"/>
    <n v="2"/>
    <n v="0"/>
    <n v="6"/>
    <n v="2"/>
    <n v="1"/>
    <n v="5"/>
    <n v="4"/>
    <n v="1"/>
    <n v="4"/>
  </r>
  <r>
    <n v="29"/>
    <x v="0"/>
    <s v="Travel_Rarely"/>
    <n v="408"/>
    <x v="0"/>
    <n v="23"/>
    <n v="1"/>
    <s v="Life Sciences"/>
    <n v="1165"/>
    <n v="4"/>
    <x v="0"/>
    <n v="45"/>
    <n v="2"/>
    <n v="3"/>
    <s v="Sales Executive"/>
    <n v="1"/>
    <s v="Married"/>
    <n v="7336"/>
    <n v="11162"/>
    <n v="1"/>
    <x v="1"/>
    <n v="13"/>
    <n v="3"/>
    <n v="1"/>
    <n v="1"/>
    <n v="11"/>
    <n v="3"/>
    <n v="1"/>
    <n v="11"/>
    <n v="8"/>
    <n v="3"/>
    <n v="10"/>
  </r>
  <r>
    <n v="40"/>
    <x v="1"/>
    <s v="Travel_Frequently"/>
    <n v="593"/>
    <x v="1"/>
    <n v="9"/>
    <n v="4"/>
    <s v="Medical"/>
    <n v="1166"/>
    <n v="2"/>
    <x v="0"/>
    <n v="88"/>
    <n v="3"/>
    <n v="3"/>
    <s v="Research Director"/>
    <n v="3"/>
    <s v="Single"/>
    <n v="13499"/>
    <n v="13782"/>
    <n v="9"/>
    <x v="1"/>
    <n v="17"/>
    <n v="3"/>
    <n v="3"/>
    <n v="0"/>
    <n v="20"/>
    <n v="3"/>
    <n v="2"/>
    <n v="18"/>
    <n v="7"/>
    <n v="2"/>
    <n v="13"/>
  </r>
  <r>
    <n v="42"/>
    <x v="0"/>
    <s v="Travel_Frequently"/>
    <n v="481"/>
    <x v="0"/>
    <n v="12"/>
    <n v="3"/>
    <s v="Life Sciences"/>
    <n v="1167"/>
    <n v="3"/>
    <x v="1"/>
    <n v="44"/>
    <n v="3"/>
    <n v="4"/>
    <s v="Sales Executive"/>
    <n v="1"/>
    <s v="Single"/>
    <n v="13758"/>
    <n v="2447"/>
    <n v="0"/>
    <x v="0"/>
    <n v="12"/>
    <n v="3"/>
    <n v="2"/>
    <n v="0"/>
    <n v="22"/>
    <n v="2"/>
    <n v="2"/>
    <n v="21"/>
    <n v="9"/>
    <n v="13"/>
    <n v="14"/>
  </r>
  <r>
    <n v="42"/>
    <x v="1"/>
    <s v="Travel_Rarely"/>
    <n v="647"/>
    <x v="0"/>
    <n v="4"/>
    <n v="4"/>
    <s v="Marketing"/>
    <n v="1171"/>
    <n v="2"/>
    <x v="1"/>
    <n v="45"/>
    <n v="3"/>
    <n v="2"/>
    <s v="Sales Executive"/>
    <n v="1"/>
    <s v="Single"/>
    <n v="5155"/>
    <n v="2253"/>
    <n v="7"/>
    <x v="1"/>
    <n v="13"/>
    <n v="3"/>
    <n v="4"/>
    <n v="0"/>
    <n v="9"/>
    <n v="3"/>
    <n v="4"/>
    <n v="6"/>
    <n v="4"/>
    <n v="1"/>
    <n v="5"/>
  </r>
  <r>
    <n v="35"/>
    <x v="1"/>
    <s v="Travel_Rarely"/>
    <n v="982"/>
    <x v="1"/>
    <n v="1"/>
    <n v="4"/>
    <s v="Medical"/>
    <n v="1172"/>
    <n v="4"/>
    <x v="1"/>
    <n v="58"/>
    <n v="2"/>
    <n v="1"/>
    <s v="Laboratory Technician"/>
    <n v="3"/>
    <s v="Married"/>
    <n v="2258"/>
    <n v="16340"/>
    <n v="6"/>
    <x v="1"/>
    <n v="12"/>
    <n v="3"/>
    <n v="2"/>
    <n v="1"/>
    <n v="10"/>
    <n v="2"/>
    <n v="3"/>
    <n v="8"/>
    <n v="0"/>
    <n v="1"/>
    <n v="7"/>
  </r>
  <r>
    <n v="24"/>
    <x v="1"/>
    <s v="Travel_Rarely"/>
    <n v="477"/>
    <x v="1"/>
    <n v="24"/>
    <n v="3"/>
    <s v="Medical"/>
    <n v="1173"/>
    <n v="4"/>
    <x v="1"/>
    <n v="49"/>
    <n v="3"/>
    <n v="1"/>
    <s v="Laboratory Technician"/>
    <n v="2"/>
    <s v="Single"/>
    <n v="3597"/>
    <n v="6409"/>
    <n v="8"/>
    <x v="1"/>
    <n v="22"/>
    <n v="4"/>
    <n v="4"/>
    <n v="0"/>
    <n v="6"/>
    <n v="2"/>
    <n v="3"/>
    <n v="4"/>
    <n v="3"/>
    <n v="1"/>
    <n v="2"/>
  </r>
  <r>
    <n v="28"/>
    <x v="0"/>
    <s v="Travel_Rarely"/>
    <n v="1485"/>
    <x v="1"/>
    <n v="12"/>
    <n v="1"/>
    <s v="Life Sciences"/>
    <n v="1175"/>
    <n v="3"/>
    <x v="0"/>
    <n v="79"/>
    <n v="3"/>
    <n v="1"/>
    <s v="Laboratory Technician"/>
    <n v="4"/>
    <s v="Married"/>
    <n v="2515"/>
    <n v="22955"/>
    <n v="1"/>
    <x v="0"/>
    <n v="11"/>
    <n v="3"/>
    <n v="4"/>
    <n v="0"/>
    <n v="1"/>
    <n v="4"/>
    <n v="2"/>
    <n v="1"/>
    <n v="1"/>
    <n v="0"/>
    <n v="0"/>
  </r>
  <r>
    <n v="26"/>
    <x v="1"/>
    <s v="Travel_Rarely"/>
    <n v="1384"/>
    <x v="1"/>
    <n v="3"/>
    <n v="4"/>
    <s v="Medical"/>
    <n v="1177"/>
    <n v="1"/>
    <x v="1"/>
    <n v="82"/>
    <n v="4"/>
    <n v="1"/>
    <s v="Laboratory Technician"/>
    <n v="4"/>
    <s v="Married"/>
    <n v="4420"/>
    <n v="13421"/>
    <n v="1"/>
    <x v="1"/>
    <n v="22"/>
    <n v="4"/>
    <n v="2"/>
    <n v="1"/>
    <n v="8"/>
    <n v="2"/>
    <n v="3"/>
    <n v="8"/>
    <n v="7"/>
    <n v="0"/>
    <n v="7"/>
  </r>
  <r>
    <n v="30"/>
    <x v="1"/>
    <s v="Travel_Rarely"/>
    <n v="852"/>
    <x v="0"/>
    <n v="10"/>
    <n v="3"/>
    <s v="Marketing"/>
    <n v="1179"/>
    <n v="3"/>
    <x v="1"/>
    <n v="72"/>
    <n v="2"/>
    <n v="2"/>
    <s v="Sales Executive"/>
    <n v="3"/>
    <s v="Married"/>
    <n v="6578"/>
    <n v="2706"/>
    <n v="1"/>
    <x v="1"/>
    <n v="18"/>
    <n v="3"/>
    <n v="1"/>
    <n v="1"/>
    <n v="10"/>
    <n v="3"/>
    <n v="3"/>
    <n v="10"/>
    <n v="3"/>
    <n v="1"/>
    <n v="4"/>
  </r>
  <r>
    <n v="40"/>
    <x v="1"/>
    <s v="Travel_Frequently"/>
    <n v="902"/>
    <x v="1"/>
    <n v="26"/>
    <n v="2"/>
    <s v="Medical"/>
    <n v="1180"/>
    <n v="3"/>
    <x v="0"/>
    <n v="92"/>
    <n v="2"/>
    <n v="2"/>
    <s v="Research Scientist"/>
    <n v="4"/>
    <s v="Married"/>
    <n v="4422"/>
    <n v="21203"/>
    <n v="3"/>
    <x v="0"/>
    <n v="13"/>
    <n v="3"/>
    <n v="4"/>
    <n v="1"/>
    <n v="16"/>
    <n v="3"/>
    <n v="1"/>
    <n v="1"/>
    <n v="1"/>
    <n v="0"/>
    <n v="0"/>
  </r>
  <r>
    <n v="35"/>
    <x v="1"/>
    <s v="Travel_Rarely"/>
    <n v="819"/>
    <x v="1"/>
    <n v="2"/>
    <n v="3"/>
    <s v="Life Sciences"/>
    <n v="1182"/>
    <n v="3"/>
    <x v="1"/>
    <n v="44"/>
    <n v="2"/>
    <n v="3"/>
    <s v="Manufacturing Director"/>
    <n v="2"/>
    <s v="Divorced"/>
    <n v="10274"/>
    <n v="19588"/>
    <n v="2"/>
    <x v="1"/>
    <n v="18"/>
    <n v="3"/>
    <n v="2"/>
    <n v="1"/>
    <n v="15"/>
    <n v="2"/>
    <n v="4"/>
    <n v="7"/>
    <n v="7"/>
    <n v="6"/>
    <n v="4"/>
  </r>
  <r>
    <n v="34"/>
    <x v="1"/>
    <s v="Travel_Frequently"/>
    <n v="669"/>
    <x v="1"/>
    <n v="1"/>
    <n v="3"/>
    <s v="Medical"/>
    <n v="1184"/>
    <n v="4"/>
    <x v="1"/>
    <n v="97"/>
    <n v="2"/>
    <n v="2"/>
    <s v="Healthcare Representative"/>
    <n v="1"/>
    <s v="Single"/>
    <n v="5343"/>
    <n v="25755"/>
    <n v="0"/>
    <x v="1"/>
    <n v="20"/>
    <n v="4"/>
    <n v="3"/>
    <n v="0"/>
    <n v="14"/>
    <n v="3"/>
    <n v="3"/>
    <n v="13"/>
    <n v="9"/>
    <n v="4"/>
    <n v="9"/>
  </r>
  <r>
    <n v="35"/>
    <x v="1"/>
    <s v="Travel_Frequently"/>
    <n v="636"/>
    <x v="1"/>
    <n v="4"/>
    <n v="4"/>
    <s v="Other"/>
    <n v="1185"/>
    <n v="4"/>
    <x v="1"/>
    <n v="47"/>
    <n v="2"/>
    <n v="1"/>
    <s v="Laboratory Technician"/>
    <n v="4"/>
    <s v="Married"/>
    <n v="2376"/>
    <n v="26537"/>
    <n v="1"/>
    <x v="1"/>
    <n v="13"/>
    <n v="3"/>
    <n v="2"/>
    <n v="1"/>
    <n v="2"/>
    <n v="2"/>
    <n v="4"/>
    <n v="2"/>
    <n v="2"/>
    <n v="2"/>
    <n v="2"/>
  </r>
  <r>
    <n v="43"/>
    <x v="0"/>
    <s v="Travel_Rarely"/>
    <n v="1372"/>
    <x v="0"/>
    <n v="9"/>
    <n v="3"/>
    <s v="Marketing"/>
    <n v="1188"/>
    <n v="1"/>
    <x v="0"/>
    <n v="85"/>
    <n v="1"/>
    <n v="2"/>
    <s v="Sales Executive"/>
    <n v="3"/>
    <s v="Single"/>
    <n v="5346"/>
    <n v="9489"/>
    <n v="8"/>
    <x v="1"/>
    <n v="13"/>
    <n v="3"/>
    <n v="2"/>
    <n v="0"/>
    <n v="7"/>
    <n v="2"/>
    <n v="2"/>
    <n v="4"/>
    <n v="3"/>
    <n v="1"/>
    <n v="3"/>
  </r>
  <r>
    <n v="32"/>
    <x v="1"/>
    <s v="Non-Travel"/>
    <n v="862"/>
    <x v="0"/>
    <n v="2"/>
    <n v="1"/>
    <s v="Life Sciences"/>
    <n v="1190"/>
    <n v="3"/>
    <x v="0"/>
    <n v="76"/>
    <n v="3"/>
    <n v="1"/>
    <s v="Sales Representative"/>
    <n v="1"/>
    <s v="Divorced"/>
    <n v="2827"/>
    <n v="14947"/>
    <n v="1"/>
    <x v="1"/>
    <n v="12"/>
    <n v="3"/>
    <n v="3"/>
    <n v="3"/>
    <n v="1"/>
    <n v="3"/>
    <n v="3"/>
    <n v="1"/>
    <n v="0"/>
    <n v="0"/>
    <n v="0"/>
  </r>
  <r>
    <n v="56"/>
    <x v="1"/>
    <s v="Travel_Rarely"/>
    <n v="718"/>
    <x v="1"/>
    <n v="4"/>
    <n v="4"/>
    <s v="Technical Degree"/>
    <n v="1191"/>
    <n v="4"/>
    <x v="0"/>
    <n v="92"/>
    <n v="3"/>
    <n v="5"/>
    <s v="Manager"/>
    <n v="1"/>
    <s v="Divorced"/>
    <n v="19943"/>
    <n v="18575"/>
    <n v="4"/>
    <x v="1"/>
    <n v="13"/>
    <n v="3"/>
    <n v="4"/>
    <n v="1"/>
    <n v="28"/>
    <n v="2"/>
    <n v="3"/>
    <n v="5"/>
    <n v="2"/>
    <n v="4"/>
    <n v="2"/>
  </r>
  <r>
    <n v="29"/>
    <x v="1"/>
    <s v="Travel_Rarely"/>
    <n v="1401"/>
    <x v="1"/>
    <n v="6"/>
    <n v="1"/>
    <s v="Medical"/>
    <n v="1192"/>
    <n v="2"/>
    <x v="0"/>
    <n v="54"/>
    <n v="3"/>
    <n v="1"/>
    <s v="Laboratory Technician"/>
    <n v="4"/>
    <s v="Married"/>
    <n v="3131"/>
    <n v="26342"/>
    <n v="1"/>
    <x v="1"/>
    <n v="13"/>
    <n v="3"/>
    <n v="1"/>
    <n v="1"/>
    <n v="10"/>
    <n v="5"/>
    <n v="3"/>
    <n v="10"/>
    <n v="8"/>
    <n v="0"/>
    <n v="8"/>
  </r>
  <r>
    <n v="19"/>
    <x v="1"/>
    <s v="Travel_Rarely"/>
    <n v="645"/>
    <x v="1"/>
    <n v="9"/>
    <n v="2"/>
    <s v="Life Sciences"/>
    <n v="1193"/>
    <n v="3"/>
    <x v="1"/>
    <n v="54"/>
    <n v="3"/>
    <n v="1"/>
    <s v="Research Scientist"/>
    <n v="1"/>
    <s v="Single"/>
    <n v="2552"/>
    <n v="7172"/>
    <n v="1"/>
    <x v="1"/>
    <n v="25"/>
    <n v="4"/>
    <n v="3"/>
    <n v="0"/>
    <n v="1"/>
    <n v="4"/>
    <n v="3"/>
    <n v="1"/>
    <n v="1"/>
    <n v="0"/>
    <n v="0"/>
  </r>
  <r>
    <n v="45"/>
    <x v="1"/>
    <s v="Travel_Rarely"/>
    <n v="1457"/>
    <x v="1"/>
    <n v="7"/>
    <n v="3"/>
    <s v="Medical"/>
    <n v="1195"/>
    <n v="1"/>
    <x v="0"/>
    <n v="83"/>
    <n v="3"/>
    <n v="1"/>
    <s v="Research Scientist"/>
    <n v="3"/>
    <s v="Married"/>
    <n v="4477"/>
    <n v="20100"/>
    <n v="4"/>
    <x v="0"/>
    <n v="19"/>
    <n v="3"/>
    <n v="3"/>
    <n v="1"/>
    <n v="7"/>
    <n v="2"/>
    <n v="2"/>
    <n v="3"/>
    <n v="2"/>
    <n v="0"/>
    <n v="2"/>
  </r>
  <r>
    <n v="37"/>
    <x v="1"/>
    <s v="Travel_Rarely"/>
    <n v="977"/>
    <x v="1"/>
    <n v="1"/>
    <n v="3"/>
    <s v="Life Sciences"/>
    <n v="1196"/>
    <n v="4"/>
    <x v="0"/>
    <n v="56"/>
    <n v="2"/>
    <n v="2"/>
    <s v="Manufacturing Director"/>
    <n v="4"/>
    <s v="Married"/>
    <n v="6474"/>
    <n v="9961"/>
    <n v="1"/>
    <x v="1"/>
    <n v="13"/>
    <n v="3"/>
    <n v="2"/>
    <n v="1"/>
    <n v="14"/>
    <n v="2"/>
    <n v="2"/>
    <n v="14"/>
    <n v="8"/>
    <n v="3"/>
    <n v="11"/>
  </r>
  <r>
    <n v="20"/>
    <x v="1"/>
    <s v="Travel_Rarely"/>
    <n v="805"/>
    <x v="1"/>
    <n v="3"/>
    <n v="3"/>
    <s v="Life Sciences"/>
    <n v="1198"/>
    <n v="1"/>
    <x v="1"/>
    <n v="87"/>
    <n v="2"/>
    <n v="1"/>
    <s v="Laboratory Technician"/>
    <n v="3"/>
    <s v="Single"/>
    <n v="3033"/>
    <n v="12828"/>
    <n v="1"/>
    <x v="1"/>
    <n v="12"/>
    <n v="3"/>
    <n v="1"/>
    <n v="0"/>
    <n v="2"/>
    <n v="2"/>
    <n v="2"/>
    <n v="2"/>
    <n v="2"/>
    <n v="1"/>
    <n v="2"/>
  </r>
  <r>
    <n v="44"/>
    <x v="0"/>
    <s v="Travel_Rarely"/>
    <n v="1097"/>
    <x v="1"/>
    <n v="10"/>
    <n v="4"/>
    <s v="Life Sciences"/>
    <n v="1200"/>
    <n v="3"/>
    <x v="1"/>
    <n v="96"/>
    <n v="3"/>
    <n v="1"/>
    <s v="Research Scientist"/>
    <n v="3"/>
    <s v="Single"/>
    <n v="2936"/>
    <n v="10826"/>
    <n v="1"/>
    <x v="0"/>
    <n v="11"/>
    <n v="3"/>
    <n v="3"/>
    <n v="0"/>
    <n v="6"/>
    <n v="4"/>
    <n v="3"/>
    <n v="6"/>
    <n v="4"/>
    <n v="0"/>
    <n v="2"/>
  </r>
  <r>
    <n v="53"/>
    <x v="1"/>
    <s v="Travel_Rarely"/>
    <n v="1223"/>
    <x v="1"/>
    <n v="7"/>
    <n v="2"/>
    <s v="Medical"/>
    <n v="1201"/>
    <n v="4"/>
    <x v="0"/>
    <n v="50"/>
    <n v="3"/>
    <n v="5"/>
    <s v="Manager"/>
    <n v="3"/>
    <s v="Divorced"/>
    <n v="18606"/>
    <n v="18640"/>
    <n v="3"/>
    <x v="1"/>
    <n v="18"/>
    <n v="3"/>
    <n v="2"/>
    <n v="1"/>
    <n v="26"/>
    <n v="6"/>
    <n v="3"/>
    <n v="7"/>
    <n v="7"/>
    <n v="4"/>
    <n v="7"/>
  </r>
  <r>
    <n v="29"/>
    <x v="1"/>
    <s v="Travel_Rarely"/>
    <n v="942"/>
    <x v="1"/>
    <n v="15"/>
    <n v="1"/>
    <s v="Life Sciences"/>
    <n v="1202"/>
    <n v="2"/>
    <x v="0"/>
    <n v="69"/>
    <n v="1"/>
    <n v="1"/>
    <s v="Research Scientist"/>
    <n v="4"/>
    <s v="Married"/>
    <n v="2168"/>
    <n v="26933"/>
    <n v="0"/>
    <x v="0"/>
    <n v="18"/>
    <n v="3"/>
    <n v="1"/>
    <n v="1"/>
    <n v="6"/>
    <n v="2"/>
    <n v="2"/>
    <n v="5"/>
    <n v="4"/>
    <n v="1"/>
    <n v="3"/>
  </r>
  <r>
    <n v="22"/>
    <x v="0"/>
    <s v="Travel_Frequently"/>
    <n v="1256"/>
    <x v="1"/>
    <n v="3"/>
    <n v="4"/>
    <s v="Life Sciences"/>
    <n v="1203"/>
    <n v="3"/>
    <x v="1"/>
    <n v="48"/>
    <n v="2"/>
    <n v="1"/>
    <s v="Research Scientist"/>
    <n v="4"/>
    <s v="Married"/>
    <n v="2853"/>
    <n v="4223"/>
    <n v="0"/>
    <x v="0"/>
    <n v="11"/>
    <n v="3"/>
    <n v="2"/>
    <n v="1"/>
    <n v="1"/>
    <n v="5"/>
    <n v="3"/>
    <n v="0"/>
    <n v="0"/>
    <n v="0"/>
    <n v="0"/>
  </r>
  <r>
    <n v="46"/>
    <x v="1"/>
    <s v="Travel_Rarely"/>
    <n v="1402"/>
    <x v="0"/>
    <n v="2"/>
    <n v="3"/>
    <s v="Marketing"/>
    <n v="1204"/>
    <n v="3"/>
    <x v="0"/>
    <n v="69"/>
    <n v="3"/>
    <n v="4"/>
    <s v="Manager"/>
    <n v="1"/>
    <s v="Married"/>
    <n v="17048"/>
    <n v="24097"/>
    <n v="8"/>
    <x v="1"/>
    <n v="23"/>
    <n v="4"/>
    <n v="1"/>
    <n v="0"/>
    <n v="28"/>
    <n v="2"/>
    <n v="3"/>
    <n v="26"/>
    <n v="15"/>
    <n v="15"/>
    <n v="9"/>
  </r>
  <r>
    <n v="44"/>
    <x v="1"/>
    <s v="Non-Travel"/>
    <n v="111"/>
    <x v="1"/>
    <n v="17"/>
    <n v="3"/>
    <s v="Life Sciences"/>
    <n v="1206"/>
    <n v="4"/>
    <x v="1"/>
    <n v="74"/>
    <n v="1"/>
    <n v="1"/>
    <s v="Research Scientist"/>
    <n v="3"/>
    <s v="Single"/>
    <n v="2290"/>
    <n v="4279"/>
    <n v="2"/>
    <x v="1"/>
    <n v="13"/>
    <n v="3"/>
    <n v="4"/>
    <n v="0"/>
    <n v="6"/>
    <n v="3"/>
    <n v="3"/>
    <n v="0"/>
    <n v="0"/>
    <n v="0"/>
    <n v="0"/>
  </r>
  <r>
    <n v="33"/>
    <x v="1"/>
    <s v="Travel_Rarely"/>
    <n v="147"/>
    <x v="2"/>
    <n v="2"/>
    <n v="3"/>
    <s v="Human Resources"/>
    <n v="1207"/>
    <n v="2"/>
    <x v="1"/>
    <n v="99"/>
    <n v="3"/>
    <n v="1"/>
    <s v="Human Resources"/>
    <n v="3"/>
    <s v="Married"/>
    <n v="3600"/>
    <n v="8429"/>
    <n v="1"/>
    <x v="1"/>
    <n v="13"/>
    <n v="3"/>
    <n v="4"/>
    <n v="1"/>
    <n v="5"/>
    <n v="2"/>
    <n v="3"/>
    <n v="5"/>
    <n v="4"/>
    <n v="1"/>
    <n v="4"/>
  </r>
  <r>
    <n v="41"/>
    <x v="0"/>
    <s v="Non-Travel"/>
    <n v="906"/>
    <x v="1"/>
    <n v="5"/>
    <n v="2"/>
    <s v="Life Sciences"/>
    <n v="1210"/>
    <n v="1"/>
    <x v="1"/>
    <n v="95"/>
    <n v="2"/>
    <n v="1"/>
    <s v="Research Scientist"/>
    <n v="1"/>
    <s v="Divorced"/>
    <n v="2107"/>
    <n v="20293"/>
    <n v="6"/>
    <x v="1"/>
    <n v="17"/>
    <n v="3"/>
    <n v="1"/>
    <n v="1"/>
    <n v="5"/>
    <n v="2"/>
    <n v="1"/>
    <n v="1"/>
    <n v="0"/>
    <n v="0"/>
    <n v="0"/>
  </r>
  <r>
    <n v="30"/>
    <x v="1"/>
    <s v="Travel_Rarely"/>
    <n v="1329"/>
    <x v="0"/>
    <n v="29"/>
    <n v="4"/>
    <s v="Life Sciences"/>
    <n v="1211"/>
    <n v="3"/>
    <x v="1"/>
    <n v="61"/>
    <n v="3"/>
    <n v="2"/>
    <s v="Sales Executive"/>
    <n v="1"/>
    <s v="Divorced"/>
    <n v="4115"/>
    <n v="13192"/>
    <n v="8"/>
    <x v="1"/>
    <n v="19"/>
    <n v="3"/>
    <n v="3"/>
    <n v="3"/>
    <n v="8"/>
    <n v="3"/>
    <n v="3"/>
    <n v="4"/>
    <n v="3"/>
    <n v="0"/>
    <n v="3"/>
  </r>
  <r>
    <n v="40"/>
    <x v="1"/>
    <s v="Travel_Frequently"/>
    <n v="1184"/>
    <x v="0"/>
    <n v="2"/>
    <n v="4"/>
    <s v="Medical"/>
    <n v="1212"/>
    <n v="2"/>
    <x v="1"/>
    <n v="62"/>
    <n v="3"/>
    <n v="2"/>
    <s v="Sales Executive"/>
    <n v="2"/>
    <s v="Married"/>
    <n v="4327"/>
    <n v="25440"/>
    <n v="5"/>
    <x v="1"/>
    <n v="12"/>
    <n v="3"/>
    <n v="4"/>
    <n v="3"/>
    <n v="5"/>
    <n v="2"/>
    <n v="3"/>
    <n v="0"/>
    <n v="0"/>
    <n v="0"/>
    <n v="0"/>
  </r>
  <r>
    <n v="50"/>
    <x v="1"/>
    <s v="Travel_Frequently"/>
    <n v="1421"/>
    <x v="1"/>
    <n v="2"/>
    <n v="3"/>
    <s v="Medical"/>
    <n v="1215"/>
    <n v="4"/>
    <x v="0"/>
    <n v="30"/>
    <n v="3"/>
    <n v="4"/>
    <s v="Manager"/>
    <n v="1"/>
    <s v="Married"/>
    <n v="17856"/>
    <n v="9490"/>
    <n v="2"/>
    <x v="1"/>
    <n v="22"/>
    <n v="4"/>
    <n v="3"/>
    <n v="1"/>
    <n v="32"/>
    <n v="3"/>
    <n v="3"/>
    <n v="2"/>
    <n v="2"/>
    <n v="2"/>
    <n v="2"/>
  </r>
  <r>
    <n v="28"/>
    <x v="1"/>
    <s v="Travel_Rarely"/>
    <n v="1179"/>
    <x v="1"/>
    <n v="19"/>
    <n v="4"/>
    <s v="Medical"/>
    <n v="1216"/>
    <n v="4"/>
    <x v="1"/>
    <n v="78"/>
    <n v="2"/>
    <n v="1"/>
    <s v="Laboratory Technician"/>
    <n v="1"/>
    <s v="Married"/>
    <n v="3196"/>
    <n v="12449"/>
    <n v="1"/>
    <x v="1"/>
    <n v="12"/>
    <n v="3"/>
    <n v="3"/>
    <n v="3"/>
    <n v="6"/>
    <n v="2"/>
    <n v="3"/>
    <n v="6"/>
    <n v="5"/>
    <n v="3"/>
    <n v="3"/>
  </r>
  <r>
    <n v="46"/>
    <x v="1"/>
    <s v="Travel_Rarely"/>
    <n v="1450"/>
    <x v="1"/>
    <n v="15"/>
    <n v="2"/>
    <s v="Life Sciences"/>
    <n v="1217"/>
    <n v="4"/>
    <x v="1"/>
    <n v="52"/>
    <n v="3"/>
    <n v="5"/>
    <s v="Research Director"/>
    <n v="2"/>
    <s v="Married"/>
    <n v="19081"/>
    <n v="10849"/>
    <n v="5"/>
    <x v="1"/>
    <n v="11"/>
    <n v="3"/>
    <n v="1"/>
    <n v="1"/>
    <n v="25"/>
    <n v="2"/>
    <n v="3"/>
    <n v="4"/>
    <n v="2"/>
    <n v="0"/>
    <n v="3"/>
  </r>
  <r>
    <n v="35"/>
    <x v="1"/>
    <s v="Travel_Rarely"/>
    <n v="1361"/>
    <x v="0"/>
    <n v="17"/>
    <n v="4"/>
    <s v="Life Sciences"/>
    <n v="1218"/>
    <n v="3"/>
    <x v="1"/>
    <n v="94"/>
    <n v="3"/>
    <n v="2"/>
    <s v="Sales Executive"/>
    <n v="1"/>
    <s v="Married"/>
    <n v="8966"/>
    <n v="21026"/>
    <n v="3"/>
    <x v="0"/>
    <n v="15"/>
    <n v="3"/>
    <n v="4"/>
    <n v="3"/>
    <n v="15"/>
    <n v="2"/>
    <n v="3"/>
    <n v="7"/>
    <n v="7"/>
    <n v="1"/>
    <n v="7"/>
  </r>
  <r>
    <n v="24"/>
    <x v="0"/>
    <s v="Travel_Rarely"/>
    <n v="984"/>
    <x v="1"/>
    <n v="17"/>
    <n v="2"/>
    <s v="Life Sciences"/>
    <n v="1219"/>
    <n v="4"/>
    <x v="0"/>
    <n v="97"/>
    <n v="3"/>
    <n v="1"/>
    <s v="Laboratory Technician"/>
    <n v="2"/>
    <s v="Married"/>
    <n v="2210"/>
    <n v="3372"/>
    <n v="1"/>
    <x v="1"/>
    <n v="13"/>
    <n v="3"/>
    <n v="1"/>
    <n v="1"/>
    <n v="1"/>
    <n v="3"/>
    <n v="1"/>
    <n v="1"/>
    <n v="0"/>
    <n v="0"/>
    <n v="0"/>
  </r>
  <r>
    <n v="33"/>
    <x v="1"/>
    <s v="Travel_Frequently"/>
    <n v="1146"/>
    <x v="0"/>
    <n v="25"/>
    <n v="3"/>
    <s v="Medical"/>
    <n v="1220"/>
    <n v="2"/>
    <x v="0"/>
    <n v="82"/>
    <n v="3"/>
    <n v="2"/>
    <s v="Sales Executive"/>
    <n v="3"/>
    <s v="Married"/>
    <n v="4539"/>
    <n v="4905"/>
    <n v="1"/>
    <x v="1"/>
    <n v="12"/>
    <n v="3"/>
    <n v="1"/>
    <n v="1"/>
    <n v="10"/>
    <n v="3"/>
    <n v="2"/>
    <n v="10"/>
    <n v="7"/>
    <n v="0"/>
    <n v="1"/>
  </r>
  <r>
    <n v="36"/>
    <x v="1"/>
    <s v="Travel_Rarely"/>
    <n v="917"/>
    <x v="1"/>
    <n v="6"/>
    <n v="4"/>
    <s v="Life Sciences"/>
    <n v="1221"/>
    <n v="3"/>
    <x v="1"/>
    <n v="60"/>
    <n v="1"/>
    <n v="1"/>
    <s v="Laboratory Technician"/>
    <n v="3"/>
    <s v="Divorced"/>
    <n v="2741"/>
    <n v="6865"/>
    <n v="1"/>
    <x v="1"/>
    <n v="14"/>
    <n v="3"/>
    <n v="3"/>
    <n v="1"/>
    <n v="7"/>
    <n v="4"/>
    <n v="3"/>
    <n v="7"/>
    <n v="7"/>
    <n v="1"/>
    <n v="7"/>
  </r>
  <r>
    <n v="30"/>
    <x v="1"/>
    <s v="Travel_Rarely"/>
    <n v="853"/>
    <x v="1"/>
    <n v="7"/>
    <n v="4"/>
    <s v="Life Sciences"/>
    <n v="1224"/>
    <n v="3"/>
    <x v="1"/>
    <n v="49"/>
    <n v="3"/>
    <n v="2"/>
    <s v="Laboratory Technician"/>
    <n v="3"/>
    <s v="Divorced"/>
    <n v="3491"/>
    <n v="11309"/>
    <n v="1"/>
    <x v="1"/>
    <n v="13"/>
    <n v="3"/>
    <n v="1"/>
    <n v="3"/>
    <n v="10"/>
    <n v="4"/>
    <n v="2"/>
    <n v="10"/>
    <n v="7"/>
    <n v="8"/>
    <n v="9"/>
  </r>
  <r>
    <n v="44"/>
    <x v="1"/>
    <s v="Travel_Rarely"/>
    <n v="200"/>
    <x v="1"/>
    <n v="29"/>
    <n v="4"/>
    <s v="Other"/>
    <n v="1225"/>
    <n v="4"/>
    <x v="1"/>
    <n v="32"/>
    <n v="3"/>
    <n v="2"/>
    <s v="Research Scientist"/>
    <n v="4"/>
    <s v="Single"/>
    <n v="4541"/>
    <n v="7744"/>
    <n v="1"/>
    <x v="1"/>
    <n v="25"/>
    <n v="4"/>
    <n v="2"/>
    <n v="0"/>
    <n v="20"/>
    <n v="3"/>
    <n v="3"/>
    <n v="20"/>
    <n v="11"/>
    <n v="13"/>
    <n v="17"/>
  </r>
  <r>
    <n v="20"/>
    <x v="1"/>
    <s v="Travel_Rarely"/>
    <n v="654"/>
    <x v="0"/>
    <n v="21"/>
    <n v="3"/>
    <s v="Marketing"/>
    <n v="1226"/>
    <n v="3"/>
    <x v="1"/>
    <n v="43"/>
    <n v="4"/>
    <n v="1"/>
    <s v="Sales Representative"/>
    <n v="4"/>
    <s v="Single"/>
    <n v="2678"/>
    <n v="5050"/>
    <n v="1"/>
    <x v="1"/>
    <n v="17"/>
    <n v="3"/>
    <n v="4"/>
    <n v="0"/>
    <n v="2"/>
    <n v="2"/>
    <n v="3"/>
    <n v="2"/>
    <n v="1"/>
    <n v="2"/>
    <n v="2"/>
  </r>
  <r>
    <n v="46"/>
    <x v="1"/>
    <s v="Travel_Rarely"/>
    <n v="150"/>
    <x v="1"/>
    <n v="2"/>
    <n v="4"/>
    <s v="Technical Degree"/>
    <n v="1228"/>
    <n v="4"/>
    <x v="1"/>
    <n v="60"/>
    <n v="3"/>
    <n v="2"/>
    <s v="Manufacturing Director"/>
    <n v="4"/>
    <s v="Divorced"/>
    <n v="7379"/>
    <n v="17433"/>
    <n v="2"/>
    <x v="1"/>
    <n v="11"/>
    <n v="3"/>
    <n v="3"/>
    <n v="1"/>
    <n v="12"/>
    <n v="3"/>
    <n v="2"/>
    <n v="6"/>
    <n v="3"/>
    <n v="1"/>
    <n v="4"/>
  </r>
  <r>
    <n v="42"/>
    <x v="1"/>
    <s v="Non-Travel"/>
    <n v="179"/>
    <x v="2"/>
    <n v="2"/>
    <n v="5"/>
    <s v="Medical"/>
    <n v="1231"/>
    <n v="4"/>
    <x v="1"/>
    <n v="79"/>
    <n v="4"/>
    <n v="2"/>
    <s v="Human Resources"/>
    <n v="1"/>
    <s v="Married"/>
    <n v="6272"/>
    <n v="12858"/>
    <n v="7"/>
    <x v="1"/>
    <n v="16"/>
    <n v="3"/>
    <n v="1"/>
    <n v="1"/>
    <n v="10"/>
    <n v="3"/>
    <n v="4"/>
    <n v="4"/>
    <n v="3"/>
    <n v="0"/>
    <n v="3"/>
  </r>
  <r>
    <n v="60"/>
    <x v="1"/>
    <s v="Travel_Rarely"/>
    <n v="696"/>
    <x v="0"/>
    <n v="7"/>
    <n v="4"/>
    <s v="Marketing"/>
    <n v="1233"/>
    <n v="2"/>
    <x v="1"/>
    <n v="52"/>
    <n v="4"/>
    <n v="2"/>
    <s v="Sales Executive"/>
    <n v="4"/>
    <s v="Divorced"/>
    <n v="5220"/>
    <n v="10893"/>
    <n v="0"/>
    <x v="0"/>
    <n v="18"/>
    <n v="3"/>
    <n v="2"/>
    <n v="1"/>
    <n v="12"/>
    <n v="3"/>
    <n v="3"/>
    <n v="11"/>
    <n v="7"/>
    <n v="1"/>
    <n v="9"/>
  </r>
  <r>
    <n v="32"/>
    <x v="1"/>
    <s v="Travel_Frequently"/>
    <n v="116"/>
    <x v="1"/>
    <n v="13"/>
    <n v="3"/>
    <s v="Other"/>
    <n v="1234"/>
    <n v="3"/>
    <x v="0"/>
    <n v="77"/>
    <n v="2"/>
    <n v="1"/>
    <s v="Laboratory Technician"/>
    <n v="2"/>
    <s v="Married"/>
    <n v="2743"/>
    <n v="7331"/>
    <n v="1"/>
    <x v="1"/>
    <n v="20"/>
    <n v="4"/>
    <n v="3"/>
    <n v="1"/>
    <n v="2"/>
    <n v="2"/>
    <n v="3"/>
    <n v="2"/>
    <n v="2"/>
    <n v="2"/>
    <n v="2"/>
  </r>
  <r>
    <n v="32"/>
    <x v="1"/>
    <s v="Travel_Frequently"/>
    <n v="1316"/>
    <x v="1"/>
    <n v="2"/>
    <n v="2"/>
    <s v="Life Sciences"/>
    <n v="1235"/>
    <n v="4"/>
    <x v="0"/>
    <n v="38"/>
    <n v="3"/>
    <n v="2"/>
    <s v="Research Scientist"/>
    <n v="3"/>
    <s v="Single"/>
    <n v="4998"/>
    <n v="2338"/>
    <n v="4"/>
    <x v="0"/>
    <n v="14"/>
    <n v="3"/>
    <n v="4"/>
    <n v="0"/>
    <n v="10"/>
    <n v="2"/>
    <n v="3"/>
    <n v="8"/>
    <n v="7"/>
    <n v="0"/>
    <n v="7"/>
  </r>
  <r>
    <n v="36"/>
    <x v="1"/>
    <s v="Travel_Rarely"/>
    <n v="363"/>
    <x v="1"/>
    <n v="1"/>
    <n v="3"/>
    <s v="Technical Degree"/>
    <n v="1237"/>
    <n v="3"/>
    <x v="0"/>
    <n v="77"/>
    <n v="1"/>
    <n v="3"/>
    <s v="Manufacturing Director"/>
    <n v="1"/>
    <s v="Divorced"/>
    <n v="10252"/>
    <n v="4235"/>
    <n v="2"/>
    <x v="0"/>
    <n v="21"/>
    <n v="4"/>
    <n v="3"/>
    <n v="1"/>
    <n v="17"/>
    <n v="2"/>
    <n v="3"/>
    <n v="7"/>
    <n v="7"/>
    <n v="7"/>
    <n v="7"/>
  </r>
  <r>
    <n v="33"/>
    <x v="1"/>
    <s v="Travel_Rarely"/>
    <n v="117"/>
    <x v="1"/>
    <n v="9"/>
    <n v="3"/>
    <s v="Medical"/>
    <n v="1238"/>
    <n v="1"/>
    <x v="1"/>
    <n v="60"/>
    <n v="3"/>
    <n v="1"/>
    <s v="Research Scientist"/>
    <n v="4"/>
    <s v="Married"/>
    <n v="2781"/>
    <n v="6311"/>
    <n v="0"/>
    <x v="1"/>
    <n v="13"/>
    <n v="3"/>
    <n v="2"/>
    <n v="1"/>
    <n v="15"/>
    <n v="5"/>
    <n v="3"/>
    <n v="14"/>
    <n v="10"/>
    <n v="4"/>
    <n v="10"/>
  </r>
  <r>
    <n v="40"/>
    <x v="1"/>
    <s v="Travel_Rarely"/>
    <n v="107"/>
    <x v="0"/>
    <n v="10"/>
    <n v="3"/>
    <s v="Technical Degree"/>
    <n v="1239"/>
    <n v="2"/>
    <x v="0"/>
    <n v="84"/>
    <n v="2"/>
    <n v="2"/>
    <s v="Sales Executive"/>
    <n v="2"/>
    <s v="Divorced"/>
    <n v="6852"/>
    <n v="11591"/>
    <n v="7"/>
    <x v="1"/>
    <n v="12"/>
    <n v="3"/>
    <n v="2"/>
    <n v="1"/>
    <n v="7"/>
    <n v="2"/>
    <n v="4"/>
    <n v="5"/>
    <n v="1"/>
    <n v="1"/>
    <n v="3"/>
  </r>
  <r>
    <n v="25"/>
    <x v="1"/>
    <s v="Travel_Rarely"/>
    <n v="1356"/>
    <x v="0"/>
    <n v="10"/>
    <n v="4"/>
    <s v="Life Sciences"/>
    <n v="1240"/>
    <n v="3"/>
    <x v="1"/>
    <n v="57"/>
    <n v="3"/>
    <n v="2"/>
    <s v="Sales Executive"/>
    <n v="4"/>
    <s v="Single"/>
    <n v="4950"/>
    <n v="20623"/>
    <n v="0"/>
    <x v="1"/>
    <n v="14"/>
    <n v="3"/>
    <n v="2"/>
    <n v="0"/>
    <n v="5"/>
    <n v="4"/>
    <n v="3"/>
    <n v="4"/>
    <n v="3"/>
    <n v="1"/>
    <n v="1"/>
  </r>
  <r>
    <n v="30"/>
    <x v="1"/>
    <s v="Travel_Rarely"/>
    <n v="1465"/>
    <x v="1"/>
    <n v="1"/>
    <n v="3"/>
    <s v="Medical"/>
    <n v="1241"/>
    <n v="4"/>
    <x v="1"/>
    <n v="63"/>
    <n v="3"/>
    <n v="1"/>
    <s v="Research Scientist"/>
    <n v="2"/>
    <s v="Married"/>
    <n v="3579"/>
    <n v="9369"/>
    <n v="0"/>
    <x v="0"/>
    <n v="21"/>
    <n v="4"/>
    <n v="1"/>
    <n v="1"/>
    <n v="12"/>
    <n v="2"/>
    <n v="3"/>
    <n v="11"/>
    <n v="9"/>
    <n v="5"/>
    <n v="7"/>
  </r>
  <r>
    <n v="42"/>
    <x v="1"/>
    <s v="Travel_Frequently"/>
    <n v="458"/>
    <x v="1"/>
    <n v="26"/>
    <n v="5"/>
    <s v="Medical"/>
    <n v="1242"/>
    <n v="1"/>
    <x v="0"/>
    <n v="60"/>
    <n v="3"/>
    <n v="3"/>
    <s v="Research Director"/>
    <n v="1"/>
    <s v="Married"/>
    <n v="13191"/>
    <n v="23281"/>
    <n v="3"/>
    <x v="0"/>
    <n v="17"/>
    <n v="3"/>
    <n v="3"/>
    <n v="0"/>
    <n v="20"/>
    <n v="6"/>
    <n v="3"/>
    <n v="1"/>
    <n v="0"/>
    <n v="0"/>
    <n v="0"/>
  </r>
  <r>
    <n v="35"/>
    <x v="1"/>
    <s v="Non-Travel"/>
    <n v="1212"/>
    <x v="0"/>
    <n v="8"/>
    <n v="2"/>
    <s v="Marketing"/>
    <n v="1243"/>
    <n v="3"/>
    <x v="0"/>
    <n v="78"/>
    <n v="2"/>
    <n v="3"/>
    <s v="Sales Executive"/>
    <n v="4"/>
    <s v="Married"/>
    <n v="10377"/>
    <n v="13755"/>
    <n v="4"/>
    <x v="0"/>
    <n v="11"/>
    <n v="3"/>
    <n v="2"/>
    <n v="1"/>
    <n v="16"/>
    <n v="6"/>
    <n v="2"/>
    <n v="13"/>
    <n v="2"/>
    <n v="4"/>
    <n v="12"/>
  </r>
  <r>
    <n v="27"/>
    <x v="1"/>
    <s v="Travel_Rarely"/>
    <n v="1103"/>
    <x v="1"/>
    <n v="14"/>
    <n v="3"/>
    <s v="Life Sciences"/>
    <n v="1244"/>
    <n v="1"/>
    <x v="1"/>
    <n v="42"/>
    <n v="3"/>
    <n v="1"/>
    <s v="Research Scientist"/>
    <n v="1"/>
    <s v="Married"/>
    <n v="2235"/>
    <n v="14377"/>
    <n v="1"/>
    <x v="0"/>
    <n v="14"/>
    <n v="3"/>
    <n v="4"/>
    <n v="2"/>
    <n v="9"/>
    <n v="3"/>
    <n v="2"/>
    <n v="9"/>
    <n v="7"/>
    <n v="6"/>
    <n v="8"/>
  </r>
  <r>
    <n v="54"/>
    <x v="1"/>
    <s v="Travel_Frequently"/>
    <n v="966"/>
    <x v="1"/>
    <n v="1"/>
    <n v="4"/>
    <s v="Life Sciences"/>
    <n v="1245"/>
    <n v="4"/>
    <x v="0"/>
    <n v="53"/>
    <n v="3"/>
    <n v="3"/>
    <s v="Manufacturing Director"/>
    <n v="3"/>
    <s v="Divorced"/>
    <n v="10502"/>
    <n v="9659"/>
    <n v="7"/>
    <x v="1"/>
    <n v="17"/>
    <n v="3"/>
    <n v="1"/>
    <n v="1"/>
    <n v="33"/>
    <n v="2"/>
    <n v="1"/>
    <n v="5"/>
    <n v="4"/>
    <n v="1"/>
    <n v="4"/>
  </r>
  <r>
    <n v="44"/>
    <x v="1"/>
    <s v="Travel_Rarely"/>
    <n v="1117"/>
    <x v="1"/>
    <n v="2"/>
    <n v="1"/>
    <s v="Life Sciences"/>
    <n v="1246"/>
    <n v="1"/>
    <x v="0"/>
    <n v="72"/>
    <n v="4"/>
    <n v="1"/>
    <s v="Research Scientist"/>
    <n v="4"/>
    <s v="Married"/>
    <n v="2011"/>
    <n v="19982"/>
    <n v="1"/>
    <x v="1"/>
    <n v="13"/>
    <n v="3"/>
    <n v="4"/>
    <n v="1"/>
    <n v="10"/>
    <n v="5"/>
    <n v="3"/>
    <n v="10"/>
    <n v="5"/>
    <n v="7"/>
    <n v="7"/>
  </r>
  <r>
    <n v="19"/>
    <x v="0"/>
    <s v="Non-Travel"/>
    <n v="504"/>
    <x v="1"/>
    <n v="10"/>
    <n v="3"/>
    <s v="Medical"/>
    <n v="1248"/>
    <n v="1"/>
    <x v="0"/>
    <n v="96"/>
    <n v="2"/>
    <n v="1"/>
    <s v="Research Scientist"/>
    <n v="2"/>
    <s v="Single"/>
    <n v="1859"/>
    <n v="6148"/>
    <n v="1"/>
    <x v="0"/>
    <n v="25"/>
    <n v="4"/>
    <n v="2"/>
    <n v="0"/>
    <n v="1"/>
    <n v="2"/>
    <n v="4"/>
    <n v="1"/>
    <n v="1"/>
    <n v="0"/>
    <n v="0"/>
  </r>
  <r>
    <n v="29"/>
    <x v="1"/>
    <s v="Travel_Rarely"/>
    <n v="1010"/>
    <x v="1"/>
    <n v="1"/>
    <n v="3"/>
    <s v="Life Sciences"/>
    <n v="1249"/>
    <n v="1"/>
    <x v="0"/>
    <n v="97"/>
    <n v="3"/>
    <n v="1"/>
    <s v="Research Scientist"/>
    <n v="4"/>
    <s v="Divorced"/>
    <n v="3760"/>
    <n v="5598"/>
    <n v="1"/>
    <x v="1"/>
    <n v="15"/>
    <n v="3"/>
    <n v="1"/>
    <n v="3"/>
    <n v="3"/>
    <n v="5"/>
    <n v="3"/>
    <n v="3"/>
    <n v="2"/>
    <n v="1"/>
    <n v="2"/>
  </r>
  <r>
    <n v="54"/>
    <x v="1"/>
    <s v="Travel_Rarely"/>
    <n v="685"/>
    <x v="1"/>
    <n v="3"/>
    <n v="3"/>
    <s v="Life Sciences"/>
    <n v="1250"/>
    <n v="4"/>
    <x v="1"/>
    <n v="85"/>
    <n v="3"/>
    <n v="4"/>
    <s v="Research Director"/>
    <n v="4"/>
    <s v="Married"/>
    <n v="17779"/>
    <n v="23474"/>
    <n v="3"/>
    <x v="1"/>
    <n v="14"/>
    <n v="3"/>
    <n v="1"/>
    <n v="0"/>
    <n v="36"/>
    <n v="2"/>
    <n v="3"/>
    <n v="10"/>
    <n v="9"/>
    <n v="0"/>
    <n v="9"/>
  </r>
  <r>
    <n v="31"/>
    <x v="1"/>
    <s v="Travel_Rarely"/>
    <n v="1332"/>
    <x v="1"/>
    <n v="11"/>
    <n v="2"/>
    <s v="Medical"/>
    <n v="1251"/>
    <n v="3"/>
    <x v="1"/>
    <n v="80"/>
    <n v="3"/>
    <n v="2"/>
    <s v="Healthcare Representative"/>
    <n v="1"/>
    <s v="Married"/>
    <n v="6833"/>
    <n v="17089"/>
    <n v="1"/>
    <x v="0"/>
    <n v="12"/>
    <n v="3"/>
    <n v="4"/>
    <n v="0"/>
    <n v="6"/>
    <n v="2"/>
    <n v="2"/>
    <n v="6"/>
    <n v="5"/>
    <n v="0"/>
    <n v="1"/>
  </r>
  <r>
    <n v="31"/>
    <x v="1"/>
    <s v="Travel_Rarely"/>
    <n v="1062"/>
    <x v="1"/>
    <n v="24"/>
    <n v="3"/>
    <s v="Medical"/>
    <n v="1252"/>
    <n v="3"/>
    <x v="0"/>
    <n v="96"/>
    <n v="2"/>
    <n v="2"/>
    <s v="Healthcare Representative"/>
    <n v="1"/>
    <s v="Single"/>
    <n v="6812"/>
    <n v="17198"/>
    <n v="1"/>
    <x v="1"/>
    <n v="19"/>
    <n v="3"/>
    <n v="2"/>
    <n v="0"/>
    <n v="10"/>
    <n v="2"/>
    <n v="3"/>
    <n v="10"/>
    <n v="9"/>
    <n v="1"/>
    <n v="8"/>
  </r>
  <r>
    <n v="59"/>
    <x v="1"/>
    <s v="Travel_Rarely"/>
    <n v="326"/>
    <x v="0"/>
    <n v="3"/>
    <n v="3"/>
    <s v="Life Sciences"/>
    <n v="1254"/>
    <n v="3"/>
    <x v="0"/>
    <n v="48"/>
    <n v="2"/>
    <n v="2"/>
    <s v="Sales Executive"/>
    <n v="4"/>
    <s v="Single"/>
    <n v="5171"/>
    <n v="16490"/>
    <n v="5"/>
    <x v="1"/>
    <n v="17"/>
    <n v="3"/>
    <n v="4"/>
    <n v="0"/>
    <n v="13"/>
    <n v="2"/>
    <n v="3"/>
    <n v="6"/>
    <n v="1"/>
    <n v="0"/>
    <n v="5"/>
  </r>
  <r>
    <n v="43"/>
    <x v="1"/>
    <s v="Travel_Rarely"/>
    <n v="920"/>
    <x v="1"/>
    <n v="3"/>
    <n v="3"/>
    <s v="Life Sciences"/>
    <n v="1255"/>
    <n v="3"/>
    <x v="1"/>
    <n v="96"/>
    <n v="1"/>
    <n v="5"/>
    <s v="Research Director"/>
    <n v="4"/>
    <s v="Married"/>
    <n v="19740"/>
    <n v="18625"/>
    <n v="3"/>
    <x v="1"/>
    <n v="14"/>
    <n v="3"/>
    <n v="2"/>
    <n v="1"/>
    <n v="25"/>
    <n v="2"/>
    <n v="3"/>
    <n v="8"/>
    <n v="7"/>
    <n v="0"/>
    <n v="7"/>
  </r>
  <r>
    <n v="49"/>
    <x v="1"/>
    <s v="Travel_Rarely"/>
    <n v="1098"/>
    <x v="1"/>
    <n v="4"/>
    <n v="2"/>
    <s v="Medical"/>
    <n v="1256"/>
    <n v="1"/>
    <x v="1"/>
    <n v="85"/>
    <n v="2"/>
    <n v="5"/>
    <s v="Manager"/>
    <n v="3"/>
    <s v="Married"/>
    <n v="18711"/>
    <n v="12124"/>
    <n v="2"/>
    <x v="1"/>
    <n v="13"/>
    <n v="3"/>
    <n v="3"/>
    <n v="1"/>
    <n v="23"/>
    <n v="2"/>
    <n v="4"/>
    <n v="1"/>
    <n v="0"/>
    <n v="0"/>
    <n v="0"/>
  </r>
  <r>
    <n v="36"/>
    <x v="1"/>
    <s v="Travel_Frequently"/>
    <n v="469"/>
    <x v="1"/>
    <n v="3"/>
    <n v="3"/>
    <s v="Technical Degree"/>
    <n v="1257"/>
    <n v="3"/>
    <x v="1"/>
    <n v="46"/>
    <n v="3"/>
    <n v="1"/>
    <s v="Research Scientist"/>
    <n v="2"/>
    <s v="Married"/>
    <n v="3692"/>
    <n v="9256"/>
    <n v="1"/>
    <x v="1"/>
    <n v="12"/>
    <n v="3"/>
    <n v="3"/>
    <n v="0"/>
    <n v="12"/>
    <n v="2"/>
    <n v="2"/>
    <n v="11"/>
    <n v="10"/>
    <n v="0"/>
    <n v="7"/>
  </r>
  <r>
    <n v="48"/>
    <x v="1"/>
    <s v="Travel_Rarely"/>
    <n v="969"/>
    <x v="1"/>
    <n v="2"/>
    <n v="2"/>
    <s v="Technical Degree"/>
    <n v="1258"/>
    <n v="4"/>
    <x v="1"/>
    <n v="76"/>
    <n v="4"/>
    <n v="1"/>
    <s v="Laboratory Technician"/>
    <n v="2"/>
    <s v="Single"/>
    <n v="2559"/>
    <n v="16620"/>
    <n v="5"/>
    <x v="1"/>
    <n v="11"/>
    <n v="3"/>
    <n v="3"/>
    <n v="0"/>
    <n v="7"/>
    <n v="4"/>
    <n v="2"/>
    <n v="1"/>
    <n v="0"/>
    <n v="0"/>
    <n v="0"/>
  </r>
  <r>
    <n v="27"/>
    <x v="1"/>
    <s v="Travel_Rarely"/>
    <n v="1167"/>
    <x v="1"/>
    <n v="4"/>
    <n v="2"/>
    <s v="Life Sciences"/>
    <n v="1259"/>
    <n v="1"/>
    <x v="1"/>
    <n v="76"/>
    <n v="3"/>
    <n v="1"/>
    <s v="Research Scientist"/>
    <n v="3"/>
    <s v="Divorced"/>
    <n v="2517"/>
    <n v="3208"/>
    <n v="1"/>
    <x v="1"/>
    <n v="11"/>
    <n v="3"/>
    <n v="2"/>
    <n v="3"/>
    <n v="5"/>
    <n v="2"/>
    <n v="3"/>
    <n v="5"/>
    <n v="3"/>
    <n v="0"/>
    <n v="3"/>
  </r>
  <r>
    <n v="29"/>
    <x v="1"/>
    <s v="Travel_Rarely"/>
    <n v="1329"/>
    <x v="1"/>
    <n v="7"/>
    <n v="3"/>
    <s v="Life Sciences"/>
    <n v="1260"/>
    <n v="3"/>
    <x v="1"/>
    <n v="82"/>
    <n v="3"/>
    <n v="2"/>
    <s v="Healthcare Representative"/>
    <n v="4"/>
    <s v="Divorced"/>
    <n v="6623"/>
    <n v="4204"/>
    <n v="1"/>
    <x v="0"/>
    <n v="11"/>
    <n v="3"/>
    <n v="2"/>
    <n v="2"/>
    <n v="6"/>
    <n v="2"/>
    <n v="3"/>
    <n v="6"/>
    <n v="0"/>
    <n v="1"/>
    <n v="0"/>
  </r>
  <r>
    <n v="48"/>
    <x v="1"/>
    <s v="Travel_Rarely"/>
    <n v="715"/>
    <x v="1"/>
    <n v="1"/>
    <n v="3"/>
    <s v="Life Sciences"/>
    <n v="1263"/>
    <n v="4"/>
    <x v="1"/>
    <n v="76"/>
    <n v="2"/>
    <n v="5"/>
    <s v="Research Director"/>
    <n v="4"/>
    <s v="Single"/>
    <n v="18265"/>
    <n v="8733"/>
    <n v="6"/>
    <x v="1"/>
    <n v="12"/>
    <n v="3"/>
    <n v="3"/>
    <n v="0"/>
    <n v="25"/>
    <n v="3"/>
    <n v="4"/>
    <n v="1"/>
    <n v="0"/>
    <n v="0"/>
    <n v="0"/>
  </r>
  <r>
    <n v="29"/>
    <x v="1"/>
    <s v="Travel_Rarely"/>
    <n v="694"/>
    <x v="1"/>
    <n v="1"/>
    <n v="3"/>
    <s v="Life Sciences"/>
    <n v="1264"/>
    <n v="4"/>
    <x v="0"/>
    <n v="87"/>
    <n v="2"/>
    <n v="4"/>
    <s v="Research Director"/>
    <n v="4"/>
    <s v="Divorced"/>
    <n v="16124"/>
    <n v="3423"/>
    <n v="3"/>
    <x v="1"/>
    <n v="14"/>
    <n v="3"/>
    <n v="2"/>
    <n v="2"/>
    <n v="9"/>
    <n v="2"/>
    <n v="2"/>
    <n v="7"/>
    <n v="7"/>
    <n v="1"/>
    <n v="7"/>
  </r>
  <r>
    <n v="34"/>
    <x v="1"/>
    <s v="Travel_Rarely"/>
    <n v="1320"/>
    <x v="1"/>
    <n v="20"/>
    <n v="3"/>
    <s v="Technical Degree"/>
    <n v="1265"/>
    <n v="3"/>
    <x v="0"/>
    <n v="89"/>
    <n v="4"/>
    <n v="1"/>
    <s v="Research Scientist"/>
    <n v="3"/>
    <s v="Married"/>
    <n v="2585"/>
    <n v="21643"/>
    <n v="0"/>
    <x v="1"/>
    <n v="17"/>
    <n v="3"/>
    <n v="4"/>
    <n v="0"/>
    <n v="2"/>
    <n v="5"/>
    <n v="2"/>
    <n v="1"/>
    <n v="0"/>
    <n v="0"/>
    <n v="0"/>
  </r>
  <r>
    <n v="44"/>
    <x v="1"/>
    <s v="Travel_Rarely"/>
    <n v="1099"/>
    <x v="0"/>
    <n v="5"/>
    <n v="3"/>
    <s v="Marketing"/>
    <n v="1267"/>
    <n v="2"/>
    <x v="1"/>
    <n v="88"/>
    <n v="3"/>
    <n v="5"/>
    <s v="Manager"/>
    <n v="2"/>
    <s v="Married"/>
    <n v="18213"/>
    <n v="8751"/>
    <n v="7"/>
    <x v="1"/>
    <n v="11"/>
    <n v="3"/>
    <n v="3"/>
    <n v="1"/>
    <n v="26"/>
    <n v="5"/>
    <n v="3"/>
    <n v="22"/>
    <n v="9"/>
    <n v="3"/>
    <n v="10"/>
  </r>
  <r>
    <n v="33"/>
    <x v="1"/>
    <s v="Travel_Rarely"/>
    <n v="536"/>
    <x v="0"/>
    <n v="10"/>
    <n v="5"/>
    <s v="Marketing"/>
    <n v="1268"/>
    <n v="4"/>
    <x v="1"/>
    <n v="82"/>
    <n v="4"/>
    <n v="3"/>
    <s v="Sales Executive"/>
    <n v="3"/>
    <s v="Divorced"/>
    <n v="8380"/>
    <n v="21708"/>
    <n v="0"/>
    <x v="0"/>
    <n v="14"/>
    <n v="3"/>
    <n v="4"/>
    <n v="2"/>
    <n v="10"/>
    <n v="3"/>
    <n v="3"/>
    <n v="9"/>
    <n v="8"/>
    <n v="0"/>
    <n v="8"/>
  </r>
  <r>
    <n v="19"/>
    <x v="1"/>
    <s v="Travel_Rarely"/>
    <n v="265"/>
    <x v="1"/>
    <n v="25"/>
    <n v="3"/>
    <s v="Life Sciences"/>
    <n v="1269"/>
    <n v="2"/>
    <x v="0"/>
    <n v="57"/>
    <n v="4"/>
    <n v="1"/>
    <s v="Research Scientist"/>
    <n v="4"/>
    <s v="Single"/>
    <n v="2994"/>
    <n v="21221"/>
    <n v="1"/>
    <x v="0"/>
    <n v="12"/>
    <n v="3"/>
    <n v="4"/>
    <n v="0"/>
    <n v="1"/>
    <n v="2"/>
    <n v="3"/>
    <n v="1"/>
    <n v="0"/>
    <n v="0"/>
    <n v="1"/>
  </r>
  <r>
    <n v="23"/>
    <x v="1"/>
    <s v="Travel_Rarely"/>
    <n v="373"/>
    <x v="1"/>
    <n v="1"/>
    <n v="2"/>
    <s v="Life Sciences"/>
    <n v="1270"/>
    <n v="4"/>
    <x v="1"/>
    <n v="47"/>
    <n v="3"/>
    <n v="1"/>
    <s v="Research Scientist"/>
    <n v="3"/>
    <s v="Married"/>
    <n v="1223"/>
    <n v="16901"/>
    <n v="1"/>
    <x v="1"/>
    <n v="22"/>
    <n v="4"/>
    <n v="4"/>
    <n v="1"/>
    <n v="1"/>
    <n v="2"/>
    <n v="3"/>
    <n v="1"/>
    <n v="0"/>
    <n v="0"/>
    <n v="1"/>
  </r>
  <r>
    <n v="25"/>
    <x v="0"/>
    <s v="Travel_Frequently"/>
    <n v="599"/>
    <x v="0"/>
    <n v="24"/>
    <n v="1"/>
    <s v="Life Sciences"/>
    <n v="1273"/>
    <n v="3"/>
    <x v="1"/>
    <n v="73"/>
    <n v="1"/>
    <n v="1"/>
    <s v="Sales Representative"/>
    <n v="4"/>
    <s v="Single"/>
    <n v="1118"/>
    <n v="8040"/>
    <n v="1"/>
    <x v="0"/>
    <n v="14"/>
    <n v="3"/>
    <n v="4"/>
    <n v="0"/>
    <n v="1"/>
    <n v="4"/>
    <n v="3"/>
    <n v="1"/>
    <n v="0"/>
    <n v="1"/>
    <n v="0"/>
  </r>
  <r>
    <n v="26"/>
    <x v="1"/>
    <s v="Travel_Rarely"/>
    <n v="583"/>
    <x v="1"/>
    <n v="4"/>
    <n v="2"/>
    <s v="Life Sciences"/>
    <n v="1275"/>
    <n v="3"/>
    <x v="1"/>
    <n v="53"/>
    <n v="3"/>
    <n v="1"/>
    <s v="Research Scientist"/>
    <n v="4"/>
    <s v="Single"/>
    <n v="2875"/>
    <n v="9973"/>
    <n v="1"/>
    <x v="0"/>
    <n v="20"/>
    <n v="4"/>
    <n v="2"/>
    <n v="0"/>
    <n v="8"/>
    <n v="2"/>
    <n v="2"/>
    <n v="8"/>
    <n v="5"/>
    <n v="2"/>
    <n v="2"/>
  </r>
  <r>
    <n v="45"/>
    <x v="0"/>
    <s v="Travel_Rarely"/>
    <n v="1449"/>
    <x v="0"/>
    <n v="2"/>
    <n v="3"/>
    <s v="Marketing"/>
    <n v="1277"/>
    <n v="1"/>
    <x v="0"/>
    <n v="94"/>
    <n v="1"/>
    <n v="5"/>
    <s v="Manager"/>
    <n v="2"/>
    <s v="Single"/>
    <n v="18824"/>
    <n v="2493"/>
    <n v="2"/>
    <x v="0"/>
    <n v="16"/>
    <n v="3"/>
    <n v="1"/>
    <n v="0"/>
    <n v="26"/>
    <n v="2"/>
    <n v="3"/>
    <n v="24"/>
    <n v="10"/>
    <n v="1"/>
    <n v="11"/>
  </r>
  <r>
    <n v="55"/>
    <x v="1"/>
    <s v="Non-Travel"/>
    <n v="177"/>
    <x v="1"/>
    <n v="8"/>
    <n v="1"/>
    <s v="Medical"/>
    <n v="1278"/>
    <n v="4"/>
    <x v="1"/>
    <n v="37"/>
    <n v="2"/>
    <n v="4"/>
    <s v="Healthcare Representative"/>
    <n v="2"/>
    <s v="Divorced"/>
    <n v="13577"/>
    <n v="25592"/>
    <n v="1"/>
    <x v="0"/>
    <n v="15"/>
    <n v="3"/>
    <n v="4"/>
    <n v="1"/>
    <n v="34"/>
    <n v="3"/>
    <n v="3"/>
    <n v="33"/>
    <n v="9"/>
    <n v="15"/>
    <n v="0"/>
  </r>
  <r>
    <n v="21"/>
    <x v="0"/>
    <s v="Travel_Frequently"/>
    <n v="251"/>
    <x v="1"/>
    <n v="10"/>
    <n v="2"/>
    <s v="Life Sciences"/>
    <n v="1279"/>
    <n v="1"/>
    <x v="0"/>
    <n v="45"/>
    <n v="2"/>
    <n v="1"/>
    <s v="Laboratory Technician"/>
    <n v="3"/>
    <s v="Single"/>
    <n v="2625"/>
    <n v="25308"/>
    <n v="1"/>
    <x v="1"/>
    <n v="20"/>
    <n v="4"/>
    <n v="3"/>
    <n v="0"/>
    <n v="2"/>
    <n v="2"/>
    <n v="1"/>
    <n v="2"/>
    <n v="2"/>
    <n v="2"/>
    <n v="2"/>
  </r>
  <r>
    <n v="46"/>
    <x v="1"/>
    <s v="Travel_Rarely"/>
    <n v="168"/>
    <x v="0"/>
    <n v="4"/>
    <n v="2"/>
    <s v="Marketing"/>
    <n v="1280"/>
    <n v="4"/>
    <x v="0"/>
    <n v="33"/>
    <n v="2"/>
    <n v="5"/>
    <s v="Manager"/>
    <n v="2"/>
    <s v="Married"/>
    <n v="18789"/>
    <n v="9946"/>
    <n v="2"/>
    <x v="1"/>
    <n v="14"/>
    <n v="3"/>
    <n v="3"/>
    <n v="1"/>
    <n v="26"/>
    <n v="2"/>
    <n v="3"/>
    <n v="11"/>
    <n v="4"/>
    <n v="0"/>
    <n v="8"/>
  </r>
  <r>
    <n v="34"/>
    <x v="1"/>
    <s v="Travel_Rarely"/>
    <n v="131"/>
    <x v="0"/>
    <n v="2"/>
    <n v="3"/>
    <s v="Marketing"/>
    <n v="1281"/>
    <n v="3"/>
    <x v="0"/>
    <n v="86"/>
    <n v="3"/>
    <n v="2"/>
    <s v="Sales Executive"/>
    <n v="1"/>
    <s v="Single"/>
    <n v="4538"/>
    <n v="6039"/>
    <n v="0"/>
    <x v="0"/>
    <n v="12"/>
    <n v="3"/>
    <n v="4"/>
    <n v="0"/>
    <n v="4"/>
    <n v="3"/>
    <n v="3"/>
    <n v="3"/>
    <n v="2"/>
    <n v="0"/>
    <n v="2"/>
  </r>
  <r>
    <n v="51"/>
    <x v="1"/>
    <s v="Travel_Frequently"/>
    <n v="237"/>
    <x v="0"/>
    <n v="9"/>
    <n v="3"/>
    <s v="Life Sciences"/>
    <n v="1282"/>
    <n v="4"/>
    <x v="1"/>
    <n v="83"/>
    <n v="3"/>
    <n v="5"/>
    <s v="Manager"/>
    <n v="2"/>
    <s v="Divorced"/>
    <n v="19847"/>
    <n v="19196"/>
    <n v="4"/>
    <x v="0"/>
    <n v="24"/>
    <n v="4"/>
    <n v="1"/>
    <n v="1"/>
    <n v="31"/>
    <n v="5"/>
    <n v="2"/>
    <n v="29"/>
    <n v="10"/>
    <n v="11"/>
    <n v="10"/>
  </r>
  <r>
    <n v="59"/>
    <x v="1"/>
    <s v="Travel_Rarely"/>
    <n v="1429"/>
    <x v="1"/>
    <n v="18"/>
    <n v="4"/>
    <s v="Medical"/>
    <n v="1283"/>
    <n v="4"/>
    <x v="1"/>
    <n v="67"/>
    <n v="3"/>
    <n v="3"/>
    <s v="Manufacturing Director"/>
    <n v="4"/>
    <s v="Single"/>
    <n v="10512"/>
    <n v="20002"/>
    <n v="6"/>
    <x v="1"/>
    <n v="12"/>
    <n v="3"/>
    <n v="4"/>
    <n v="0"/>
    <n v="25"/>
    <n v="6"/>
    <n v="2"/>
    <n v="9"/>
    <n v="7"/>
    <n v="5"/>
    <n v="4"/>
  </r>
  <r>
    <n v="34"/>
    <x v="1"/>
    <s v="Travel_Frequently"/>
    <n v="135"/>
    <x v="1"/>
    <n v="19"/>
    <n v="3"/>
    <s v="Medical"/>
    <n v="1285"/>
    <n v="3"/>
    <x v="0"/>
    <n v="46"/>
    <n v="3"/>
    <n v="2"/>
    <s v="Laboratory Technician"/>
    <n v="2"/>
    <s v="Divorced"/>
    <n v="4444"/>
    <n v="22534"/>
    <n v="4"/>
    <x v="1"/>
    <n v="13"/>
    <n v="3"/>
    <n v="3"/>
    <n v="2"/>
    <n v="15"/>
    <n v="2"/>
    <n v="4"/>
    <n v="11"/>
    <n v="8"/>
    <n v="5"/>
    <n v="10"/>
  </r>
  <r>
    <n v="28"/>
    <x v="1"/>
    <s v="Travel_Frequently"/>
    <n v="791"/>
    <x v="1"/>
    <n v="1"/>
    <n v="4"/>
    <s v="Medical"/>
    <n v="1286"/>
    <n v="4"/>
    <x v="1"/>
    <n v="44"/>
    <n v="3"/>
    <n v="1"/>
    <s v="Laboratory Technician"/>
    <n v="3"/>
    <s v="Single"/>
    <n v="2154"/>
    <n v="6842"/>
    <n v="0"/>
    <x v="0"/>
    <n v="11"/>
    <n v="3"/>
    <n v="3"/>
    <n v="0"/>
    <n v="5"/>
    <n v="2"/>
    <n v="2"/>
    <n v="4"/>
    <n v="2"/>
    <n v="0"/>
    <n v="2"/>
  </r>
  <r>
    <n v="44"/>
    <x v="1"/>
    <s v="Travel_Rarely"/>
    <n v="1199"/>
    <x v="1"/>
    <n v="4"/>
    <n v="2"/>
    <s v="Life Sciences"/>
    <n v="1288"/>
    <n v="3"/>
    <x v="1"/>
    <n v="92"/>
    <n v="4"/>
    <n v="5"/>
    <s v="Manager"/>
    <n v="1"/>
    <s v="Divorced"/>
    <n v="19190"/>
    <n v="17477"/>
    <n v="1"/>
    <x v="1"/>
    <n v="14"/>
    <n v="3"/>
    <n v="4"/>
    <n v="2"/>
    <n v="26"/>
    <n v="4"/>
    <n v="2"/>
    <n v="25"/>
    <n v="9"/>
    <n v="14"/>
    <n v="13"/>
  </r>
  <r>
    <n v="34"/>
    <x v="1"/>
    <s v="Travel_Frequently"/>
    <n v="648"/>
    <x v="2"/>
    <n v="11"/>
    <n v="3"/>
    <s v="Life Sciences"/>
    <n v="1289"/>
    <n v="3"/>
    <x v="1"/>
    <n v="56"/>
    <n v="2"/>
    <n v="2"/>
    <s v="Human Resources"/>
    <n v="2"/>
    <s v="Married"/>
    <n v="4490"/>
    <n v="21833"/>
    <n v="4"/>
    <x v="1"/>
    <n v="11"/>
    <n v="3"/>
    <n v="4"/>
    <n v="2"/>
    <n v="14"/>
    <n v="5"/>
    <n v="4"/>
    <n v="10"/>
    <n v="9"/>
    <n v="1"/>
    <n v="8"/>
  </r>
  <r>
    <n v="35"/>
    <x v="1"/>
    <s v="Travel_Rarely"/>
    <n v="735"/>
    <x v="1"/>
    <n v="6"/>
    <n v="1"/>
    <s v="Life Sciences"/>
    <n v="1291"/>
    <n v="3"/>
    <x v="1"/>
    <n v="66"/>
    <n v="3"/>
    <n v="1"/>
    <s v="Research Scientist"/>
    <n v="3"/>
    <s v="Married"/>
    <n v="3506"/>
    <n v="6020"/>
    <n v="0"/>
    <x v="0"/>
    <n v="14"/>
    <n v="3"/>
    <n v="4"/>
    <n v="0"/>
    <n v="4"/>
    <n v="3"/>
    <n v="3"/>
    <n v="3"/>
    <n v="2"/>
    <n v="2"/>
    <n v="2"/>
  </r>
  <r>
    <n v="42"/>
    <x v="1"/>
    <s v="Travel_Rarely"/>
    <n v="603"/>
    <x v="1"/>
    <n v="7"/>
    <n v="4"/>
    <s v="Medical"/>
    <n v="1292"/>
    <n v="2"/>
    <x v="0"/>
    <n v="78"/>
    <n v="4"/>
    <n v="2"/>
    <s v="Research Scientist"/>
    <n v="2"/>
    <s v="Married"/>
    <n v="2372"/>
    <n v="5628"/>
    <n v="6"/>
    <x v="0"/>
    <n v="16"/>
    <n v="3"/>
    <n v="4"/>
    <n v="0"/>
    <n v="18"/>
    <n v="2"/>
    <n v="3"/>
    <n v="1"/>
    <n v="0"/>
    <n v="0"/>
    <n v="0"/>
  </r>
  <r>
    <n v="43"/>
    <x v="1"/>
    <s v="Travel_Rarely"/>
    <n v="531"/>
    <x v="0"/>
    <n v="4"/>
    <n v="4"/>
    <s v="Marketing"/>
    <n v="1293"/>
    <n v="4"/>
    <x v="0"/>
    <n v="56"/>
    <n v="2"/>
    <n v="3"/>
    <s v="Sales Executive"/>
    <n v="4"/>
    <s v="Single"/>
    <n v="10231"/>
    <n v="20364"/>
    <n v="3"/>
    <x v="1"/>
    <n v="14"/>
    <n v="3"/>
    <n v="4"/>
    <n v="0"/>
    <n v="23"/>
    <n v="3"/>
    <n v="4"/>
    <n v="21"/>
    <n v="7"/>
    <n v="15"/>
    <n v="17"/>
  </r>
  <r>
    <n v="36"/>
    <x v="1"/>
    <s v="Travel_Rarely"/>
    <n v="429"/>
    <x v="1"/>
    <n v="2"/>
    <n v="4"/>
    <s v="Life Sciences"/>
    <n v="1294"/>
    <n v="3"/>
    <x v="0"/>
    <n v="53"/>
    <n v="3"/>
    <n v="2"/>
    <s v="Manufacturing Director"/>
    <n v="2"/>
    <s v="Single"/>
    <n v="5410"/>
    <n v="2323"/>
    <n v="9"/>
    <x v="0"/>
    <n v="11"/>
    <n v="3"/>
    <n v="4"/>
    <n v="0"/>
    <n v="18"/>
    <n v="2"/>
    <n v="3"/>
    <n v="16"/>
    <n v="14"/>
    <n v="5"/>
    <n v="12"/>
  </r>
  <r>
    <n v="44"/>
    <x v="0"/>
    <s v="Travel_Rarely"/>
    <n v="621"/>
    <x v="1"/>
    <n v="15"/>
    <n v="3"/>
    <s v="Medical"/>
    <n v="1295"/>
    <n v="1"/>
    <x v="0"/>
    <n v="73"/>
    <n v="3"/>
    <n v="3"/>
    <s v="Healthcare Representative"/>
    <n v="4"/>
    <s v="Married"/>
    <n v="7978"/>
    <n v="14075"/>
    <n v="1"/>
    <x v="1"/>
    <n v="11"/>
    <n v="3"/>
    <n v="4"/>
    <n v="1"/>
    <n v="10"/>
    <n v="2"/>
    <n v="3"/>
    <n v="10"/>
    <n v="7"/>
    <n v="0"/>
    <n v="5"/>
  </r>
  <r>
    <n v="28"/>
    <x v="1"/>
    <s v="Travel_Frequently"/>
    <n v="193"/>
    <x v="1"/>
    <n v="2"/>
    <n v="3"/>
    <s v="Life Sciences"/>
    <n v="1296"/>
    <n v="4"/>
    <x v="1"/>
    <n v="52"/>
    <n v="2"/>
    <n v="1"/>
    <s v="Laboratory Technician"/>
    <n v="4"/>
    <s v="Married"/>
    <n v="3867"/>
    <n v="14222"/>
    <n v="1"/>
    <x v="0"/>
    <n v="12"/>
    <n v="3"/>
    <n v="2"/>
    <n v="1"/>
    <n v="2"/>
    <n v="2"/>
    <n v="3"/>
    <n v="2"/>
    <n v="2"/>
    <n v="2"/>
    <n v="2"/>
  </r>
  <r>
    <n v="51"/>
    <x v="1"/>
    <s v="Travel_Frequently"/>
    <n v="968"/>
    <x v="1"/>
    <n v="6"/>
    <n v="2"/>
    <s v="Medical"/>
    <n v="1297"/>
    <n v="2"/>
    <x v="0"/>
    <n v="40"/>
    <n v="2"/>
    <n v="1"/>
    <s v="Laboratory Technician"/>
    <n v="3"/>
    <s v="Single"/>
    <n v="2838"/>
    <n v="4257"/>
    <n v="0"/>
    <x v="1"/>
    <n v="14"/>
    <n v="3"/>
    <n v="2"/>
    <n v="0"/>
    <n v="8"/>
    <n v="6"/>
    <n v="2"/>
    <n v="7"/>
    <n v="0"/>
    <n v="7"/>
    <n v="7"/>
  </r>
  <r>
    <n v="30"/>
    <x v="1"/>
    <s v="Non-Travel"/>
    <n v="879"/>
    <x v="1"/>
    <n v="9"/>
    <n v="2"/>
    <s v="Medical"/>
    <n v="1298"/>
    <n v="3"/>
    <x v="0"/>
    <n v="72"/>
    <n v="3"/>
    <n v="2"/>
    <s v="Manufacturing Director"/>
    <n v="3"/>
    <s v="Single"/>
    <n v="4695"/>
    <n v="12858"/>
    <n v="7"/>
    <x v="0"/>
    <n v="18"/>
    <n v="3"/>
    <n v="3"/>
    <n v="0"/>
    <n v="10"/>
    <n v="3"/>
    <n v="3"/>
    <n v="8"/>
    <n v="4"/>
    <n v="1"/>
    <n v="7"/>
  </r>
  <r>
    <n v="29"/>
    <x v="0"/>
    <s v="Travel_Rarely"/>
    <n v="806"/>
    <x v="1"/>
    <n v="7"/>
    <n v="3"/>
    <s v="Technical Degree"/>
    <n v="1299"/>
    <n v="2"/>
    <x v="0"/>
    <n v="39"/>
    <n v="3"/>
    <n v="1"/>
    <s v="Laboratory Technician"/>
    <n v="3"/>
    <s v="Divorced"/>
    <n v="3339"/>
    <n v="17285"/>
    <n v="3"/>
    <x v="0"/>
    <n v="13"/>
    <n v="3"/>
    <n v="1"/>
    <n v="2"/>
    <n v="10"/>
    <n v="2"/>
    <n v="3"/>
    <n v="7"/>
    <n v="7"/>
    <n v="7"/>
    <n v="7"/>
  </r>
  <r>
    <n v="28"/>
    <x v="1"/>
    <s v="Travel_Rarely"/>
    <n v="640"/>
    <x v="1"/>
    <n v="1"/>
    <n v="3"/>
    <s v="Technical Degree"/>
    <n v="1301"/>
    <n v="4"/>
    <x v="1"/>
    <n v="84"/>
    <n v="3"/>
    <n v="1"/>
    <s v="Research Scientist"/>
    <n v="1"/>
    <s v="Single"/>
    <n v="2080"/>
    <n v="4732"/>
    <n v="2"/>
    <x v="1"/>
    <n v="11"/>
    <n v="3"/>
    <n v="2"/>
    <n v="0"/>
    <n v="5"/>
    <n v="2"/>
    <n v="2"/>
    <n v="3"/>
    <n v="2"/>
    <n v="1"/>
    <n v="2"/>
  </r>
  <r>
    <n v="25"/>
    <x v="1"/>
    <s v="Travel_Rarely"/>
    <n v="266"/>
    <x v="1"/>
    <n v="1"/>
    <n v="3"/>
    <s v="Medical"/>
    <n v="1303"/>
    <n v="4"/>
    <x v="0"/>
    <n v="40"/>
    <n v="3"/>
    <n v="1"/>
    <s v="Research Scientist"/>
    <n v="2"/>
    <s v="Single"/>
    <n v="2096"/>
    <n v="18830"/>
    <n v="1"/>
    <x v="1"/>
    <n v="18"/>
    <n v="3"/>
    <n v="4"/>
    <n v="0"/>
    <n v="2"/>
    <n v="3"/>
    <n v="2"/>
    <n v="2"/>
    <n v="2"/>
    <n v="2"/>
    <n v="1"/>
  </r>
  <r>
    <n v="32"/>
    <x v="1"/>
    <s v="Travel_Rarely"/>
    <n v="604"/>
    <x v="0"/>
    <n v="8"/>
    <n v="3"/>
    <s v="Medical"/>
    <n v="1304"/>
    <n v="3"/>
    <x v="1"/>
    <n v="56"/>
    <n v="4"/>
    <n v="2"/>
    <s v="Sales Executive"/>
    <n v="4"/>
    <s v="Married"/>
    <n v="6209"/>
    <n v="11693"/>
    <n v="1"/>
    <x v="1"/>
    <n v="15"/>
    <n v="3"/>
    <n v="3"/>
    <n v="2"/>
    <n v="10"/>
    <n v="4"/>
    <n v="4"/>
    <n v="10"/>
    <n v="7"/>
    <n v="0"/>
    <n v="8"/>
  </r>
  <r>
    <n v="45"/>
    <x v="1"/>
    <s v="Travel_Frequently"/>
    <n v="364"/>
    <x v="1"/>
    <n v="25"/>
    <n v="3"/>
    <s v="Medical"/>
    <n v="1306"/>
    <n v="2"/>
    <x v="0"/>
    <n v="83"/>
    <n v="3"/>
    <n v="5"/>
    <s v="Manager"/>
    <n v="2"/>
    <s v="Single"/>
    <n v="18061"/>
    <n v="13035"/>
    <n v="3"/>
    <x v="1"/>
    <n v="22"/>
    <n v="4"/>
    <n v="3"/>
    <n v="0"/>
    <n v="22"/>
    <n v="4"/>
    <n v="3"/>
    <n v="0"/>
    <n v="0"/>
    <n v="0"/>
    <n v="0"/>
  </r>
  <r>
    <n v="39"/>
    <x v="1"/>
    <s v="Travel_Rarely"/>
    <n v="412"/>
    <x v="1"/>
    <n v="13"/>
    <n v="4"/>
    <s v="Medical"/>
    <n v="1307"/>
    <n v="3"/>
    <x v="0"/>
    <n v="94"/>
    <n v="2"/>
    <n v="4"/>
    <s v="Manager"/>
    <n v="2"/>
    <s v="Divorced"/>
    <n v="17123"/>
    <n v="17334"/>
    <n v="6"/>
    <x v="0"/>
    <n v="13"/>
    <n v="3"/>
    <n v="4"/>
    <n v="2"/>
    <n v="21"/>
    <n v="4"/>
    <n v="3"/>
    <n v="19"/>
    <n v="9"/>
    <n v="15"/>
    <n v="2"/>
  </r>
  <r>
    <n v="58"/>
    <x v="1"/>
    <s v="Travel_Rarely"/>
    <n v="848"/>
    <x v="1"/>
    <n v="23"/>
    <n v="4"/>
    <s v="Life Sciences"/>
    <n v="1308"/>
    <n v="1"/>
    <x v="1"/>
    <n v="88"/>
    <n v="3"/>
    <n v="1"/>
    <s v="Research Scientist"/>
    <n v="3"/>
    <s v="Divorced"/>
    <n v="2372"/>
    <n v="26076"/>
    <n v="1"/>
    <x v="1"/>
    <n v="12"/>
    <n v="3"/>
    <n v="4"/>
    <n v="2"/>
    <n v="2"/>
    <n v="3"/>
    <n v="3"/>
    <n v="2"/>
    <n v="2"/>
    <n v="2"/>
    <n v="2"/>
  </r>
  <r>
    <n v="32"/>
    <x v="0"/>
    <s v="Travel_Rarely"/>
    <n v="1089"/>
    <x v="1"/>
    <n v="7"/>
    <n v="2"/>
    <s v="Life Sciences"/>
    <n v="1309"/>
    <n v="4"/>
    <x v="1"/>
    <n v="79"/>
    <n v="3"/>
    <n v="2"/>
    <s v="Laboratory Technician"/>
    <n v="3"/>
    <s v="Married"/>
    <n v="4883"/>
    <n v="22845"/>
    <n v="1"/>
    <x v="1"/>
    <n v="18"/>
    <n v="3"/>
    <n v="1"/>
    <n v="1"/>
    <n v="10"/>
    <n v="3"/>
    <n v="3"/>
    <n v="10"/>
    <n v="4"/>
    <n v="1"/>
    <n v="1"/>
  </r>
  <r>
    <n v="39"/>
    <x v="0"/>
    <s v="Travel_Rarely"/>
    <n v="360"/>
    <x v="1"/>
    <n v="23"/>
    <n v="3"/>
    <s v="Medical"/>
    <n v="1310"/>
    <n v="3"/>
    <x v="1"/>
    <n v="93"/>
    <n v="3"/>
    <n v="1"/>
    <s v="Research Scientist"/>
    <n v="1"/>
    <s v="Single"/>
    <n v="3904"/>
    <n v="22154"/>
    <n v="0"/>
    <x v="1"/>
    <n v="13"/>
    <n v="3"/>
    <n v="1"/>
    <n v="0"/>
    <n v="6"/>
    <n v="2"/>
    <n v="3"/>
    <n v="5"/>
    <n v="2"/>
    <n v="0"/>
    <n v="3"/>
  </r>
  <r>
    <n v="30"/>
    <x v="1"/>
    <s v="Travel_Rarely"/>
    <n v="1138"/>
    <x v="1"/>
    <n v="6"/>
    <n v="3"/>
    <s v="Technical Degree"/>
    <n v="1311"/>
    <n v="1"/>
    <x v="0"/>
    <n v="48"/>
    <n v="2"/>
    <n v="2"/>
    <s v="Laboratory Technician"/>
    <n v="4"/>
    <s v="Married"/>
    <n v="4627"/>
    <n v="23631"/>
    <n v="0"/>
    <x v="1"/>
    <n v="12"/>
    <n v="3"/>
    <n v="1"/>
    <n v="1"/>
    <n v="10"/>
    <n v="6"/>
    <n v="3"/>
    <n v="9"/>
    <n v="2"/>
    <n v="6"/>
    <n v="7"/>
  </r>
  <r>
    <n v="36"/>
    <x v="1"/>
    <s v="Travel_Rarely"/>
    <n v="325"/>
    <x v="1"/>
    <n v="10"/>
    <n v="4"/>
    <s v="Technical Degree"/>
    <n v="1312"/>
    <n v="4"/>
    <x v="0"/>
    <n v="63"/>
    <n v="3"/>
    <n v="3"/>
    <s v="Healthcare Representative"/>
    <n v="3"/>
    <s v="Married"/>
    <n v="7094"/>
    <n v="5747"/>
    <n v="3"/>
    <x v="1"/>
    <n v="12"/>
    <n v="3"/>
    <n v="1"/>
    <n v="0"/>
    <n v="10"/>
    <n v="0"/>
    <n v="3"/>
    <n v="7"/>
    <n v="7"/>
    <n v="1"/>
    <n v="7"/>
  </r>
  <r>
    <n v="46"/>
    <x v="1"/>
    <s v="Travel_Rarely"/>
    <n v="991"/>
    <x v="2"/>
    <n v="1"/>
    <n v="2"/>
    <s v="Life Sciences"/>
    <n v="1314"/>
    <n v="4"/>
    <x v="0"/>
    <n v="44"/>
    <n v="3"/>
    <n v="1"/>
    <s v="Human Resources"/>
    <n v="1"/>
    <s v="Single"/>
    <n v="3423"/>
    <n v="22957"/>
    <n v="6"/>
    <x v="1"/>
    <n v="12"/>
    <n v="3"/>
    <n v="3"/>
    <n v="0"/>
    <n v="10"/>
    <n v="3"/>
    <n v="4"/>
    <n v="7"/>
    <n v="6"/>
    <n v="5"/>
    <n v="7"/>
  </r>
  <r>
    <n v="28"/>
    <x v="1"/>
    <s v="Non-Travel"/>
    <n v="1476"/>
    <x v="1"/>
    <n v="1"/>
    <n v="3"/>
    <s v="Life Sciences"/>
    <n v="1315"/>
    <n v="3"/>
    <x v="0"/>
    <n v="55"/>
    <n v="1"/>
    <n v="2"/>
    <s v="Laboratory Technician"/>
    <n v="4"/>
    <s v="Married"/>
    <n v="6674"/>
    <n v="16392"/>
    <n v="0"/>
    <x v="1"/>
    <n v="11"/>
    <n v="3"/>
    <n v="1"/>
    <n v="3"/>
    <n v="10"/>
    <n v="6"/>
    <n v="3"/>
    <n v="9"/>
    <n v="8"/>
    <n v="7"/>
    <n v="5"/>
  </r>
  <r>
    <n v="50"/>
    <x v="1"/>
    <s v="Travel_Rarely"/>
    <n v="1322"/>
    <x v="1"/>
    <n v="28"/>
    <n v="3"/>
    <s v="Life Sciences"/>
    <n v="1317"/>
    <n v="4"/>
    <x v="0"/>
    <n v="43"/>
    <n v="3"/>
    <n v="4"/>
    <s v="Research Director"/>
    <n v="1"/>
    <s v="Married"/>
    <n v="16880"/>
    <n v="22422"/>
    <n v="4"/>
    <x v="0"/>
    <n v="11"/>
    <n v="3"/>
    <n v="2"/>
    <n v="0"/>
    <n v="25"/>
    <n v="2"/>
    <n v="3"/>
    <n v="3"/>
    <n v="2"/>
    <n v="1"/>
    <n v="2"/>
  </r>
  <r>
    <n v="40"/>
    <x v="0"/>
    <s v="Travel_Rarely"/>
    <n v="299"/>
    <x v="0"/>
    <n v="25"/>
    <n v="4"/>
    <s v="Marketing"/>
    <n v="1318"/>
    <n v="4"/>
    <x v="1"/>
    <n v="57"/>
    <n v="2"/>
    <n v="3"/>
    <s v="Sales Executive"/>
    <n v="2"/>
    <s v="Single"/>
    <n v="9094"/>
    <n v="17235"/>
    <n v="2"/>
    <x v="0"/>
    <n v="12"/>
    <n v="3"/>
    <n v="3"/>
    <n v="0"/>
    <n v="9"/>
    <n v="2"/>
    <n v="3"/>
    <n v="5"/>
    <n v="4"/>
    <n v="1"/>
    <n v="0"/>
  </r>
  <r>
    <n v="52"/>
    <x v="0"/>
    <s v="Travel_Rarely"/>
    <n v="1030"/>
    <x v="0"/>
    <n v="5"/>
    <n v="3"/>
    <s v="Life Sciences"/>
    <n v="1319"/>
    <n v="2"/>
    <x v="1"/>
    <n v="64"/>
    <n v="3"/>
    <n v="3"/>
    <s v="Sales Executive"/>
    <n v="2"/>
    <s v="Single"/>
    <n v="8446"/>
    <n v="21534"/>
    <n v="9"/>
    <x v="0"/>
    <n v="19"/>
    <n v="3"/>
    <n v="3"/>
    <n v="0"/>
    <n v="10"/>
    <n v="2"/>
    <n v="2"/>
    <n v="8"/>
    <n v="7"/>
    <n v="7"/>
    <n v="7"/>
  </r>
  <r>
    <n v="30"/>
    <x v="1"/>
    <s v="Travel_Rarely"/>
    <n v="634"/>
    <x v="1"/>
    <n v="17"/>
    <n v="4"/>
    <s v="Medical"/>
    <n v="1321"/>
    <n v="2"/>
    <x v="0"/>
    <n v="95"/>
    <n v="3"/>
    <n v="3"/>
    <s v="Manager"/>
    <n v="1"/>
    <s v="Married"/>
    <n v="11916"/>
    <n v="25927"/>
    <n v="1"/>
    <x v="0"/>
    <n v="23"/>
    <n v="4"/>
    <n v="4"/>
    <n v="2"/>
    <n v="9"/>
    <n v="2"/>
    <n v="3"/>
    <n v="9"/>
    <n v="1"/>
    <n v="0"/>
    <n v="8"/>
  </r>
  <r>
    <n v="39"/>
    <x v="1"/>
    <s v="Travel_Rarely"/>
    <n v="524"/>
    <x v="1"/>
    <n v="18"/>
    <n v="2"/>
    <s v="Life Sciences"/>
    <n v="1322"/>
    <n v="1"/>
    <x v="1"/>
    <n v="32"/>
    <n v="3"/>
    <n v="2"/>
    <s v="Manufacturing Director"/>
    <n v="3"/>
    <s v="Single"/>
    <n v="4534"/>
    <n v="13352"/>
    <n v="0"/>
    <x v="1"/>
    <n v="11"/>
    <n v="3"/>
    <n v="1"/>
    <n v="0"/>
    <n v="9"/>
    <n v="6"/>
    <n v="3"/>
    <n v="8"/>
    <n v="7"/>
    <n v="1"/>
    <n v="7"/>
  </r>
  <r>
    <n v="31"/>
    <x v="1"/>
    <s v="Non-Travel"/>
    <n v="587"/>
    <x v="0"/>
    <n v="2"/>
    <n v="4"/>
    <s v="Life Sciences"/>
    <n v="1324"/>
    <n v="4"/>
    <x v="0"/>
    <n v="57"/>
    <n v="3"/>
    <n v="3"/>
    <s v="Sales Executive"/>
    <n v="3"/>
    <s v="Divorced"/>
    <n v="9852"/>
    <n v="8935"/>
    <n v="1"/>
    <x v="0"/>
    <n v="19"/>
    <n v="3"/>
    <n v="1"/>
    <n v="1"/>
    <n v="10"/>
    <n v="5"/>
    <n v="2"/>
    <n v="10"/>
    <n v="8"/>
    <n v="9"/>
    <n v="6"/>
  </r>
  <r>
    <n v="41"/>
    <x v="1"/>
    <s v="Non-Travel"/>
    <n v="256"/>
    <x v="0"/>
    <n v="10"/>
    <n v="2"/>
    <s v="Medical"/>
    <n v="1329"/>
    <n v="3"/>
    <x v="1"/>
    <n v="40"/>
    <n v="1"/>
    <n v="2"/>
    <s v="Sales Executive"/>
    <n v="2"/>
    <s v="Single"/>
    <n v="6151"/>
    <n v="22074"/>
    <n v="1"/>
    <x v="1"/>
    <n v="13"/>
    <n v="3"/>
    <n v="1"/>
    <n v="0"/>
    <n v="19"/>
    <n v="4"/>
    <n v="3"/>
    <n v="19"/>
    <n v="2"/>
    <n v="11"/>
    <n v="9"/>
  </r>
  <r>
    <n v="31"/>
    <x v="0"/>
    <s v="Travel_Frequently"/>
    <n v="1060"/>
    <x v="0"/>
    <n v="1"/>
    <n v="3"/>
    <s v="Life Sciences"/>
    <n v="1331"/>
    <n v="4"/>
    <x v="0"/>
    <n v="54"/>
    <n v="3"/>
    <n v="1"/>
    <s v="Sales Representative"/>
    <n v="2"/>
    <s v="Single"/>
    <n v="2302"/>
    <n v="8319"/>
    <n v="1"/>
    <x v="0"/>
    <n v="11"/>
    <n v="3"/>
    <n v="1"/>
    <n v="0"/>
    <n v="3"/>
    <n v="2"/>
    <n v="4"/>
    <n v="3"/>
    <n v="2"/>
    <n v="2"/>
    <n v="2"/>
  </r>
  <r>
    <n v="44"/>
    <x v="0"/>
    <s v="Travel_Rarely"/>
    <n v="935"/>
    <x v="1"/>
    <n v="3"/>
    <n v="3"/>
    <s v="Life Sciences"/>
    <n v="1333"/>
    <n v="1"/>
    <x v="1"/>
    <n v="89"/>
    <n v="3"/>
    <n v="1"/>
    <s v="Laboratory Technician"/>
    <n v="1"/>
    <s v="Married"/>
    <n v="2362"/>
    <n v="14669"/>
    <n v="4"/>
    <x v="1"/>
    <n v="12"/>
    <n v="3"/>
    <n v="3"/>
    <n v="0"/>
    <n v="10"/>
    <n v="4"/>
    <n v="4"/>
    <n v="3"/>
    <n v="2"/>
    <n v="1"/>
    <n v="2"/>
  </r>
  <r>
    <n v="42"/>
    <x v="1"/>
    <s v="Non-Travel"/>
    <n v="495"/>
    <x v="1"/>
    <n v="2"/>
    <n v="1"/>
    <s v="Life Sciences"/>
    <n v="1334"/>
    <n v="3"/>
    <x v="1"/>
    <n v="37"/>
    <n v="3"/>
    <n v="4"/>
    <s v="Manager"/>
    <n v="3"/>
    <s v="Married"/>
    <n v="17861"/>
    <n v="26582"/>
    <n v="0"/>
    <x v="0"/>
    <n v="13"/>
    <n v="3"/>
    <n v="4"/>
    <n v="0"/>
    <n v="21"/>
    <n v="3"/>
    <n v="2"/>
    <n v="20"/>
    <n v="8"/>
    <n v="2"/>
    <n v="10"/>
  </r>
  <r>
    <n v="55"/>
    <x v="1"/>
    <s v="Travel_Rarely"/>
    <n v="282"/>
    <x v="1"/>
    <n v="2"/>
    <n v="2"/>
    <s v="Medical"/>
    <n v="1336"/>
    <n v="4"/>
    <x v="0"/>
    <n v="58"/>
    <n v="1"/>
    <n v="5"/>
    <s v="Manager"/>
    <n v="3"/>
    <s v="Married"/>
    <n v="19187"/>
    <n v="6992"/>
    <n v="4"/>
    <x v="1"/>
    <n v="14"/>
    <n v="3"/>
    <n v="4"/>
    <n v="1"/>
    <n v="23"/>
    <n v="5"/>
    <n v="3"/>
    <n v="19"/>
    <n v="9"/>
    <n v="9"/>
    <n v="11"/>
  </r>
  <r>
    <n v="56"/>
    <x v="1"/>
    <s v="Travel_Rarely"/>
    <n v="206"/>
    <x v="2"/>
    <n v="8"/>
    <n v="4"/>
    <s v="Life Sciences"/>
    <n v="1338"/>
    <n v="4"/>
    <x v="1"/>
    <n v="99"/>
    <n v="3"/>
    <n v="5"/>
    <s v="Manager"/>
    <n v="2"/>
    <s v="Single"/>
    <n v="19717"/>
    <n v="4022"/>
    <n v="6"/>
    <x v="1"/>
    <n v="14"/>
    <n v="3"/>
    <n v="1"/>
    <n v="0"/>
    <n v="36"/>
    <n v="4"/>
    <n v="3"/>
    <n v="7"/>
    <n v="3"/>
    <n v="7"/>
    <n v="7"/>
  </r>
  <r>
    <n v="40"/>
    <x v="1"/>
    <s v="Non-Travel"/>
    <n v="458"/>
    <x v="1"/>
    <n v="16"/>
    <n v="2"/>
    <s v="Life Sciences"/>
    <n v="1340"/>
    <n v="3"/>
    <x v="1"/>
    <n v="74"/>
    <n v="3"/>
    <n v="1"/>
    <s v="Research Scientist"/>
    <n v="3"/>
    <s v="Divorced"/>
    <n v="3544"/>
    <n v="8532"/>
    <n v="9"/>
    <x v="1"/>
    <n v="16"/>
    <n v="3"/>
    <n v="2"/>
    <n v="1"/>
    <n v="6"/>
    <n v="0"/>
    <n v="3"/>
    <n v="4"/>
    <n v="2"/>
    <n v="0"/>
    <n v="0"/>
  </r>
  <r>
    <n v="34"/>
    <x v="1"/>
    <s v="Travel_Rarely"/>
    <n v="943"/>
    <x v="1"/>
    <n v="9"/>
    <n v="3"/>
    <s v="Life Sciences"/>
    <n v="1344"/>
    <n v="4"/>
    <x v="1"/>
    <n v="86"/>
    <n v="3"/>
    <n v="3"/>
    <s v="Healthcare Representative"/>
    <n v="4"/>
    <s v="Divorced"/>
    <n v="8500"/>
    <n v="5494"/>
    <n v="0"/>
    <x v="1"/>
    <n v="11"/>
    <n v="3"/>
    <n v="4"/>
    <n v="1"/>
    <n v="10"/>
    <n v="0"/>
    <n v="2"/>
    <n v="9"/>
    <n v="7"/>
    <n v="1"/>
    <n v="6"/>
  </r>
  <r>
    <n v="40"/>
    <x v="1"/>
    <s v="Travel_Rarely"/>
    <n v="523"/>
    <x v="1"/>
    <n v="2"/>
    <n v="3"/>
    <s v="Life Sciences"/>
    <n v="1346"/>
    <n v="3"/>
    <x v="1"/>
    <n v="98"/>
    <n v="3"/>
    <n v="2"/>
    <s v="Research Scientist"/>
    <n v="4"/>
    <s v="Single"/>
    <n v="4661"/>
    <n v="22455"/>
    <n v="1"/>
    <x v="1"/>
    <n v="13"/>
    <n v="3"/>
    <n v="3"/>
    <n v="0"/>
    <n v="9"/>
    <n v="4"/>
    <n v="3"/>
    <n v="9"/>
    <n v="8"/>
    <n v="8"/>
    <n v="8"/>
  </r>
  <r>
    <n v="41"/>
    <x v="1"/>
    <s v="Travel_Frequently"/>
    <n v="1018"/>
    <x v="0"/>
    <n v="1"/>
    <n v="3"/>
    <s v="Marketing"/>
    <n v="1349"/>
    <n v="3"/>
    <x v="0"/>
    <n v="66"/>
    <n v="3"/>
    <n v="2"/>
    <s v="Sales Executive"/>
    <n v="1"/>
    <s v="Divorced"/>
    <n v="4103"/>
    <n v="4297"/>
    <n v="0"/>
    <x v="1"/>
    <n v="17"/>
    <n v="3"/>
    <n v="4"/>
    <n v="1"/>
    <n v="10"/>
    <n v="2"/>
    <n v="3"/>
    <n v="9"/>
    <n v="3"/>
    <n v="1"/>
    <n v="7"/>
  </r>
  <r>
    <n v="35"/>
    <x v="1"/>
    <s v="Travel_Frequently"/>
    <n v="482"/>
    <x v="1"/>
    <n v="4"/>
    <n v="4"/>
    <s v="Life Sciences"/>
    <n v="1350"/>
    <n v="3"/>
    <x v="1"/>
    <n v="87"/>
    <n v="3"/>
    <n v="2"/>
    <s v="Research Scientist"/>
    <n v="3"/>
    <s v="Single"/>
    <n v="4249"/>
    <n v="2690"/>
    <n v="1"/>
    <x v="0"/>
    <n v="11"/>
    <n v="3"/>
    <n v="2"/>
    <n v="0"/>
    <n v="9"/>
    <n v="3"/>
    <n v="3"/>
    <n v="9"/>
    <n v="6"/>
    <n v="1"/>
    <n v="1"/>
  </r>
  <r>
    <n v="51"/>
    <x v="1"/>
    <s v="Travel_Rarely"/>
    <n v="770"/>
    <x v="2"/>
    <n v="5"/>
    <n v="3"/>
    <s v="Life Sciences"/>
    <n v="1352"/>
    <n v="3"/>
    <x v="1"/>
    <n v="84"/>
    <n v="3"/>
    <n v="4"/>
    <s v="Manager"/>
    <n v="2"/>
    <s v="Divorced"/>
    <n v="14026"/>
    <n v="17588"/>
    <n v="1"/>
    <x v="0"/>
    <n v="11"/>
    <n v="3"/>
    <n v="2"/>
    <n v="1"/>
    <n v="33"/>
    <n v="2"/>
    <n v="3"/>
    <n v="33"/>
    <n v="9"/>
    <n v="0"/>
    <n v="10"/>
  </r>
  <r>
    <n v="38"/>
    <x v="1"/>
    <s v="Travel_Rarely"/>
    <n v="1009"/>
    <x v="0"/>
    <n v="2"/>
    <n v="2"/>
    <s v="Life Sciences"/>
    <n v="1355"/>
    <n v="2"/>
    <x v="0"/>
    <n v="31"/>
    <n v="3"/>
    <n v="2"/>
    <s v="Sales Executive"/>
    <n v="1"/>
    <s v="Divorced"/>
    <n v="6893"/>
    <n v="19461"/>
    <n v="3"/>
    <x v="1"/>
    <n v="15"/>
    <n v="3"/>
    <n v="4"/>
    <n v="1"/>
    <n v="11"/>
    <n v="3"/>
    <n v="3"/>
    <n v="7"/>
    <n v="7"/>
    <n v="1"/>
    <n v="7"/>
  </r>
  <r>
    <n v="34"/>
    <x v="1"/>
    <s v="Travel_Rarely"/>
    <n v="507"/>
    <x v="0"/>
    <n v="15"/>
    <n v="2"/>
    <s v="Medical"/>
    <n v="1356"/>
    <n v="3"/>
    <x v="0"/>
    <n v="66"/>
    <n v="3"/>
    <n v="2"/>
    <s v="Sales Executive"/>
    <n v="1"/>
    <s v="Single"/>
    <n v="6125"/>
    <n v="23553"/>
    <n v="1"/>
    <x v="1"/>
    <n v="12"/>
    <n v="3"/>
    <n v="4"/>
    <n v="0"/>
    <n v="10"/>
    <n v="6"/>
    <n v="4"/>
    <n v="10"/>
    <n v="8"/>
    <n v="9"/>
    <n v="6"/>
  </r>
  <r>
    <n v="25"/>
    <x v="1"/>
    <s v="Travel_Rarely"/>
    <n v="882"/>
    <x v="1"/>
    <n v="19"/>
    <n v="1"/>
    <s v="Medical"/>
    <n v="1358"/>
    <n v="4"/>
    <x v="1"/>
    <n v="67"/>
    <n v="3"/>
    <n v="1"/>
    <s v="Laboratory Technician"/>
    <n v="4"/>
    <s v="Married"/>
    <n v="3669"/>
    <n v="9075"/>
    <n v="3"/>
    <x v="1"/>
    <n v="11"/>
    <n v="3"/>
    <n v="3"/>
    <n v="3"/>
    <n v="7"/>
    <n v="6"/>
    <n v="2"/>
    <n v="3"/>
    <n v="2"/>
    <n v="1"/>
    <n v="2"/>
  </r>
  <r>
    <n v="58"/>
    <x v="0"/>
    <s v="Travel_Rarely"/>
    <n v="601"/>
    <x v="1"/>
    <n v="7"/>
    <n v="4"/>
    <s v="Medical"/>
    <n v="1360"/>
    <n v="3"/>
    <x v="0"/>
    <n v="53"/>
    <n v="2"/>
    <n v="3"/>
    <s v="Manufacturing Director"/>
    <n v="1"/>
    <s v="Married"/>
    <n v="10008"/>
    <n v="12023"/>
    <n v="7"/>
    <x v="0"/>
    <n v="14"/>
    <n v="3"/>
    <n v="4"/>
    <n v="0"/>
    <n v="31"/>
    <n v="0"/>
    <n v="2"/>
    <n v="10"/>
    <n v="9"/>
    <n v="5"/>
    <n v="9"/>
  </r>
  <r>
    <n v="40"/>
    <x v="1"/>
    <s v="Travel_Rarely"/>
    <n v="329"/>
    <x v="1"/>
    <n v="1"/>
    <n v="4"/>
    <s v="Life Sciences"/>
    <n v="1361"/>
    <n v="2"/>
    <x v="1"/>
    <n v="88"/>
    <n v="3"/>
    <n v="1"/>
    <s v="Laboratory Technician"/>
    <n v="2"/>
    <s v="Married"/>
    <n v="2387"/>
    <n v="6762"/>
    <n v="3"/>
    <x v="1"/>
    <n v="22"/>
    <n v="4"/>
    <n v="3"/>
    <n v="1"/>
    <n v="7"/>
    <n v="3"/>
    <n v="3"/>
    <n v="4"/>
    <n v="2"/>
    <n v="0"/>
    <n v="3"/>
  </r>
  <r>
    <n v="36"/>
    <x v="1"/>
    <s v="Travel_Frequently"/>
    <n v="607"/>
    <x v="0"/>
    <n v="7"/>
    <n v="3"/>
    <s v="Marketing"/>
    <n v="1362"/>
    <n v="1"/>
    <x v="0"/>
    <n v="83"/>
    <n v="4"/>
    <n v="2"/>
    <s v="Sales Executive"/>
    <n v="1"/>
    <s v="Married"/>
    <n v="4639"/>
    <n v="2261"/>
    <n v="2"/>
    <x v="1"/>
    <n v="16"/>
    <n v="3"/>
    <n v="4"/>
    <n v="1"/>
    <n v="17"/>
    <n v="2"/>
    <n v="2"/>
    <n v="15"/>
    <n v="7"/>
    <n v="6"/>
    <n v="13"/>
  </r>
  <r>
    <n v="48"/>
    <x v="1"/>
    <s v="Travel_Rarely"/>
    <n v="855"/>
    <x v="1"/>
    <n v="4"/>
    <n v="3"/>
    <s v="Life Sciences"/>
    <n v="1363"/>
    <n v="4"/>
    <x v="1"/>
    <n v="54"/>
    <n v="3"/>
    <n v="3"/>
    <s v="Manufacturing Director"/>
    <n v="4"/>
    <s v="Single"/>
    <n v="7898"/>
    <n v="18706"/>
    <n v="1"/>
    <x v="1"/>
    <n v="11"/>
    <n v="3"/>
    <n v="3"/>
    <n v="0"/>
    <n v="11"/>
    <n v="2"/>
    <n v="3"/>
    <n v="10"/>
    <n v="9"/>
    <n v="0"/>
    <n v="8"/>
  </r>
  <r>
    <n v="27"/>
    <x v="1"/>
    <s v="Travel_Rarely"/>
    <n v="1291"/>
    <x v="0"/>
    <n v="11"/>
    <n v="3"/>
    <s v="Medical"/>
    <n v="1364"/>
    <n v="3"/>
    <x v="0"/>
    <n v="98"/>
    <n v="4"/>
    <n v="1"/>
    <s v="Sales Representative"/>
    <n v="4"/>
    <s v="Married"/>
    <n v="2534"/>
    <n v="6527"/>
    <n v="8"/>
    <x v="1"/>
    <n v="14"/>
    <n v="3"/>
    <n v="2"/>
    <n v="1"/>
    <n v="5"/>
    <n v="4"/>
    <n v="3"/>
    <n v="1"/>
    <n v="0"/>
    <n v="0"/>
    <n v="0"/>
  </r>
  <r>
    <n v="51"/>
    <x v="1"/>
    <s v="Travel_Rarely"/>
    <n v="1405"/>
    <x v="1"/>
    <n v="11"/>
    <n v="2"/>
    <s v="Technical Degree"/>
    <n v="1367"/>
    <n v="4"/>
    <x v="0"/>
    <n v="82"/>
    <n v="2"/>
    <n v="4"/>
    <s v="Manufacturing Director"/>
    <n v="2"/>
    <s v="Single"/>
    <n v="13142"/>
    <n v="24439"/>
    <n v="3"/>
    <x v="1"/>
    <n v="16"/>
    <n v="3"/>
    <n v="2"/>
    <n v="0"/>
    <n v="29"/>
    <n v="1"/>
    <n v="2"/>
    <n v="5"/>
    <n v="2"/>
    <n v="0"/>
    <n v="3"/>
  </r>
  <r>
    <n v="18"/>
    <x v="1"/>
    <s v="Non-Travel"/>
    <n v="1124"/>
    <x v="1"/>
    <n v="1"/>
    <n v="3"/>
    <s v="Life Sciences"/>
    <n v="1368"/>
    <n v="4"/>
    <x v="0"/>
    <n v="97"/>
    <n v="3"/>
    <n v="1"/>
    <s v="Laboratory Technician"/>
    <n v="4"/>
    <s v="Single"/>
    <n v="1611"/>
    <n v="19305"/>
    <n v="1"/>
    <x v="1"/>
    <n v="15"/>
    <n v="3"/>
    <n v="3"/>
    <n v="0"/>
    <n v="0"/>
    <n v="5"/>
    <n v="4"/>
    <n v="0"/>
    <n v="0"/>
    <n v="0"/>
    <n v="0"/>
  </r>
  <r>
    <n v="35"/>
    <x v="1"/>
    <s v="Travel_Rarely"/>
    <n v="817"/>
    <x v="1"/>
    <n v="1"/>
    <n v="3"/>
    <s v="Medical"/>
    <n v="1369"/>
    <n v="4"/>
    <x v="0"/>
    <n v="60"/>
    <n v="2"/>
    <n v="2"/>
    <s v="Laboratory Technician"/>
    <n v="4"/>
    <s v="Married"/>
    <n v="5363"/>
    <n v="10846"/>
    <n v="0"/>
    <x v="1"/>
    <n v="12"/>
    <n v="3"/>
    <n v="2"/>
    <n v="1"/>
    <n v="10"/>
    <n v="0"/>
    <n v="3"/>
    <n v="9"/>
    <n v="7"/>
    <n v="0"/>
    <n v="0"/>
  </r>
  <r>
    <n v="27"/>
    <x v="1"/>
    <s v="Travel_Frequently"/>
    <n v="793"/>
    <x v="0"/>
    <n v="2"/>
    <n v="1"/>
    <s v="Life Sciences"/>
    <n v="1371"/>
    <n v="4"/>
    <x v="1"/>
    <n v="43"/>
    <n v="1"/>
    <n v="2"/>
    <s v="Sales Executive"/>
    <n v="4"/>
    <s v="Single"/>
    <n v="5071"/>
    <n v="20392"/>
    <n v="3"/>
    <x v="1"/>
    <n v="20"/>
    <n v="4"/>
    <n v="2"/>
    <n v="0"/>
    <n v="8"/>
    <n v="3"/>
    <n v="3"/>
    <n v="6"/>
    <n v="2"/>
    <n v="0"/>
    <n v="0"/>
  </r>
  <r>
    <n v="55"/>
    <x v="0"/>
    <s v="Travel_Rarely"/>
    <n v="267"/>
    <x v="0"/>
    <n v="13"/>
    <n v="4"/>
    <s v="Marketing"/>
    <n v="1372"/>
    <n v="1"/>
    <x v="1"/>
    <n v="85"/>
    <n v="4"/>
    <n v="4"/>
    <s v="Sales Executive"/>
    <n v="3"/>
    <s v="Single"/>
    <n v="13695"/>
    <n v="9277"/>
    <n v="6"/>
    <x v="0"/>
    <n v="17"/>
    <n v="3"/>
    <n v="3"/>
    <n v="0"/>
    <n v="24"/>
    <n v="2"/>
    <n v="2"/>
    <n v="19"/>
    <n v="7"/>
    <n v="3"/>
    <n v="8"/>
  </r>
  <r>
    <n v="56"/>
    <x v="1"/>
    <s v="Travel_Rarely"/>
    <n v="1369"/>
    <x v="1"/>
    <n v="23"/>
    <n v="3"/>
    <s v="Life Sciences"/>
    <n v="1373"/>
    <n v="4"/>
    <x v="1"/>
    <n v="68"/>
    <n v="3"/>
    <n v="4"/>
    <s v="Manufacturing Director"/>
    <n v="2"/>
    <s v="Married"/>
    <n v="13402"/>
    <n v="18235"/>
    <n v="4"/>
    <x v="0"/>
    <n v="12"/>
    <n v="3"/>
    <n v="1"/>
    <n v="1"/>
    <n v="33"/>
    <n v="0"/>
    <n v="3"/>
    <n v="19"/>
    <n v="16"/>
    <n v="15"/>
    <n v="9"/>
  </r>
  <r>
    <n v="34"/>
    <x v="1"/>
    <s v="Non-Travel"/>
    <n v="999"/>
    <x v="1"/>
    <n v="26"/>
    <n v="1"/>
    <s v="Technical Degree"/>
    <n v="1374"/>
    <n v="1"/>
    <x v="0"/>
    <n v="92"/>
    <n v="2"/>
    <n v="1"/>
    <s v="Research Scientist"/>
    <n v="3"/>
    <s v="Divorced"/>
    <n v="2029"/>
    <n v="15891"/>
    <n v="1"/>
    <x v="1"/>
    <n v="20"/>
    <n v="4"/>
    <n v="3"/>
    <n v="3"/>
    <n v="5"/>
    <n v="2"/>
    <n v="3"/>
    <n v="5"/>
    <n v="4"/>
    <n v="0"/>
    <n v="0"/>
  </r>
  <r>
    <n v="40"/>
    <x v="1"/>
    <s v="Travel_Rarely"/>
    <n v="1202"/>
    <x v="1"/>
    <n v="2"/>
    <n v="1"/>
    <s v="Medical"/>
    <n v="1375"/>
    <n v="2"/>
    <x v="0"/>
    <n v="89"/>
    <n v="4"/>
    <n v="2"/>
    <s v="Healthcare Representative"/>
    <n v="3"/>
    <s v="Divorced"/>
    <n v="6377"/>
    <n v="13888"/>
    <n v="5"/>
    <x v="1"/>
    <n v="20"/>
    <n v="4"/>
    <n v="2"/>
    <n v="3"/>
    <n v="15"/>
    <n v="0"/>
    <n v="3"/>
    <n v="12"/>
    <n v="11"/>
    <n v="11"/>
    <n v="8"/>
  </r>
  <r>
    <n v="34"/>
    <x v="1"/>
    <s v="Travel_Rarely"/>
    <n v="285"/>
    <x v="1"/>
    <n v="29"/>
    <n v="3"/>
    <s v="Medical"/>
    <n v="1377"/>
    <n v="2"/>
    <x v="1"/>
    <n v="86"/>
    <n v="3"/>
    <n v="2"/>
    <s v="Laboratory Technician"/>
    <n v="3"/>
    <s v="Married"/>
    <n v="5429"/>
    <n v="17491"/>
    <n v="4"/>
    <x v="1"/>
    <n v="13"/>
    <n v="3"/>
    <n v="1"/>
    <n v="2"/>
    <n v="10"/>
    <n v="1"/>
    <n v="3"/>
    <n v="8"/>
    <n v="7"/>
    <n v="7"/>
    <n v="7"/>
  </r>
  <r>
    <n v="31"/>
    <x v="0"/>
    <s v="Travel_Frequently"/>
    <n v="703"/>
    <x v="0"/>
    <n v="2"/>
    <n v="3"/>
    <s v="Life Sciences"/>
    <n v="1379"/>
    <n v="3"/>
    <x v="0"/>
    <n v="90"/>
    <n v="2"/>
    <n v="1"/>
    <s v="Sales Representative"/>
    <n v="4"/>
    <s v="Single"/>
    <n v="2785"/>
    <n v="11882"/>
    <n v="7"/>
    <x v="1"/>
    <n v="14"/>
    <n v="3"/>
    <n v="3"/>
    <n v="0"/>
    <n v="3"/>
    <n v="3"/>
    <n v="4"/>
    <n v="1"/>
    <n v="0"/>
    <n v="0"/>
    <n v="0"/>
  </r>
  <r>
    <n v="35"/>
    <x v="0"/>
    <s v="Travel_Frequently"/>
    <n v="662"/>
    <x v="0"/>
    <n v="18"/>
    <n v="4"/>
    <s v="Marketing"/>
    <n v="1380"/>
    <n v="4"/>
    <x v="0"/>
    <n v="67"/>
    <n v="3"/>
    <n v="2"/>
    <s v="Sales Executive"/>
    <n v="3"/>
    <s v="Married"/>
    <n v="4614"/>
    <n v="23288"/>
    <n v="0"/>
    <x v="0"/>
    <n v="18"/>
    <n v="3"/>
    <n v="3"/>
    <n v="1"/>
    <n v="5"/>
    <n v="0"/>
    <n v="2"/>
    <n v="4"/>
    <n v="2"/>
    <n v="3"/>
    <n v="2"/>
  </r>
  <r>
    <n v="38"/>
    <x v="1"/>
    <s v="Travel_Frequently"/>
    <n v="693"/>
    <x v="1"/>
    <n v="7"/>
    <n v="3"/>
    <s v="Life Sciences"/>
    <n v="1382"/>
    <n v="4"/>
    <x v="1"/>
    <n v="57"/>
    <n v="4"/>
    <n v="1"/>
    <s v="Research Scientist"/>
    <n v="3"/>
    <s v="Divorced"/>
    <n v="2610"/>
    <n v="15748"/>
    <n v="1"/>
    <x v="1"/>
    <n v="11"/>
    <n v="3"/>
    <n v="4"/>
    <n v="3"/>
    <n v="4"/>
    <n v="2"/>
    <n v="3"/>
    <n v="4"/>
    <n v="2"/>
    <n v="0"/>
    <n v="3"/>
  </r>
  <r>
    <n v="34"/>
    <x v="1"/>
    <s v="Travel_Rarely"/>
    <n v="404"/>
    <x v="1"/>
    <n v="2"/>
    <n v="4"/>
    <s v="Technical Degree"/>
    <n v="1383"/>
    <n v="3"/>
    <x v="0"/>
    <n v="98"/>
    <n v="3"/>
    <n v="2"/>
    <s v="Healthcare Representative"/>
    <n v="4"/>
    <s v="Single"/>
    <n v="6687"/>
    <n v="6163"/>
    <n v="1"/>
    <x v="1"/>
    <n v="11"/>
    <n v="3"/>
    <n v="4"/>
    <n v="0"/>
    <n v="14"/>
    <n v="2"/>
    <n v="4"/>
    <n v="14"/>
    <n v="11"/>
    <n v="4"/>
    <n v="11"/>
  </r>
  <r>
    <n v="28"/>
    <x v="1"/>
    <s v="Travel_Rarely"/>
    <n v="736"/>
    <x v="0"/>
    <n v="26"/>
    <n v="3"/>
    <s v="Life Sciences"/>
    <n v="1387"/>
    <n v="3"/>
    <x v="1"/>
    <n v="48"/>
    <n v="2"/>
    <n v="2"/>
    <s v="Sales Executive"/>
    <n v="1"/>
    <s v="Married"/>
    <n v="4724"/>
    <n v="24232"/>
    <n v="1"/>
    <x v="1"/>
    <n v="11"/>
    <n v="3"/>
    <n v="3"/>
    <n v="1"/>
    <n v="5"/>
    <n v="0"/>
    <n v="3"/>
    <n v="5"/>
    <n v="3"/>
    <n v="0"/>
    <n v="4"/>
  </r>
  <r>
    <n v="31"/>
    <x v="0"/>
    <s v="Travel_Rarely"/>
    <n v="330"/>
    <x v="1"/>
    <n v="22"/>
    <n v="4"/>
    <s v="Medical"/>
    <n v="1389"/>
    <n v="4"/>
    <x v="1"/>
    <n v="98"/>
    <n v="3"/>
    <n v="2"/>
    <s v="Manufacturing Director"/>
    <n v="3"/>
    <s v="Married"/>
    <n v="6179"/>
    <n v="21057"/>
    <n v="1"/>
    <x v="0"/>
    <n v="15"/>
    <n v="3"/>
    <n v="4"/>
    <n v="2"/>
    <n v="10"/>
    <n v="3"/>
    <n v="2"/>
    <n v="10"/>
    <n v="2"/>
    <n v="6"/>
    <n v="7"/>
  </r>
  <r>
    <n v="39"/>
    <x v="1"/>
    <s v="Travel_Rarely"/>
    <n v="1498"/>
    <x v="0"/>
    <n v="21"/>
    <n v="4"/>
    <s v="Life Sciences"/>
    <n v="1390"/>
    <n v="1"/>
    <x v="1"/>
    <n v="44"/>
    <n v="2"/>
    <n v="2"/>
    <s v="Sales Executive"/>
    <n v="4"/>
    <s v="Married"/>
    <n v="6120"/>
    <n v="3567"/>
    <n v="3"/>
    <x v="0"/>
    <n v="12"/>
    <n v="3"/>
    <n v="4"/>
    <n v="2"/>
    <n v="8"/>
    <n v="2"/>
    <n v="4"/>
    <n v="5"/>
    <n v="4"/>
    <n v="1"/>
    <n v="4"/>
  </r>
  <r>
    <n v="51"/>
    <x v="1"/>
    <s v="Travel_Frequently"/>
    <n v="541"/>
    <x v="0"/>
    <n v="2"/>
    <n v="3"/>
    <s v="Marketing"/>
    <n v="1391"/>
    <n v="2"/>
    <x v="1"/>
    <n v="52"/>
    <n v="3"/>
    <n v="3"/>
    <s v="Sales Executive"/>
    <n v="2"/>
    <s v="Married"/>
    <n v="10596"/>
    <n v="15395"/>
    <n v="2"/>
    <x v="1"/>
    <n v="11"/>
    <n v="3"/>
    <n v="2"/>
    <n v="0"/>
    <n v="14"/>
    <n v="5"/>
    <n v="3"/>
    <n v="4"/>
    <n v="2"/>
    <n v="3"/>
    <n v="2"/>
  </r>
  <r>
    <n v="41"/>
    <x v="1"/>
    <s v="Travel_Frequently"/>
    <n v="1200"/>
    <x v="1"/>
    <n v="22"/>
    <n v="3"/>
    <s v="Life Sciences"/>
    <n v="1392"/>
    <n v="4"/>
    <x v="0"/>
    <n v="75"/>
    <n v="3"/>
    <n v="2"/>
    <s v="Research Scientist"/>
    <n v="4"/>
    <s v="Divorced"/>
    <n v="5467"/>
    <n v="13953"/>
    <n v="3"/>
    <x v="0"/>
    <n v="14"/>
    <n v="3"/>
    <n v="1"/>
    <n v="2"/>
    <n v="12"/>
    <n v="4"/>
    <n v="2"/>
    <n v="6"/>
    <n v="2"/>
    <n v="3"/>
    <n v="3"/>
  </r>
  <r>
    <n v="37"/>
    <x v="1"/>
    <s v="Travel_Rarely"/>
    <n v="1439"/>
    <x v="1"/>
    <n v="4"/>
    <n v="1"/>
    <s v="Life Sciences"/>
    <n v="1394"/>
    <n v="3"/>
    <x v="1"/>
    <n v="54"/>
    <n v="3"/>
    <n v="1"/>
    <s v="Research Scientist"/>
    <n v="3"/>
    <s v="Married"/>
    <n v="2996"/>
    <n v="5182"/>
    <n v="7"/>
    <x v="0"/>
    <n v="15"/>
    <n v="3"/>
    <n v="4"/>
    <n v="0"/>
    <n v="8"/>
    <n v="2"/>
    <n v="3"/>
    <n v="6"/>
    <n v="4"/>
    <n v="1"/>
    <n v="3"/>
  </r>
  <r>
    <n v="33"/>
    <x v="1"/>
    <s v="Travel_Frequently"/>
    <n v="1111"/>
    <x v="0"/>
    <n v="5"/>
    <n v="1"/>
    <s v="Life Sciences"/>
    <n v="1395"/>
    <n v="2"/>
    <x v="1"/>
    <n v="61"/>
    <n v="3"/>
    <n v="2"/>
    <s v="Sales Executive"/>
    <n v="4"/>
    <s v="Married"/>
    <n v="9998"/>
    <n v="19293"/>
    <n v="6"/>
    <x v="1"/>
    <n v="13"/>
    <n v="3"/>
    <n v="1"/>
    <n v="0"/>
    <n v="8"/>
    <n v="2"/>
    <n v="4"/>
    <n v="5"/>
    <n v="4"/>
    <n v="1"/>
    <n v="2"/>
  </r>
  <r>
    <n v="32"/>
    <x v="1"/>
    <s v="Travel_Rarely"/>
    <n v="499"/>
    <x v="0"/>
    <n v="2"/>
    <n v="1"/>
    <s v="Marketing"/>
    <n v="1396"/>
    <n v="3"/>
    <x v="1"/>
    <n v="36"/>
    <n v="3"/>
    <n v="2"/>
    <s v="Sales Executive"/>
    <n v="2"/>
    <s v="Married"/>
    <n v="4078"/>
    <n v="20497"/>
    <n v="0"/>
    <x v="0"/>
    <n v="13"/>
    <n v="3"/>
    <n v="1"/>
    <n v="3"/>
    <n v="4"/>
    <n v="3"/>
    <n v="2"/>
    <n v="3"/>
    <n v="2"/>
    <n v="1"/>
    <n v="2"/>
  </r>
  <r>
    <n v="39"/>
    <x v="1"/>
    <s v="Non-Travel"/>
    <n v="1485"/>
    <x v="1"/>
    <n v="25"/>
    <n v="2"/>
    <s v="Life Sciences"/>
    <n v="1397"/>
    <n v="3"/>
    <x v="1"/>
    <n v="71"/>
    <n v="3"/>
    <n v="3"/>
    <s v="Healthcare Representative"/>
    <n v="3"/>
    <s v="Married"/>
    <n v="10920"/>
    <n v="3449"/>
    <n v="3"/>
    <x v="1"/>
    <n v="21"/>
    <n v="4"/>
    <n v="2"/>
    <n v="1"/>
    <n v="13"/>
    <n v="2"/>
    <n v="3"/>
    <n v="6"/>
    <n v="4"/>
    <n v="0"/>
    <n v="5"/>
  </r>
  <r>
    <n v="25"/>
    <x v="1"/>
    <s v="Travel_Rarely"/>
    <n v="1372"/>
    <x v="0"/>
    <n v="18"/>
    <n v="1"/>
    <s v="Life Sciences"/>
    <n v="1399"/>
    <n v="1"/>
    <x v="1"/>
    <n v="93"/>
    <n v="4"/>
    <n v="2"/>
    <s v="Sales Executive"/>
    <n v="3"/>
    <s v="Married"/>
    <n v="6232"/>
    <n v="12477"/>
    <n v="2"/>
    <x v="1"/>
    <n v="11"/>
    <n v="3"/>
    <n v="2"/>
    <n v="0"/>
    <n v="6"/>
    <n v="3"/>
    <n v="2"/>
    <n v="3"/>
    <n v="2"/>
    <n v="1"/>
    <n v="2"/>
  </r>
  <r>
    <n v="52"/>
    <x v="1"/>
    <s v="Travel_Frequently"/>
    <n v="322"/>
    <x v="1"/>
    <n v="28"/>
    <n v="2"/>
    <s v="Medical"/>
    <n v="1401"/>
    <n v="4"/>
    <x v="0"/>
    <n v="59"/>
    <n v="4"/>
    <n v="4"/>
    <s v="Manufacturing Director"/>
    <n v="3"/>
    <s v="Married"/>
    <n v="13247"/>
    <n v="9731"/>
    <n v="2"/>
    <x v="0"/>
    <n v="11"/>
    <n v="3"/>
    <n v="2"/>
    <n v="1"/>
    <n v="24"/>
    <n v="3"/>
    <n v="2"/>
    <n v="5"/>
    <n v="3"/>
    <n v="0"/>
    <n v="2"/>
  </r>
  <r>
    <n v="43"/>
    <x v="1"/>
    <s v="Travel_Rarely"/>
    <n v="930"/>
    <x v="1"/>
    <n v="6"/>
    <n v="3"/>
    <s v="Medical"/>
    <n v="1402"/>
    <n v="1"/>
    <x v="0"/>
    <n v="73"/>
    <n v="2"/>
    <n v="2"/>
    <s v="Research Scientist"/>
    <n v="3"/>
    <s v="Single"/>
    <n v="4081"/>
    <n v="20003"/>
    <n v="1"/>
    <x v="0"/>
    <n v="14"/>
    <n v="3"/>
    <n v="1"/>
    <n v="0"/>
    <n v="20"/>
    <n v="3"/>
    <n v="1"/>
    <n v="20"/>
    <n v="7"/>
    <n v="1"/>
    <n v="8"/>
  </r>
  <r>
    <n v="27"/>
    <x v="1"/>
    <s v="Travel_Rarely"/>
    <n v="205"/>
    <x v="0"/>
    <n v="10"/>
    <n v="3"/>
    <s v="Marketing"/>
    <n v="1403"/>
    <n v="4"/>
    <x v="0"/>
    <n v="98"/>
    <n v="2"/>
    <n v="2"/>
    <s v="Sales Executive"/>
    <n v="4"/>
    <s v="Married"/>
    <n v="5769"/>
    <n v="7100"/>
    <n v="1"/>
    <x v="0"/>
    <n v="11"/>
    <n v="3"/>
    <n v="4"/>
    <n v="0"/>
    <n v="6"/>
    <n v="3"/>
    <n v="3"/>
    <n v="6"/>
    <n v="2"/>
    <n v="4"/>
    <n v="4"/>
  </r>
  <r>
    <n v="27"/>
    <x v="0"/>
    <s v="Travel_Rarely"/>
    <n v="135"/>
    <x v="1"/>
    <n v="17"/>
    <n v="4"/>
    <s v="Life Sciences"/>
    <n v="1405"/>
    <n v="4"/>
    <x v="0"/>
    <n v="51"/>
    <n v="3"/>
    <n v="1"/>
    <s v="Research Scientist"/>
    <n v="3"/>
    <s v="Single"/>
    <n v="2394"/>
    <n v="25681"/>
    <n v="1"/>
    <x v="0"/>
    <n v="13"/>
    <n v="3"/>
    <n v="4"/>
    <n v="0"/>
    <n v="8"/>
    <n v="2"/>
    <n v="3"/>
    <n v="8"/>
    <n v="2"/>
    <n v="7"/>
    <n v="7"/>
  </r>
  <r>
    <n v="26"/>
    <x v="1"/>
    <s v="Travel_Rarely"/>
    <n v="683"/>
    <x v="1"/>
    <n v="2"/>
    <n v="1"/>
    <s v="Medical"/>
    <n v="1407"/>
    <n v="1"/>
    <x v="1"/>
    <n v="36"/>
    <n v="2"/>
    <n v="1"/>
    <s v="Research Scientist"/>
    <n v="4"/>
    <s v="Single"/>
    <n v="3904"/>
    <n v="4050"/>
    <n v="0"/>
    <x v="1"/>
    <n v="12"/>
    <n v="3"/>
    <n v="4"/>
    <n v="0"/>
    <n v="5"/>
    <n v="2"/>
    <n v="3"/>
    <n v="4"/>
    <n v="3"/>
    <n v="1"/>
    <n v="1"/>
  </r>
  <r>
    <n v="42"/>
    <x v="1"/>
    <s v="Travel_Rarely"/>
    <n v="1147"/>
    <x v="2"/>
    <n v="10"/>
    <n v="3"/>
    <s v="Human Resources"/>
    <n v="1408"/>
    <n v="3"/>
    <x v="0"/>
    <n v="31"/>
    <n v="3"/>
    <n v="4"/>
    <s v="Manager"/>
    <n v="1"/>
    <s v="Married"/>
    <n v="16799"/>
    <n v="16616"/>
    <n v="0"/>
    <x v="1"/>
    <n v="14"/>
    <n v="3"/>
    <n v="3"/>
    <n v="1"/>
    <n v="21"/>
    <n v="5"/>
    <n v="3"/>
    <n v="20"/>
    <n v="7"/>
    <n v="0"/>
    <n v="9"/>
  </r>
  <r>
    <n v="52"/>
    <x v="1"/>
    <s v="Travel_Rarely"/>
    <n v="258"/>
    <x v="1"/>
    <n v="8"/>
    <n v="4"/>
    <s v="Other"/>
    <n v="1409"/>
    <n v="3"/>
    <x v="0"/>
    <n v="54"/>
    <n v="3"/>
    <n v="1"/>
    <s v="Laboratory Technician"/>
    <n v="1"/>
    <s v="Married"/>
    <n v="2950"/>
    <n v="17363"/>
    <n v="9"/>
    <x v="1"/>
    <n v="13"/>
    <n v="3"/>
    <n v="3"/>
    <n v="0"/>
    <n v="12"/>
    <n v="2"/>
    <n v="1"/>
    <n v="5"/>
    <n v="4"/>
    <n v="0"/>
    <n v="4"/>
  </r>
  <r>
    <n v="37"/>
    <x v="1"/>
    <s v="Travel_Rarely"/>
    <n v="1462"/>
    <x v="1"/>
    <n v="11"/>
    <n v="3"/>
    <s v="Medical"/>
    <n v="1411"/>
    <n v="1"/>
    <x v="0"/>
    <n v="94"/>
    <n v="3"/>
    <n v="1"/>
    <s v="Laboratory Technician"/>
    <n v="3"/>
    <s v="Single"/>
    <n v="3629"/>
    <n v="19106"/>
    <n v="4"/>
    <x v="1"/>
    <n v="18"/>
    <n v="3"/>
    <n v="1"/>
    <n v="0"/>
    <n v="8"/>
    <n v="6"/>
    <n v="3"/>
    <n v="3"/>
    <n v="2"/>
    <n v="0"/>
    <n v="2"/>
  </r>
  <r>
    <n v="35"/>
    <x v="1"/>
    <s v="Travel_Frequently"/>
    <n v="200"/>
    <x v="1"/>
    <n v="18"/>
    <n v="2"/>
    <s v="Life Sciences"/>
    <n v="1412"/>
    <n v="3"/>
    <x v="1"/>
    <n v="60"/>
    <n v="3"/>
    <n v="3"/>
    <s v="Manufacturing Director"/>
    <n v="4"/>
    <s v="Single"/>
    <n v="9362"/>
    <n v="19944"/>
    <n v="2"/>
    <x v="1"/>
    <n v="11"/>
    <n v="3"/>
    <n v="3"/>
    <n v="0"/>
    <n v="10"/>
    <n v="2"/>
    <n v="3"/>
    <n v="2"/>
    <n v="2"/>
    <n v="2"/>
    <n v="2"/>
  </r>
  <r>
    <n v="25"/>
    <x v="1"/>
    <s v="Travel_Rarely"/>
    <n v="949"/>
    <x v="1"/>
    <n v="1"/>
    <n v="3"/>
    <s v="Technical Degree"/>
    <n v="1415"/>
    <n v="1"/>
    <x v="1"/>
    <n v="81"/>
    <n v="3"/>
    <n v="1"/>
    <s v="Laboratory Technician"/>
    <n v="4"/>
    <s v="Married"/>
    <n v="3229"/>
    <n v="4910"/>
    <n v="4"/>
    <x v="1"/>
    <n v="11"/>
    <n v="3"/>
    <n v="2"/>
    <n v="1"/>
    <n v="7"/>
    <n v="2"/>
    <n v="2"/>
    <n v="3"/>
    <n v="2"/>
    <n v="0"/>
    <n v="2"/>
  </r>
  <r>
    <n v="26"/>
    <x v="1"/>
    <s v="Travel_Rarely"/>
    <n v="652"/>
    <x v="1"/>
    <n v="7"/>
    <n v="3"/>
    <s v="Other"/>
    <n v="1417"/>
    <n v="3"/>
    <x v="1"/>
    <n v="100"/>
    <n v="4"/>
    <n v="1"/>
    <s v="Laboratory Technician"/>
    <n v="1"/>
    <s v="Single"/>
    <n v="3578"/>
    <n v="23577"/>
    <n v="0"/>
    <x v="1"/>
    <n v="12"/>
    <n v="3"/>
    <n v="4"/>
    <n v="0"/>
    <n v="8"/>
    <n v="2"/>
    <n v="3"/>
    <n v="7"/>
    <n v="7"/>
    <n v="0"/>
    <n v="7"/>
  </r>
  <r>
    <n v="29"/>
    <x v="1"/>
    <s v="Travel_Rarely"/>
    <n v="332"/>
    <x v="2"/>
    <n v="17"/>
    <n v="3"/>
    <s v="Other"/>
    <n v="1419"/>
    <n v="2"/>
    <x v="1"/>
    <n v="51"/>
    <n v="2"/>
    <n v="3"/>
    <s v="Human Resources"/>
    <n v="1"/>
    <s v="Single"/>
    <n v="7988"/>
    <n v="9769"/>
    <n v="1"/>
    <x v="1"/>
    <n v="13"/>
    <n v="3"/>
    <n v="1"/>
    <n v="0"/>
    <n v="10"/>
    <n v="3"/>
    <n v="2"/>
    <n v="10"/>
    <n v="9"/>
    <n v="0"/>
    <n v="9"/>
  </r>
  <r>
    <n v="49"/>
    <x v="0"/>
    <s v="Travel_Frequently"/>
    <n v="1475"/>
    <x v="1"/>
    <n v="28"/>
    <n v="2"/>
    <s v="Life Sciences"/>
    <n v="1420"/>
    <n v="1"/>
    <x v="1"/>
    <n v="97"/>
    <n v="2"/>
    <n v="2"/>
    <s v="Laboratory Technician"/>
    <n v="1"/>
    <s v="Single"/>
    <n v="4284"/>
    <n v="22710"/>
    <n v="3"/>
    <x v="1"/>
    <n v="20"/>
    <n v="4"/>
    <n v="1"/>
    <n v="0"/>
    <n v="20"/>
    <n v="2"/>
    <n v="3"/>
    <n v="4"/>
    <n v="3"/>
    <n v="1"/>
    <n v="3"/>
  </r>
  <r>
    <n v="29"/>
    <x v="0"/>
    <s v="Travel_Frequently"/>
    <n v="337"/>
    <x v="1"/>
    <n v="14"/>
    <n v="1"/>
    <s v="Other"/>
    <n v="1421"/>
    <n v="3"/>
    <x v="0"/>
    <n v="84"/>
    <n v="3"/>
    <n v="3"/>
    <s v="Healthcare Representative"/>
    <n v="4"/>
    <s v="Single"/>
    <n v="7553"/>
    <n v="22930"/>
    <n v="0"/>
    <x v="0"/>
    <n v="12"/>
    <n v="3"/>
    <n v="1"/>
    <n v="0"/>
    <n v="9"/>
    <n v="1"/>
    <n v="3"/>
    <n v="8"/>
    <n v="7"/>
    <n v="7"/>
    <n v="7"/>
  </r>
  <r>
    <n v="54"/>
    <x v="1"/>
    <s v="Travel_Rarely"/>
    <n v="971"/>
    <x v="1"/>
    <n v="1"/>
    <n v="3"/>
    <s v="Medical"/>
    <n v="1422"/>
    <n v="4"/>
    <x v="0"/>
    <n v="54"/>
    <n v="3"/>
    <n v="4"/>
    <s v="Research Director"/>
    <n v="4"/>
    <s v="Single"/>
    <n v="17328"/>
    <n v="5652"/>
    <n v="6"/>
    <x v="1"/>
    <n v="19"/>
    <n v="3"/>
    <n v="4"/>
    <n v="0"/>
    <n v="29"/>
    <n v="3"/>
    <n v="2"/>
    <n v="20"/>
    <n v="7"/>
    <n v="12"/>
    <n v="7"/>
  </r>
  <r>
    <n v="58"/>
    <x v="1"/>
    <s v="Travel_Rarely"/>
    <n v="1055"/>
    <x v="1"/>
    <n v="1"/>
    <n v="3"/>
    <s v="Medical"/>
    <n v="1423"/>
    <n v="4"/>
    <x v="0"/>
    <n v="76"/>
    <n v="3"/>
    <n v="5"/>
    <s v="Research Director"/>
    <n v="1"/>
    <s v="Married"/>
    <n v="19701"/>
    <n v="22456"/>
    <n v="3"/>
    <x v="0"/>
    <n v="21"/>
    <n v="4"/>
    <n v="3"/>
    <n v="1"/>
    <n v="32"/>
    <n v="3"/>
    <n v="3"/>
    <n v="9"/>
    <n v="8"/>
    <n v="1"/>
    <n v="5"/>
  </r>
  <r>
    <n v="55"/>
    <x v="1"/>
    <s v="Travel_Rarely"/>
    <n v="1136"/>
    <x v="1"/>
    <n v="1"/>
    <n v="4"/>
    <s v="Medical"/>
    <n v="1424"/>
    <n v="2"/>
    <x v="1"/>
    <n v="81"/>
    <n v="4"/>
    <n v="4"/>
    <s v="Research Director"/>
    <n v="4"/>
    <s v="Divorced"/>
    <n v="14732"/>
    <n v="12414"/>
    <n v="2"/>
    <x v="1"/>
    <n v="13"/>
    <n v="3"/>
    <n v="4"/>
    <n v="2"/>
    <n v="31"/>
    <n v="4"/>
    <n v="4"/>
    <n v="7"/>
    <n v="7"/>
    <n v="0"/>
    <n v="0"/>
  </r>
  <r>
    <n v="36"/>
    <x v="1"/>
    <s v="Travel_Rarely"/>
    <n v="1174"/>
    <x v="0"/>
    <n v="3"/>
    <n v="4"/>
    <s v="Marketing"/>
    <n v="1425"/>
    <n v="1"/>
    <x v="0"/>
    <n v="99"/>
    <n v="3"/>
    <n v="2"/>
    <s v="Sales Executive"/>
    <n v="2"/>
    <s v="Single"/>
    <n v="9278"/>
    <n v="20763"/>
    <n v="3"/>
    <x v="0"/>
    <n v="16"/>
    <n v="3"/>
    <n v="4"/>
    <n v="0"/>
    <n v="15"/>
    <n v="3"/>
    <n v="3"/>
    <n v="5"/>
    <n v="4"/>
    <n v="0"/>
    <n v="1"/>
  </r>
  <r>
    <n v="31"/>
    <x v="0"/>
    <s v="Travel_Frequently"/>
    <n v="667"/>
    <x v="0"/>
    <n v="1"/>
    <n v="4"/>
    <s v="Life Sciences"/>
    <n v="1427"/>
    <n v="2"/>
    <x v="0"/>
    <n v="50"/>
    <n v="1"/>
    <n v="1"/>
    <s v="Sales Representative"/>
    <n v="3"/>
    <s v="Single"/>
    <n v="1359"/>
    <n v="16154"/>
    <n v="1"/>
    <x v="1"/>
    <n v="12"/>
    <n v="3"/>
    <n v="2"/>
    <n v="0"/>
    <n v="1"/>
    <n v="3"/>
    <n v="3"/>
    <n v="1"/>
    <n v="0"/>
    <n v="0"/>
    <n v="0"/>
  </r>
  <r>
    <n v="30"/>
    <x v="1"/>
    <s v="Travel_Rarely"/>
    <n v="855"/>
    <x v="0"/>
    <n v="7"/>
    <n v="4"/>
    <s v="Marketing"/>
    <n v="1428"/>
    <n v="4"/>
    <x v="0"/>
    <n v="73"/>
    <n v="3"/>
    <n v="2"/>
    <s v="Sales Executive"/>
    <n v="1"/>
    <s v="Divorced"/>
    <n v="4779"/>
    <n v="12761"/>
    <n v="7"/>
    <x v="1"/>
    <n v="14"/>
    <n v="3"/>
    <n v="2"/>
    <n v="2"/>
    <n v="8"/>
    <n v="3"/>
    <n v="3"/>
    <n v="3"/>
    <n v="2"/>
    <n v="0"/>
    <n v="2"/>
  </r>
  <r>
    <n v="31"/>
    <x v="1"/>
    <s v="Travel_Rarely"/>
    <n v="182"/>
    <x v="1"/>
    <n v="8"/>
    <n v="5"/>
    <s v="Life Sciences"/>
    <n v="1430"/>
    <n v="1"/>
    <x v="0"/>
    <n v="93"/>
    <n v="3"/>
    <n v="4"/>
    <s v="Research Director"/>
    <n v="2"/>
    <s v="Single"/>
    <n v="16422"/>
    <n v="8847"/>
    <n v="3"/>
    <x v="1"/>
    <n v="11"/>
    <n v="3"/>
    <n v="3"/>
    <n v="0"/>
    <n v="9"/>
    <n v="3"/>
    <n v="4"/>
    <n v="3"/>
    <n v="2"/>
    <n v="1"/>
    <n v="0"/>
  </r>
  <r>
    <n v="34"/>
    <x v="1"/>
    <s v="Travel_Frequently"/>
    <n v="560"/>
    <x v="1"/>
    <n v="1"/>
    <n v="4"/>
    <s v="Other"/>
    <n v="1431"/>
    <n v="4"/>
    <x v="1"/>
    <n v="91"/>
    <n v="3"/>
    <n v="1"/>
    <s v="Research Scientist"/>
    <n v="1"/>
    <s v="Divorced"/>
    <n v="2996"/>
    <n v="20284"/>
    <n v="5"/>
    <x v="1"/>
    <n v="14"/>
    <n v="3"/>
    <n v="3"/>
    <n v="2"/>
    <n v="10"/>
    <n v="2"/>
    <n v="3"/>
    <n v="4"/>
    <n v="3"/>
    <n v="1"/>
    <n v="3"/>
  </r>
  <r>
    <n v="31"/>
    <x v="0"/>
    <s v="Travel_Rarely"/>
    <n v="202"/>
    <x v="1"/>
    <n v="8"/>
    <n v="3"/>
    <s v="Life Sciences"/>
    <n v="1433"/>
    <n v="1"/>
    <x v="0"/>
    <n v="34"/>
    <n v="2"/>
    <n v="1"/>
    <s v="Research Scientist"/>
    <n v="2"/>
    <s v="Single"/>
    <n v="1261"/>
    <n v="22262"/>
    <n v="1"/>
    <x v="1"/>
    <n v="12"/>
    <n v="3"/>
    <n v="3"/>
    <n v="0"/>
    <n v="1"/>
    <n v="3"/>
    <n v="4"/>
    <n v="1"/>
    <n v="0"/>
    <n v="0"/>
    <n v="0"/>
  </r>
  <r>
    <n v="27"/>
    <x v="1"/>
    <s v="Travel_Rarely"/>
    <n v="1377"/>
    <x v="1"/>
    <n v="11"/>
    <n v="1"/>
    <s v="Life Sciences"/>
    <n v="1434"/>
    <n v="2"/>
    <x v="1"/>
    <n v="91"/>
    <n v="3"/>
    <n v="1"/>
    <s v="Laboratory Technician"/>
    <n v="1"/>
    <s v="Married"/>
    <n v="2099"/>
    <n v="7679"/>
    <n v="0"/>
    <x v="1"/>
    <n v="14"/>
    <n v="3"/>
    <n v="2"/>
    <n v="0"/>
    <n v="6"/>
    <n v="3"/>
    <n v="4"/>
    <n v="5"/>
    <n v="0"/>
    <n v="1"/>
    <n v="4"/>
  </r>
  <r>
    <n v="36"/>
    <x v="1"/>
    <s v="Travel_Rarely"/>
    <n v="172"/>
    <x v="1"/>
    <n v="4"/>
    <n v="4"/>
    <s v="Life Sciences"/>
    <n v="1435"/>
    <n v="1"/>
    <x v="1"/>
    <n v="37"/>
    <n v="2"/>
    <n v="2"/>
    <s v="Laboratory Technician"/>
    <n v="4"/>
    <s v="Single"/>
    <n v="5810"/>
    <n v="22604"/>
    <n v="1"/>
    <x v="1"/>
    <n v="16"/>
    <n v="3"/>
    <n v="3"/>
    <n v="0"/>
    <n v="10"/>
    <n v="2"/>
    <n v="2"/>
    <n v="10"/>
    <n v="4"/>
    <n v="1"/>
    <n v="8"/>
  </r>
  <r>
    <n v="36"/>
    <x v="1"/>
    <s v="Travel_Rarely"/>
    <n v="329"/>
    <x v="0"/>
    <n v="16"/>
    <n v="4"/>
    <s v="Marketing"/>
    <n v="1436"/>
    <n v="3"/>
    <x v="0"/>
    <n v="98"/>
    <n v="2"/>
    <n v="2"/>
    <s v="Sales Executive"/>
    <n v="1"/>
    <s v="Married"/>
    <n v="5647"/>
    <n v="13494"/>
    <n v="4"/>
    <x v="1"/>
    <n v="13"/>
    <n v="3"/>
    <n v="1"/>
    <n v="2"/>
    <n v="11"/>
    <n v="3"/>
    <n v="2"/>
    <n v="3"/>
    <n v="2"/>
    <n v="0"/>
    <n v="2"/>
  </r>
  <r>
    <n v="47"/>
    <x v="1"/>
    <s v="Travel_Rarely"/>
    <n v="465"/>
    <x v="1"/>
    <n v="1"/>
    <n v="3"/>
    <s v="Technical Degree"/>
    <n v="1438"/>
    <n v="1"/>
    <x v="1"/>
    <n v="74"/>
    <n v="3"/>
    <n v="1"/>
    <s v="Research Scientist"/>
    <n v="4"/>
    <s v="Married"/>
    <n v="3420"/>
    <n v="10205"/>
    <n v="7"/>
    <x v="1"/>
    <n v="12"/>
    <n v="3"/>
    <n v="3"/>
    <n v="1"/>
    <n v="17"/>
    <n v="2"/>
    <n v="2"/>
    <n v="6"/>
    <n v="5"/>
    <n v="1"/>
    <n v="2"/>
  </r>
  <r>
    <n v="25"/>
    <x v="0"/>
    <s v="Travel_Rarely"/>
    <n v="383"/>
    <x v="0"/>
    <n v="9"/>
    <n v="2"/>
    <s v="Life Sciences"/>
    <n v="1439"/>
    <n v="1"/>
    <x v="1"/>
    <n v="68"/>
    <n v="2"/>
    <n v="1"/>
    <s v="Sales Representative"/>
    <n v="1"/>
    <s v="Married"/>
    <n v="4400"/>
    <n v="15182"/>
    <n v="3"/>
    <x v="1"/>
    <n v="12"/>
    <n v="3"/>
    <n v="1"/>
    <n v="0"/>
    <n v="6"/>
    <n v="2"/>
    <n v="3"/>
    <n v="3"/>
    <n v="2"/>
    <n v="2"/>
    <n v="2"/>
  </r>
  <r>
    <n v="37"/>
    <x v="1"/>
    <s v="Non-Travel"/>
    <n v="1413"/>
    <x v="1"/>
    <n v="5"/>
    <n v="2"/>
    <s v="Technical Degree"/>
    <n v="1440"/>
    <n v="3"/>
    <x v="1"/>
    <n v="84"/>
    <n v="4"/>
    <n v="1"/>
    <s v="Laboratory Technician"/>
    <n v="3"/>
    <s v="Single"/>
    <n v="3500"/>
    <n v="25470"/>
    <n v="0"/>
    <x v="1"/>
    <n v="14"/>
    <n v="3"/>
    <n v="1"/>
    <n v="0"/>
    <n v="7"/>
    <n v="2"/>
    <n v="1"/>
    <n v="6"/>
    <n v="5"/>
    <n v="1"/>
    <n v="3"/>
  </r>
  <r>
    <n v="56"/>
    <x v="1"/>
    <s v="Travel_Rarely"/>
    <n v="1255"/>
    <x v="1"/>
    <n v="1"/>
    <n v="2"/>
    <s v="Life Sciences"/>
    <n v="1441"/>
    <n v="1"/>
    <x v="0"/>
    <n v="90"/>
    <n v="3"/>
    <n v="1"/>
    <s v="Research Scientist"/>
    <n v="1"/>
    <s v="Married"/>
    <n v="2066"/>
    <n v="10494"/>
    <n v="2"/>
    <x v="1"/>
    <n v="22"/>
    <n v="4"/>
    <n v="4"/>
    <n v="1"/>
    <n v="5"/>
    <n v="3"/>
    <n v="4"/>
    <n v="3"/>
    <n v="2"/>
    <n v="1"/>
    <n v="0"/>
  </r>
  <r>
    <n v="47"/>
    <x v="1"/>
    <s v="Travel_Rarely"/>
    <n v="359"/>
    <x v="1"/>
    <n v="2"/>
    <n v="4"/>
    <s v="Medical"/>
    <n v="1443"/>
    <n v="1"/>
    <x v="0"/>
    <n v="82"/>
    <n v="3"/>
    <n v="4"/>
    <s v="Research Director"/>
    <n v="3"/>
    <s v="Married"/>
    <n v="17169"/>
    <n v="26703"/>
    <n v="3"/>
    <x v="1"/>
    <n v="19"/>
    <n v="3"/>
    <n v="2"/>
    <n v="2"/>
    <n v="26"/>
    <n v="2"/>
    <n v="4"/>
    <n v="20"/>
    <n v="17"/>
    <n v="5"/>
    <n v="6"/>
  </r>
  <r>
    <n v="24"/>
    <x v="1"/>
    <s v="Travel_Rarely"/>
    <n v="1476"/>
    <x v="0"/>
    <n v="4"/>
    <n v="1"/>
    <s v="Medical"/>
    <n v="1445"/>
    <n v="4"/>
    <x v="0"/>
    <n v="42"/>
    <n v="3"/>
    <n v="2"/>
    <s v="Sales Executive"/>
    <n v="3"/>
    <s v="Married"/>
    <n v="4162"/>
    <n v="15211"/>
    <n v="1"/>
    <x v="0"/>
    <n v="12"/>
    <n v="3"/>
    <n v="3"/>
    <n v="2"/>
    <n v="5"/>
    <n v="3"/>
    <n v="3"/>
    <n v="5"/>
    <n v="4"/>
    <n v="0"/>
    <n v="3"/>
  </r>
  <r>
    <n v="32"/>
    <x v="1"/>
    <s v="Travel_Rarely"/>
    <n v="601"/>
    <x v="0"/>
    <n v="7"/>
    <n v="5"/>
    <s v="Marketing"/>
    <n v="1446"/>
    <n v="4"/>
    <x v="1"/>
    <n v="97"/>
    <n v="3"/>
    <n v="2"/>
    <s v="Sales Executive"/>
    <n v="4"/>
    <s v="Married"/>
    <n v="9204"/>
    <n v="23343"/>
    <n v="4"/>
    <x v="1"/>
    <n v="12"/>
    <n v="3"/>
    <n v="3"/>
    <n v="1"/>
    <n v="7"/>
    <n v="3"/>
    <n v="2"/>
    <n v="4"/>
    <n v="3"/>
    <n v="0"/>
    <n v="3"/>
  </r>
  <r>
    <n v="34"/>
    <x v="1"/>
    <s v="Travel_Rarely"/>
    <n v="401"/>
    <x v="1"/>
    <n v="1"/>
    <n v="3"/>
    <s v="Life Sciences"/>
    <n v="1447"/>
    <n v="4"/>
    <x v="0"/>
    <n v="86"/>
    <n v="2"/>
    <n v="1"/>
    <s v="Laboratory Technician"/>
    <n v="2"/>
    <s v="Married"/>
    <n v="3294"/>
    <n v="3708"/>
    <n v="5"/>
    <x v="1"/>
    <n v="17"/>
    <n v="3"/>
    <n v="1"/>
    <n v="1"/>
    <n v="7"/>
    <n v="2"/>
    <n v="2"/>
    <n v="5"/>
    <n v="4"/>
    <n v="0"/>
    <n v="2"/>
  </r>
  <r>
    <n v="41"/>
    <x v="1"/>
    <s v="Travel_Rarely"/>
    <n v="1283"/>
    <x v="1"/>
    <n v="5"/>
    <n v="5"/>
    <s v="Medical"/>
    <n v="1448"/>
    <n v="2"/>
    <x v="1"/>
    <n v="90"/>
    <n v="4"/>
    <n v="1"/>
    <s v="Research Scientist"/>
    <n v="3"/>
    <s v="Married"/>
    <n v="2127"/>
    <n v="5561"/>
    <n v="2"/>
    <x v="0"/>
    <n v="12"/>
    <n v="3"/>
    <n v="1"/>
    <n v="0"/>
    <n v="7"/>
    <n v="5"/>
    <n v="2"/>
    <n v="4"/>
    <n v="2"/>
    <n v="0"/>
    <n v="3"/>
  </r>
  <r>
    <n v="40"/>
    <x v="1"/>
    <s v="Non-Travel"/>
    <n v="663"/>
    <x v="1"/>
    <n v="9"/>
    <n v="4"/>
    <s v="Other"/>
    <n v="1449"/>
    <n v="3"/>
    <x v="1"/>
    <n v="81"/>
    <n v="3"/>
    <n v="2"/>
    <s v="Laboratory Technician"/>
    <n v="3"/>
    <s v="Divorced"/>
    <n v="3975"/>
    <n v="23099"/>
    <n v="3"/>
    <x v="1"/>
    <n v="11"/>
    <n v="3"/>
    <n v="3"/>
    <n v="2"/>
    <n v="11"/>
    <n v="2"/>
    <n v="4"/>
    <n v="8"/>
    <n v="7"/>
    <n v="0"/>
    <n v="7"/>
  </r>
  <r>
    <n v="31"/>
    <x v="1"/>
    <s v="Travel_Rarely"/>
    <n v="326"/>
    <x v="0"/>
    <n v="8"/>
    <n v="2"/>
    <s v="Life Sciences"/>
    <n v="1453"/>
    <n v="1"/>
    <x v="1"/>
    <n v="31"/>
    <n v="3"/>
    <n v="3"/>
    <s v="Sales Executive"/>
    <n v="4"/>
    <s v="Divorced"/>
    <n v="10793"/>
    <n v="8386"/>
    <n v="1"/>
    <x v="1"/>
    <n v="18"/>
    <n v="3"/>
    <n v="1"/>
    <n v="1"/>
    <n v="13"/>
    <n v="5"/>
    <n v="3"/>
    <n v="13"/>
    <n v="7"/>
    <n v="9"/>
    <n v="9"/>
  </r>
  <r>
    <n v="46"/>
    <x v="0"/>
    <s v="Travel_Rarely"/>
    <n v="377"/>
    <x v="0"/>
    <n v="9"/>
    <n v="3"/>
    <s v="Marketing"/>
    <n v="1457"/>
    <n v="1"/>
    <x v="1"/>
    <n v="52"/>
    <n v="3"/>
    <n v="3"/>
    <s v="Sales Executive"/>
    <n v="4"/>
    <s v="Divorced"/>
    <n v="10096"/>
    <n v="15986"/>
    <n v="4"/>
    <x v="1"/>
    <n v="11"/>
    <n v="3"/>
    <n v="1"/>
    <n v="1"/>
    <n v="28"/>
    <n v="1"/>
    <n v="4"/>
    <n v="7"/>
    <n v="7"/>
    <n v="4"/>
    <n v="3"/>
  </r>
  <r>
    <n v="39"/>
    <x v="0"/>
    <s v="Non-Travel"/>
    <n v="592"/>
    <x v="1"/>
    <n v="2"/>
    <n v="3"/>
    <s v="Life Sciences"/>
    <n v="1458"/>
    <n v="1"/>
    <x v="0"/>
    <n v="54"/>
    <n v="2"/>
    <n v="1"/>
    <s v="Laboratory Technician"/>
    <n v="1"/>
    <s v="Single"/>
    <n v="3646"/>
    <n v="17181"/>
    <n v="2"/>
    <x v="0"/>
    <n v="23"/>
    <n v="4"/>
    <n v="2"/>
    <n v="0"/>
    <n v="11"/>
    <n v="2"/>
    <n v="4"/>
    <n v="1"/>
    <n v="0"/>
    <n v="0"/>
    <n v="0"/>
  </r>
  <r>
    <n v="31"/>
    <x v="0"/>
    <s v="Travel_Frequently"/>
    <n v="1445"/>
    <x v="1"/>
    <n v="1"/>
    <n v="5"/>
    <s v="Life Sciences"/>
    <n v="1459"/>
    <n v="3"/>
    <x v="0"/>
    <n v="100"/>
    <n v="4"/>
    <n v="3"/>
    <s v="Manufacturing Director"/>
    <n v="2"/>
    <s v="Single"/>
    <n v="7446"/>
    <n v="8931"/>
    <n v="1"/>
    <x v="1"/>
    <n v="11"/>
    <n v="3"/>
    <n v="1"/>
    <n v="0"/>
    <n v="10"/>
    <n v="2"/>
    <n v="3"/>
    <n v="10"/>
    <n v="8"/>
    <n v="4"/>
    <n v="7"/>
  </r>
  <r>
    <n v="45"/>
    <x v="1"/>
    <s v="Travel_Rarely"/>
    <n v="1038"/>
    <x v="1"/>
    <n v="20"/>
    <n v="3"/>
    <s v="Medical"/>
    <n v="1460"/>
    <n v="2"/>
    <x v="1"/>
    <n v="95"/>
    <n v="1"/>
    <n v="3"/>
    <s v="Healthcare Representative"/>
    <n v="1"/>
    <s v="Divorced"/>
    <n v="10851"/>
    <n v="19863"/>
    <n v="2"/>
    <x v="0"/>
    <n v="18"/>
    <n v="3"/>
    <n v="2"/>
    <n v="1"/>
    <n v="24"/>
    <n v="2"/>
    <n v="3"/>
    <n v="7"/>
    <n v="7"/>
    <n v="0"/>
    <n v="7"/>
  </r>
  <r>
    <n v="31"/>
    <x v="1"/>
    <s v="Travel_Rarely"/>
    <n v="1398"/>
    <x v="2"/>
    <n v="8"/>
    <n v="2"/>
    <s v="Medical"/>
    <n v="1461"/>
    <n v="4"/>
    <x v="0"/>
    <n v="96"/>
    <n v="4"/>
    <n v="1"/>
    <s v="Human Resources"/>
    <n v="2"/>
    <s v="Single"/>
    <n v="2109"/>
    <n v="24609"/>
    <n v="9"/>
    <x v="1"/>
    <n v="18"/>
    <n v="3"/>
    <n v="4"/>
    <n v="0"/>
    <n v="8"/>
    <n v="3"/>
    <n v="3"/>
    <n v="3"/>
    <n v="2"/>
    <n v="0"/>
    <n v="2"/>
  </r>
  <r>
    <n v="31"/>
    <x v="0"/>
    <s v="Travel_Frequently"/>
    <n v="523"/>
    <x v="1"/>
    <n v="2"/>
    <n v="3"/>
    <s v="Life Sciences"/>
    <n v="1464"/>
    <n v="2"/>
    <x v="1"/>
    <n v="94"/>
    <n v="3"/>
    <n v="1"/>
    <s v="Laboratory Technician"/>
    <n v="4"/>
    <s v="Married"/>
    <n v="3722"/>
    <n v="21081"/>
    <n v="6"/>
    <x v="0"/>
    <n v="13"/>
    <n v="3"/>
    <n v="3"/>
    <n v="1"/>
    <n v="7"/>
    <n v="2"/>
    <n v="1"/>
    <n v="2"/>
    <n v="2"/>
    <n v="2"/>
    <n v="2"/>
  </r>
  <r>
    <n v="45"/>
    <x v="1"/>
    <s v="Travel_Rarely"/>
    <n v="1448"/>
    <x v="1"/>
    <n v="29"/>
    <n v="3"/>
    <s v="Technical Degree"/>
    <n v="1465"/>
    <n v="2"/>
    <x v="1"/>
    <n v="55"/>
    <n v="3"/>
    <n v="3"/>
    <s v="Manufacturing Director"/>
    <n v="4"/>
    <s v="Married"/>
    <n v="9380"/>
    <n v="14720"/>
    <n v="4"/>
    <x v="0"/>
    <n v="18"/>
    <n v="3"/>
    <n v="4"/>
    <n v="2"/>
    <n v="10"/>
    <n v="4"/>
    <n v="4"/>
    <n v="3"/>
    <n v="1"/>
    <n v="1"/>
    <n v="2"/>
  </r>
  <r>
    <n v="48"/>
    <x v="1"/>
    <s v="Travel_Rarely"/>
    <n v="1221"/>
    <x v="0"/>
    <n v="7"/>
    <n v="3"/>
    <s v="Marketing"/>
    <n v="1466"/>
    <n v="3"/>
    <x v="1"/>
    <n v="96"/>
    <n v="3"/>
    <n v="2"/>
    <s v="Sales Executive"/>
    <n v="1"/>
    <s v="Divorced"/>
    <n v="5486"/>
    <n v="24795"/>
    <n v="4"/>
    <x v="1"/>
    <n v="11"/>
    <n v="3"/>
    <n v="1"/>
    <n v="3"/>
    <n v="15"/>
    <n v="3"/>
    <n v="3"/>
    <n v="2"/>
    <n v="2"/>
    <n v="2"/>
    <n v="2"/>
  </r>
  <r>
    <n v="34"/>
    <x v="0"/>
    <s v="Travel_Rarely"/>
    <n v="1107"/>
    <x v="2"/>
    <n v="9"/>
    <n v="4"/>
    <s v="Technical Degree"/>
    <n v="1467"/>
    <n v="1"/>
    <x v="0"/>
    <n v="52"/>
    <n v="3"/>
    <n v="1"/>
    <s v="Human Resources"/>
    <n v="3"/>
    <s v="Married"/>
    <n v="2742"/>
    <n v="3072"/>
    <n v="1"/>
    <x v="1"/>
    <n v="15"/>
    <n v="3"/>
    <n v="4"/>
    <n v="0"/>
    <n v="2"/>
    <n v="0"/>
    <n v="3"/>
    <n v="2"/>
    <n v="2"/>
    <n v="2"/>
    <n v="2"/>
  </r>
  <r>
    <n v="40"/>
    <x v="1"/>
    <s v="Non-Travel"/>
    <n v="218"/>
    <x v="1"/>
    <n v="8"/>
    <n v="1"/>
    <s v="Medical"/>
    <n v="1468"/>
    <n v="4"/>
    <x v="1"/>
    <n v="55"/>
    <n v="2"/>
    <n v="3"/>
    <s v="Research Director"/>
    <n v="2"/>
    <s v="Divorced"/>
    <n v="13757"/>
    <n v="25178"/>
    <n v="2"/>
    <x v="1"/>
    <n v="11"/>
    <n v="3"/>
    <n v="3"/>
    <n v="1"/>
    <n v="16"/>
    <n v="5"/>
    <n v="3"/>
    <n v="9"/>
    <n v="8"/>
    <n v="4"/>
    <n v="8"/>
  </r>
  <r>
    <n v="28"/>
    <x v="1"/>
    <s v="Travel_Rarely"/>
    <n v="866"/>
    <x v="0"/>
    <n v="5"/>
    <n v="3"/>
    <s v="Medical"/>
    <n v="1469"/>
    <n v="4"/>
    <x v="1"/>
    <n v="84"/>
    <n v="3"/>
    <n v="2"/>
    <s v="Sales Executive"/>
    <n v="1"/>
    <s v="Single"/>
    <n v="8463"/>
    <n v="23490"/>
    <n v="0"/>
    <x v="1"/>
    <n v="18"/>
    <n v="3"/>
    <n v="4"/>
    <n v="0"/>
    <n v="6"/>
    <n v="4"/>
    <n v="3"/>
    <n v="5"/>
    <n v="4"/>
    <n v="1"/>
    <n v="3"/>
  </r>
  <r>
    <n v="44"/>
    <x v="1"/>
    <s v="Non-Travel"/>
    <n v="981"/>
    <x v="1"/>
    <n v="5"/>
    <n v="3"/>
    <s v="Life Sciences"/>
    <n v="1471"/>
    <n v="3"/>
    <x v="1"/>
    <n v="90"/>
    <n v="2"/>
    <n v="1"/>
    <s v="Laboratory Technician"/>
    <n v="3"/>
    <s v="Single"/>
    <n v="3162"/>
    <n v="7973"/>
    <n v="3"/>
    <x v="1"/>
    <n v="14"/>
    <n v="3"/>
    <n v="4"/>
    <n v="0"/>
    <n v="7"/>
    <n v="5"/>
    <n v="3"/>
    <n v="5"/>
    <n v="2"/>
    <n v="0"/>
    <n v="3"/>
  </r>
  <r>
    <n v="53"/>
    <x v="1"/>
    <s v="Travel_Rarely"/>
    <n v="447"/>
    <x v="1"/>
    <n v="2"/>
    <n v="3"/>
    <s v="Medical"/>
    <n v="1472"/>
    <n v="4"/>
    <x v="1"/>
    <n v="39"/>
    <n v="4"/>
    <n v="4"/>
    <s v="Research Director"/>
    <n v="2"/>
    <s v="Single"/>
    <n v="16598"/>
    <n v="19764"/>
    <n v="4"/>
    <x v="1"/>
    <n v="12"/>
    <n v="3"/>
    <n v="2"/>
    <n v="0"/>
    <n v="35"/>
    <n v="2"/>
    <n v="2"/>
    <n v="9"/>
    <n v="8"/>
    <n v="8"/>
    <n v="8"/>
  </r>
  <r>
    <n v="49"/>
    <x v="1"/>
    <s v="Travel_Rarely"/>
    <n v="1495"/>
    <x v="1"/>
    <n v="5"/>
    <n v="4"/>
    <s v="Technical Degree"/>
    <n v="1473"/>
    <n v="1"/>
    <x v="1"/>
    <n v="96"/>
    <n v="3"/>
    <n v="2"/>
    <s v="Healthcare Representative"/>
    <n v="3"/>
    <s v="Married"/>
    <n v="6651"/>
    <n v="21534"/>
    <n v="2"/>
    <x v="1"/>
    <n v="14"/>
    <n v="3"/>
    <n v="2"/>
    <n v="1"/>
    <n v="20"/>
    <n v="0"/>
    <n v="2"/>
    <n v="3"/>
    <n v="2"/>
    <n v="1"/>
    <n v="2"/>
  </r>
  <r>
    <n v="40"/>
    <x v="1"/>
    <s v="Travel_Rarely"/>
    <n v="896"/>
    <x v="1"/>
    <n v="2"/>
    <n v="3"/>
    <s v="Medical"/>
    <n v="1474"/>
    <n v="3"/>
    <x v="1"/>
    <n v="68"/>
    <n v="3"/>
    <n v="1"/>
    <s v="Research Scientist"/>
    <n v="3"/>
    <s v="Divorced"/>
    <n v="2345"/>
    <n v="8045"/>
    <n v="2"/>
    <x v="1"/>
    <n v="14"/>
    <n v="3"/>
    <n v="3"/>
    <n v="1"/>
    <n v="8"/>
    <n v="3"/>
    <n v="4"/>
    <n v="3"/>
    <n v="1"/>
    <n v="1"/>
    <n v="2"/>
  </r>
  <r>
    <n v="44"/>
    <x v="1"/>
    <s v="Travel_Rarely"/>
    <n v="1467"/>
    <x v="1"/>
    <n v="20"/>
    <n v="3"/>
    <s v="Life Sciences"/>
    <n v="1475"/>
    <n v="4"/>
    <x v="1"/>
    <n v="49"/>
    <n v="3"/>
    <n v="1"/>
    <s v="Research Scientist"/>
    <n v="2"/>
    <s v="Single"/>
    <n v="3420"/>
    <n v="21158"/>
    <n v="1"/>
    <x v="1"/>
    <n v="13"/>
    <n v="3"/>
    <n v="3"/>
    <n v="0"/>
    <n v="6"/>
    <n v="3"/>
    <n v="2"/>
    <n v="5"/>
    <n v="2"/>
    <n v="1"/>
    <n v="3"/>
  </r>
  <r>
    <n v="33"/>
    <x v="1"/>
    <s v="Travel_Frequently"/>
    <n v="430"/>
    <x v="0"/>
    <n v="7"/>
    <n v="3"/>
    <s v="Medical"/>
    <n v="1477"/>
    <n v="4"/>
    <x v="1"/>
    <n v="54"/>
    <n v="3"/>
    <n v="2"/>
    <s v="Sales Executive"/>
    <n v="1"/>
    <s v="Married"/>
    <n v="4373"/>
    <n v="17456"/>
    <n v="0"/>
    <x v="1"/>
    <n v="14"/>
    <n v="3"/>
    <n v="1"/>
    <n v="2"/>
    <n v="5"/>
    <n v="2"/>
    <n v="3"/>
    <n v="4"/>
    <n v="3"/>
    <n v="0"/>
    <n v="3"/>
  </r>
  <r>
    <n v="34"/>
    <x v="1"/>
    <s v="Travel_Rarely"/>
    <n v="1326"/>
    <x v="0"/>
    <n v="3"/>
    <n v="3"/>
    <s v="Other"/>
    <n v="1478"/>
    <n v="4"/>
    <x v="1"/>
    <n v="81"/>
    <n v="1"/>
    <n v="2"/>
    <s v="Sales Executive"/>
    <n v="1"/>
    <s v="Single"/>
    <n v="4759"/>
    <n v="15891"/>
    <n v="3"/>
    <x v="1"/>
    <n v="18"/>
    <n v="3"/>
    <n v="4"/>
    <n v="0"/>
    <n v="15"/>
    <n v="2"/>
    <n v="3"/>
    <n v="13"/>
    <n v="9"/>
    <n v="3"/>
    <n v="12"/>
  </r>
  <r>
    <n v="30"/>
    <x v="1"/>
    <s v="Travel_Rarely"/>
    <n v="1358"/>
    <x v="0"/>
    <n v="16"/>
    <n v="1"/>
    <s v="Life Sciences"/>
    <n v="1479"/>
    <n v="4"/>
    <x v="1"/>
    <n v="96"/>
    <n v="3"/>
    <n v="2"/>
    <s v="Sales Executive"/>
    <n v="3"/>
    <s v="Married"/>
    <n v="5301"/>
    <n v="2939"/>
    <n v="8"/>
    <x v="1"/>
    <n v="15"/>
    <n v="3"/>
    <n v="3"/>
    <n v="2"/>
    <n v="4"/>
    <n v="2"/>
    <n v="2"/>
    <n v="2"/>
    <n v="1"/>
    <n v="2"/>
    <n v="2"/>
  </r>
  <r>
    <n v="42"/>
    <x v="1"/>
    <s v="Travel_Frequently"/>
    <n v="748"/>
    <x v="1"/>
    <n v="9"/>
    <n v="2"/>
    <s v="Medical"/>
    <n v="1480"/>
    <n v="1"/>
    <x v="0"/>
    <n v="74"/>
    <n v="3"/>
    <n v="1"/>
    <s v="Laboratory Technician"/>
    <n v="4"/>
    <s v="Single"/>
    <n v="3673"/>
    <n v="16458"/>
    <n v="1"/>
    <x v="1"/>
    <n v="13"/>
    <n v="3"/>
    <n v="3"/>
    <n v="0"/>
    <n v="12"/>
    <n v="3"/>
    <n v="3"/>
    <n v="12"/>
    <n v="9"/>
    <n v="5"/>
    <n v="8"/>
  </r>
  <r>
    <n v="44"/>
    <x v="1"/>
    <s v="Travel_Frequently"/>
    <n v="383"/>
    <x v="0"/>
    <n v="1"/>
    <n v="5"/>
    <s v="Marketing"/>
    <n v="1481"/>
    <n v="1"/>
    <x v="0"/>
    <n v="79"/>
    <n v="3"/>
    <n v="2"/>
    <s v="Sales Executive"/>
    <n v="3"/>
    <s v="Married"/>
    <n v="4768"/>
    <n v="9282"/>
    <n v="7"/>
    <x v="1"/>
    <n v="12"/>
    <n v="3"/>
    <n v="3"/>
    <n v="1"/>
    <n v="11"/>
    <n v="4"/>
    <n v="2"/>
    <n v="1"/>
    <n v="0"/>
    <n v="0"/>
    <n v="0"/>
  </r>
  <r>
    <n v="30"/>
    <x v="1"/>
    <s v="Non-Travel"/>
    <n v="990"/>
    <x v="1"/>
    <n v="7"/>
    <n v="3"/>
    <s v="Technical Degree"/>
    <n v="1482"/>
    <n v="3"/>
    <x v="1"/>
    <n v="64"/>
    <n v="3"/>
    <n v="1"/>
    <s v="Research Scientist"/>
    <n v="3"/>
    <s v="Divorced"/>
    <n v="1274"/>
    <n v="7152"/>
    <n v="1"/>
    <x v="1"/>
    <n v="13"/>
    <n v="3"/>
    <n v="2"/>
    <n v="2"/>
    <n v="1"/>
    <n v="2"/>
    <n v="2"/>
    <n v="1"/>
    <n v="0"/>
    <n v="0"/>
    <n v="0"/>
  </r>
  <r>
    <n v="57"/>
    <x v="1"/>
    <s v="Travel_Rarely"/>
    <n v="405"/>
    <x v="1"/>
    <n v="1"/>
    <n v="2"/>
    <s v="Life Sciences"/>
    <n v="1483"/>
    <n v="2"/>
    <x v="1"/>
    <n v="93"/>
    <n v="4"/>
    <n v="2"/>
    <s v="Research Scientist"/>
    <n v="3"/>
    <s v="Married"/>
    <n v="4900"/>
    <n v="2721"/>
    <n v="0"/>
    <x v="1"/>
    <n v="24"/>
    <n v="4"/>
    <n v="1"/>
    <n v="1"/>
    <n v="13"/>
    <n v="2"/>
    <n v="2"/>
    <n v="12"/>
    <n v="9"/>
    <n v="2"/>
    <n v="8"/>
  </r>
  <r>
    <n v="49"/>
    <x v="1"/>
    <s v="Travel_Rarely"/>
    <n v="1490"/>
    <x v="1"/>
    <n v="7"/>
    <n v="4"/>
    <s v="Life Sciences"/>
    <n v="1484"/>
    <n v="3"/>
    <x v="1"/>
    <n v="35"/>
    <n v="3"/>
    <n v="3"/>
    <s v="Healthcare Representative"/>
    <n v="2"/>
    <s v="Divorced"/>
    <n v="10466"/>
    <n v="20948"/>
    <n v="3"/>
    <x v="1"/>
    <n v="14"/>
    <n v="3"/>
    <n v="2"/>
    <n v="2"/>
    <n v="29"/>
    <n v="3"/>
    <n v="3"/>
    <n v="8"/>
    <n v="7"/>
    <n v="0"/>
    <n v="7"/>
  </r>
  <r>
    <n v="34"/>
    <x v="1"/>
    <s v="Travel_Frequently"/>
    <n v="829"/>
    <x v="1"/>
    <n v="15"/>
    <n v="3"/>
    <s v="Medical"/>
    <n v="1485"/>
    <n v="2"/>
    <x v="1"/>
    <n v="71"/>
    <n v="3"/>
    <n v="4"/>
    <s v="Research Director"/>
    <n v="1"/>
    <s v="Divorced"/>
    <n v="17007"/>
    <n v="11929"/>
    <n v="7"/>
    <x v="1"/>
    <n v="14"/>
    <n v="3"/>
    <n v="4"/>
    <n v="2"/>
    <n v="16"/>
    <n v="3"/>
    <n v="2"/>
    <n v="14"/>
    <n v="8"/>
    <n v="6"/>
    <n v="9"/>
  </r>
  <r>
    <n v="28"/>
    <x v="0"/>
    <s v="Travel_Frequently"/>
    <n v="1496"/>
    <x v="0"/>
    <n v="1"/>
    <n v="3"/>
    <s v="Technical Degree"/>
    <n v="1486"/>
    <n v="1"/>
    <x v="1"/>
    <n v="92"/>
    <n v="3"/>
    <n v="1"/>
    <s v="Sales Representative"/>
    <n v="3"/>
    <s v="Married"/>
    <n v="2909"/>
    <n v="15747"/>
    <n v="3"/>
    <x v="1"/>
    <n v="15"/>
    <n v="3"/>
    <n v="4"/>
    <n v="1"/>
    <n v="5"/>
    <n v="3"/>
    <n v="4"/>
    <n v="3"/>
    <n v="2"/>
    <n v="1"/>
    <n v="2"/>
  </r>
  <r>
    <n v="29"/>
    <x v="0"/>
    <s v="Travel_Frequently"/>
    <n v="115"/>
    <x v="0"/>
    <n v="13"/>
    <n v="3"/>
    <s v="Technical Degree"/>
    <n v="1487"/>
    <n v="1"/>
    <x v="0"/>
    <n v="51"/>
    <n v="3"/>
    <n v="2"/>
    <s v="Sales Executive"/>
    <n v="2"/>
    <s v="Single"/>
    <n v="5765"/>
    <n v="17485"/>
    <n v="5"/>
    <x v="1"/>
    <n v="11"/>
    <n v="3"/>
    <n v="1"/>
    <n v="0"/>
    <n v="7"/>
    <n v="4"/>
    <n v="1"/>
    <n v="5"/>
    <n v="3"/>
    <n v="0"/>
    <n v="0"/>
  </r>
  <r>
    <n v="34"/>
    <x v="0"/>
    <s v="Travel_Rarely"/>
    <n v="790"/>
    <x v="0"/>
    <n v="24"/>
    <n v="4"/>
    <s v="Medical"/>
    <n v="1489"/>
    <n v="1"/>
    <x v="0"/>
    <n v="40"/>
    <n v="2"/>
    <n v="2"/>
    <s v="Sales Executive"/>
    <n v="2"/>
    <s v="Single"/>
    <n v="4599"/>
    <n v="7815"/>
    <n v="0"/>
    <x v="0"/>
    <n v="23"/>
    <n v="4"/>
    <n v="3"/>
    <n v="0"/>
    <n v="16"/>
    <n v="2"/>
    <n v="4"/>
    <n v="15"/>
    <n v="9"/>
    <n v="10"/>
    <n v="10"/>
  </r>
  <r>
    <n v="35"/>
    <x v="1"/>
    <s v="Travel_Rarely"/>
    <n v="660"/>
    <x v="0"/>
    <n v="7"/>
    <n v="1"/>
    <s v="Life Sciences"/>
    <n v="1492"/>
    <n v="4"/>
    <x v="1"/>
    <n v="76"/>
    <n v="3"/>
    <n v="1"/>
    <s v="Sales Representative"/>
    <n v="3"/>
    <s v="Married"/>
    <n v="2404"/>
    <n v="16192"/>
    <n v="1"/>
    <x v="1"/>
    <n v="13"/>
    <n v="3"/>
    <n v="1"/>
    <n v="1"/>
    <n v="1"/>
    <n v="3"/>
    <n v="3"/>
    <n v="1"/>
    <n v="0"/>
    <n v="0"/>
    <n v="0"/>
  </r>
  <r>
    <n v="24"/>
    <x v="0"/>
    <s v="Travel_Frequently"/>
    <n v="381"/>
    <x v="1"/>
    <n v="9"/>
    <n v="3"/>
    <s v="Medical"/>
    <n v="1494"/>
    <n v="2"/>
    <x v="1"/>
    <n v="89"/>
    <n v="3"/>
    <n v="1"/>
    <s v="Laboratory Technician"/>
    <n v="1"/>
    <s v="Single"/>
    <n v="3172"/>
    <n v="16998"/>
    <n v="2"/>
    <x v="0"/>
    <n v="11"/>
    <n v="3"/>
    <n v="3"/>
    <n v="0"/>
    <n v="4"/>
    <n v="2"/>
    <n v="2"/>
    <n v="0"/>
    <n v="0"/>
    <n v="0"/>
    <n v="0"/>
  </r>
  <r>
    <n v="24"/>
    <x v="1"/>
    <s v="Non-Travel"/>
    <n v="830"/>
    <x v="0"/>
    <n v="13"/>
    <n v="2"/>
    <s v="Life Sciences"/>
    <n v="1495"/>
    <n v="4"/>
    <x v="0"/>
    <n v="78"/>
    <n v="3"/>
    <n v="1"/>
    <s v="Sales Representative"/>
    <n v="2"/>
    <s v="Married"/>
    <n v="2033"/>
    <n v="7103"/>
    <n v="1"/>
    <x v="1"/>
    <n v="13"/>
    <n v="3"/>
    <n v="3"/>
    <n v="1"/>
    <n v="1"/>
    <n v="2"/>
    <n v="3"/>
    <n v="1"/>
    <n v="0"/>
    <n v="0"/>
    <n v="0"/>
  </r>
  <r>
    <n v="44"/>
    <x v="1"/>
    <s v="Travel_Frequently"/>
    <n v="1193"/>
    <x v="1"/>
    <n v="2"/>
    <n v="1"/>
    <s v="Medical"/>
    <n v="1496"/>
    <n v="2"/>
    <x v="1"/>
    <n v="86"/>
    <n v="3"/>
    <n v="3"/>
    <s v="Manufacturing Director"/>
    <n v="3"/>
    <s v="Single"/>
    <n v="10209"/>
    <n v="19719"/>
    <n v="5"/>
    <x v="0"/>
    <n v="18"/>
    <n v="3"/>
    <n v="2"/>
    <n v="0"/>
    <n v="16"/>
    <n v="2"/>
    <n v="2"/>
    <n v="2"/>
    <n v="2"/>
    <n v="2"/>
    <n v="2"/>
  </r>
  <r>
    <n v="29"/>
    <x v="1"/>
    <s v="Travel_Rarely"/>
    <n v="1246"/>
    <x v="0"/>
    <n v="19"/>
    <n v="3"/>
    <s v="Life Sciences"/>
    <n v="1497"/>
    <n v="3"/>
    <x v="1"/>
    <n v="77"/>
    <n v="2"/>
    <n v="2"/>
    <s v="Sales Executive"/>
    <n v="3"/>
    <s v="Divorced"/>
    <n v="8620"/>
    <n v="23757"/>
    <n v="1"/>
    <x v="1"/>
    <n v="14"/>
    <n v="3"/>
    <n v="3"/>
    <n v="2"/>
    <n v="10"/>
    <n v="3"/>
    <n v="3"/>
    <n v="10"/>
    <n v="7"/>
    <n v="0"/>
    <n v="4"/>
  </r>
  <r>
    <n v="30"/>
    <x v="1"/>
    <s v="Travel_Rarely"/>
    <n v="330"/>
    <x v="2"/>
    <n v="1"/>
    <n v="3"/>
    <s v="Life Sciences"/>
    <n v="1499"/>
    <n v="3"/>
    <x v="1"/>
    <n v="46"/>
    <n v="3"/>
    <n v="1"/>
    <s v="Human Resources"/>
    <n v="3"/>
    <s v="Divorced"/>
    <n v="2064"/>
    <n v="15428"/>
    <n v="0"/>
    <x v="1"/>
    <n v="21"/>
    <n v="4"/>
    <n v="1"/>
    <n v="1"/>
    <n v="6"/>
    <n v="3"/>
    <n v="4"/>
    <n v="5"/>
    <n v="3"/>
    <n v="1"/>
    <n v="3"/>
  </r>
  <r>
    <n v="55"/>
    <x v="1"/>
    <s v="Travel_Rarely"/>
    <n v="1229"/>
    <x v="1"/>
    <n v="4"/>
    <n v="4"/>
    <s v="Life Sciences"/>
    <n v="1501"/>
    <n v="4"/>
    <x v="1"/>
    <n v="30"/>
    <n v="3"/>
    <n v="2"/>
    <s v="Healthcare Representative"/>
    <n v="3"/>
    <s v="Married"/>
    <n v="4035"/>
    <n v="16143"/>
    <n v="0"/>
    <x v="0"/>
    <n v="16"/>
    <n v="3"/>
    <n v="2"/>
    <n v="0"/>
    <n v="4"/>
    <n v="2"/>
    <n v="3"/>
    <n v="3"/>
    <n v="2"/>
    <n v="1"/>
    <n v="2"/>
  </r>
  <r>
    <n v="33"/>
    <x v="1"/>
    <s v="Travel_Rarely"/>
    <n v="1099"/>
    <x v="1"/>
    <n v="4"/>
    <n v="4"/>
    <s v="Medical"/>
    <n v="1502"/>
    <n v="1"/>
    <x v="0"/>
    <n v="82"/>
    <n v="2"/>
    <n v="1"/>
    <s v="Laboratory Technician"/>
    <n v="2"/>
    <s v="Married"/>
    <n v="3838"/>
    <n v="8192"/>
    <n v="8"/>
    <x v="1"/>
    <n v="11"/>
    <n v="3"/>
    <n v="4"/>
    <n v="0"/>
    <n v="8"/>
    <n v="5"/>
    <n v="3"/>
    <n v="5"/>
    <n v="4"/>
    <n v="0"/>
    <n v="2"/>
  </r>
  <r>
    <n v="47"/>
    <x v="1"/>
    <s v="Travel_Rarely"/>
    <n v="571"/>
    <x v="0"/>
    <n v="14"/>
    <n v="3"/>
    <s v="Medical"/>
    <n v="1503"/>
    <n v="3"/>
    <x v="0"/>
    <n v="78"/>
    <n v="3"/>
    <n v="2"/>
    <s v="Sales Executive"/>
    <n v="3"/>
    <s v="Married"/>
    <n v="4591"/>
    <n v="24200"/>
    <n v="3"/>
    <x v="0"/>
    <n v="17"/>
    <n v="3"/>
    <n v="3"/>
    <n v="1"/>
    <n v="11"/>
    <n v="4"/>
    <n v="2"/>
    <n v="5"/>
    <n v="4"/>
    <n v="1"/>
    <n v="2"/>
  </r>
  <r>
    <n v="28"/>
    <x v="0"/>
    <s v="Travel_Frequently"/>
    <n v="289"/>
    <x v="1"/>
    <n v="2"/>
    <n v="2"/>
    <s v="Medical"/>
    <n v="1504"/>
    <n v="3"/>
    <x v="1"/>
    <n v="38"/>
    <n v="2"/>
    <n v="1"/>
    <s v="Laboratory Technician"/>
    <n v="1"/>
    <s v="Single"/>
    <n v="2561"/>
    <n v="5355"/>
    <n v="7"/>
    <x v="1"/>
    <n v="11"/>
    <n v="3"/>
    <n v="3"/>
    <n v="0"/>
    <n v="8"/>
    <n v="2"/>
    <n v="2"/>
    <n v="0"/>
    <n v="0"/>
    <n v="0"/>
    <n v="0"/>
  </r>
  <r>
    <n v="28"/>
    <x v="1"/>
    <s v="Travel_Rarely"/>
    <n v="1423"/>
    <x v="1"/>
    <n v="1"/>
    <n v="3"/>
    <s v="Life Sciences"/>
    <n v="1506"/>
    <n v="1"/>
    <x v="1"/>
    <n v="72"/>
    <n v="2"/>
    <n v="1"/>
    <s v="Research Scientist"/>
    <n v="3"/>
    <s v="Divorced"/>
    <n v="1563"/>
    <n v="12530"/>
    <n v="1"/>
    <x v="1"/>
    <n v="14"/>
    <n v="3"/>
    <n v="4"/>
    <n v="1"/>
    <n v="1"/>
    <n v="2"/>
    <n v="1"/>
    <n v="1"/>
    <n v="0"/>
    <n v="0"/>
    <n v="0"/>
  </r>
  <r>
    <n v="28"/>
    <x v="1"/>
    <s v="Travel_Frequently"/>
    <n v="467"/>
    <x v="0"/>
    <n v="7"/>
    <n v="3"/>
    <s v="Life Sciences"/>
    <n v="1507"/>
    <n v="3"/>
    <x v="1"/>
    <n v="55"/>
    <n v="3"/>
    <n v="2"/>
    <s v="Sales Executive"/>
    <n v="1"/>
    <s v="Single"/>
    <n v="4898"/>
    <n v="11827"/>
    <n v="0"/>
    <x v="1"/>
    <n v="14"/>
    <n v="3"/>
    <n v="4"/>
    <n v="0"/>
    <n v="5"/>
    <n v="5"/>
    <n v="3"/>
    <n v="4"/>
    <n v="2"/>
    <n v="1"/>
    <n v="3"/>
  </r>
  <r>
    <n v="49"/>
    <x v="1"/>
    <s v="Travel_Rarely"/>
    <n v="271"/>
    <x v="1"/>
    <n v="3"/>
    <n v="2"/>
    <s v="Medical"/>
    <n v="1509"/>
    <n v="3"/>
    <x v="0"/>
    <n v="43"/>
    <n v="2"/>
    <n v="2"/>
    <s v="Laboratory Technician"/>
    <n v="1"/>
    <s v="Married"/>
    <n v="4789"/>
    <n v="23070"/>
    <n v="4"/>
    <x v="1"/>
    <n v="25"/>
    <n v="4"/>
    <n v="1"/>
    <n v="1"/>
    <n v="10"/>
    <n v="3"/>
    <n v="3"/>
    <n v="3"/>
    <n v="2"/>
    <n v="1"/>
    <n v="2"/>
  </r>
  <r>
    <n v="29"/>
    <x v="1"/>
    <s v="Travel_Frequently"/>
    <n v="410"/>
    <x v="1"/>
    <n v="2"/>
    <n v="1"/>
    <s v="Life Sciences"/>
    <n v="1513"/>
    <n v="4"/>
    <x v="0"/>
    <n v="97"/>
    <n v="3"/>
    <n v="1"/>
    <s v="Laboratory Technician"/>
    <n v="2"/>
    <s v="Married"/>
    <n v="3180"/>
    <n v="4668"/>
    <n v="0"/>
    <x v="1"/>
    <n v="13"/>
    <n v="3"/>
    <n v="3"/>
    <n v="3"/>
    <n v="4"/>
    <n v="3"/>
    <n v="3"/>
    <n v="3"/>
    <n v="2"/>
    <n v="0"/>
    <n v="2"/>
  </r>
  <r>
    <n v="28"/>
    <x v="1"/>
    <s v="Travel_Rarely"/>
    <n v="1083"/>
    <x v="1"/>
    <n v="29"/>
    <n v="1"/>
    <s v="Life Sciences"/>
    <n v="1514"/>
    <n v="3"/>
    <x v="1"/>
    <n v="96"/>
    <n v="1"/>
    <n v="2"/>
    <s v="Manufacturing Director"/>
    <n v="2"/>
    <s v="Married"/>
    <n v="6549"/>
    <n v="3173"/>
    <n v="1"/>
    <x v="1"/>
    <n v="14"/>
    <n v="3"/>
    <n v="2"/>
    <n v="2"/>
    <n v="8"/>
    <n v="2"/>
    <n v="2"/>
    <n v="8"/>
    <n v="6"/>
    <n v="1"/>
    <n v="7"/>
  </r>
  <r>
    <n v="33"/>
    <x v="1"/>
    <s v="Travel_Rarely"/>
    <n v="516"/>
    <x v="1"/>
    <n v="8"/>
    <n v="5"/>
    <s v="Life Sciences"/>
    <n v="1515"/>
    <n v="4"/>
    <x v="1"/>
    <n v="69"/>
    <n v="3"/>
    <n v="2"/>
    <s v="Healthcare Representative"/>
    <n v="3"/>
    <s v="Single"/>
    <n v="6388"/>
    <n v="22049"/>
    <n v="2"/>
    <x v="0"/>
    <n v="17"/>
    <n v="3"/>
    <n v="1"/>
    <n v="0"/>
    <n v="14"/>
    <n v="6"/>
    <n v="3"/>
    <n v="0"/>
    <n v="0"/>
    <n v="0"/>
    <n v="0"/>
  </r>
  <r>
    <n v="32"/>
    <x v="1"/>
    <s v="Travel_Rarely"/>
    <n v="495"/>
    <x v="1"/>
    <n v="10"/>
    <n v="3"/>
    <s v="Medical"/>
    <n v="1516"/>
    <n v="3"/>
    <x v="1"/>
    <n v="64"/>
    <n v="3"/>
    <n v="3"/>
    <s v="Manager"/>
    <n v="4"/>
    <s v="Single"/>
    <n v="11244"/>
    <n v="21072"/>
    <n v="2"/>
    <x v="1"/>
    <n v="25"/>
    <n v="4"/>
    <n v="2"/>
    <n v="0"/>
    <n v="10"/>
    <n v="5"/>
    <n v="4"/>
    <n v="5"/>
    <n v="2"/>
    <n v="0"/>
    <n v="0"/>
  </r>
  <r>
    <n v="54"/>
    <x v="1"/>
    <s v="Travel_Frequently"/>
    <n v="1050"/>
    <x v="1"/>
    <n v="11"/>
    <n v="4"/>
    <s v="Medical"/>
    <n v="1520"/>
    <n v="2"/>
    <x v="0"/>
    <n v="87"/>
    <n v="3"/>
    <n v="4"/>
    <s v="Manager"/>
    <n v="4"/>
    <s v="Divorced"/>
    <n v="16032"/>
    <n v="24456"/>
    <n v="3"/>
    <x v="1"/>
    <n v="20"/>
    <n v="4"/>
    <n v="1"/>
    <n v="1"/>
    <n v="26"/>
    <n v="2"/>
    <n v="3"/>
    <n v="14"/>
    <n v="9"/>
    <n v="1"/>
    <n v="12"/>
  </r>
  <r>
    <n v="29"/>
    <x v="0"/>
    <s v="Travel_Rarely"/>
    <n v="224"/>
    <x v="1"/>
    <n v="1"/>
    <n v="4"/>
    <s v="Technical Degree"/>
    <n v="1522"/>
    <n v="1"/>
    <x v="1"/>
    <n v="100"/>
    <n v="2"/>
    <n v="1"/>
    <s v="Research Scientist"/>
    <n v="1"/>
    <s v="Single"/>
    <n v="2362"/>
    <n v="7568"/>
    <n v="6"/>
    <x v="1"/>
    <n v="13"/>
    <n v="3"/>
    <n v="3"/>
    <n v="0"/>
    <n v="11"/>
    <n v="2"/>
    <n v="1"/>
    <n v="9"/>
    <n v="7"/>
    <n v="0"/>
    <n v="7"/>
  </r>
  <r>
    <n v="44"/>
    <x v="1"/>
    <s v="Travel_Rarely"/>
    <n v="136"/>
    <x v="1"/>
    <n v="28"/>
    <n v="3"/>
    <s v="Life Sciences"/>
    <n v="1523"/>
    <n v="4"/>
    <x v="1"/>
    <n v="32"/>
    <n v="3"/>
    <n v="4"/>
    <s v="Research Director"/>
    <n v="1"/>
    <s v="Married"/>
    <n v="16328"/>
    <n v="22074"/>
    <n v="3"/>
    <x v="1"/>
    <n v="13"/>
    <n v="3"/>
    <n v="3"/>
    <n v="1"/>
    <n v="24"/>
    <n v="1"/>
    <n v="4"/>
    <n v="20"/>
    <n v="6"/>
    <n v="14"/>
    <n v="17"/>
  </r>
  <r>
    <n v="39"/>
    <x v="1"/>
    <s v="Travel_Rarely"/>
    <n v="1089"/>
    <x v="1"/>
    <n v="6"/>
    <n v="3"/>
    <s v="Life Sciences"/>
    <n v="1525"/>
    <n v="2"/>
    <x v="0"/>
    <n v="32"/>
    <n v="3"/>
    <n v="3"/>
    <s v="Manufacturing Director"/>
    <n v="2"/>
    <s v="Single"/>
    <n v="8376"/>
    <n v="9150"/>
    <n v="4"/>
    <x v="1"/>
    <n v="18"/>
    <n v="3"/>
    <n v="4"/>
    <n v="0"/>
    <n v="9"/>
    <n v="3"/>
    <n v="3"/>
    <n v="2"/>
    <n v="0"/>
    <n v="2"/>
    <n v="2"/>
  </r>
  <r>
    <n v="46"/>
    <x v="1"/>
    <s v="Travel_Rarely"/>
    <n v="228"/>
    <x v="0"/>
    <n v="3"/>
    <n v="3"/>
    <s v="Life Sciences"/>
    <n v="1527"/>
    <n v="3"/>
    <x v="0"/>
    <n v="51"/>
    <n v="3"/>
    <n v="4"/>
    <s v="Manager"/>
    <n v="2"/>
    <s v="Married"/>
    <n v="16606"/>
    <n v="11380"/>
    <n v="8"/>
    <x v="1"/>
    <n v="12"/>
    <n v="3"/>
    <n v="4"/>
    <n v="1"/>
    <n v="23"/>
    <n v="2"/>
    <n v="4"/>
    <n v="13"/>
    <n v="12"/>
    <n v="5"/>
    <n v="1"/>
  </r>
  <r>
    <n v="35"/>
    <x v="1"/>
    <s v="Travel_Rarely"/>
    <n v="1029"/>
    <x v="1"/>
    <n v="16"/>
    <n v="3"/>
    <s v="Life Sciences"/>
    <n v="1529"/>
    <n v="4"/>
    <x v="0"/>
    <n v="91"/>
    <n v="2"/>
    <n v="3"/>
    <s v="Healthcare Representative"/>
    <n v="2"/>
    <s v="Single"/>
    <n v="8606"/>
    <n v="21195"/>
    <n v="1"/>
    <x v="1"/>
    <n v="19"/>
    <n v="3"/>
    <n v="4"/>
    <n v="0"/>
    <n v="11"/>
    <n v="3"/>
    <n v="1"/>
    <n v="11"/>
    <n v="8"/>
    <n v="3"/>
    <n v="3"/>
  </r>
  <r>
    <n v="23"/>
    <x v="1"/>
    <s v="Travel_Rarely"/>
    <n v="507"/>
    <x v="1"/>
    <n v="20"/>
    <n v="1"/>
    <s v="Life Sciences"/>
    <n v="1533"/>
    <n v="1"/>
    <x v="1"/>
    <n v="97"/>
    <n v="3"/>
    <n v="2"/>
    <s v="Laboratory Technician"/>
    <n v="3"/>
    <s v="Single"/>
    <n v="2272"/>
    <n v="24812"/>
    <n v="0"/>
    <x v="1"/>
    <n v="14"/>
    <n v="3"/>
    <n v="2"/>
    <n v="0"/>
    <n v="5"/>
    <n v="2"/>
    <n v="3"/>
    <n v="4"/>
    <n v="3"/>
    <n v="1"/>
    <n v="2"/>
  </r>
  <r>
    <n v="40"/>
    <x v="0"/>
    <s v="Travel_Rarely"/>
    <n v="676"/>
    <x v="1"/>
    <n v="9"/>
    <n v="4"/>
    <s v="Life Sciences"/>
    <n v="1534"/>
    <n v="4"/>
    <x v="1"/>
    <n v="86"/>
    <n v="3"/>
    <n v="1"/>
    <s v="Laboratory Technician"/>
    <n v="1"/>
    <s v="Single"/>
    <n v="2018"/>
    <n v="21831"/>
    <n v="3"/>
    <x v="1"/>
    <n v="14"/>
    <n v="3"/>
    <n v="2"/>
    <n v="0"/>
    <n v="15"/>
    <n v="3"/>
    <n v="1"/>
    <n v="5"/>
    <n v="4"/>
    <n v="1"/>
    <n v="0"/>
  </r>
  <r>
    <n v="34"/>
    <x v="1"/>
    <s v="Travel_Rarely"/>
    <n v="971"/>
    <x v="0"/>
    <n v="1"/>
    <n v="3"/>
    <s v="Technical Degree"/>
    <n v="1535"/>
    <n v="4"/>
    <x v="1"/>
    <n v="64"/>
    <n v="2"/>
    <n v="3"/>
    <s v="Sales Executive"/>
    <n v="3"/>
    <s v="Married"/>
    <n v="7083"/>
    <n v="12288"/>
    <n v="1"/>
    <x v="0"/>
    <n v="14"/>
    <n v="3"/>
    <n v="4"/>
    <n v="0"/>
    <n v="10"/>
    <n v="3"/>
    <n v="3"/>
    <n v="10"/>
    <n v="9"/>
    <n v="8"/>
    <n v="6"/>
  </r>
  <r>
    <n v="31"/>
    <x v="0"/>
    <s v="Travel_Frequently"/>
    <n v="561"/>
    <x v="1"/>
    <n v="3"/>
    <n v="3"/>
    <s v="Life Sciences"/>
    <n v="1537"/>
    <n v="4"/>
    <x v="0"/>
    <n v="33"/>
    <n v="3"/>
    <n v="1"/>
    <s v="Research Scientist"/>
    <n v="3"/>
    <s v="Single"/>
    <n v="4084"/>
    <n v="4156"/>
    <n v="1"/>
    <x v="1"/>
    <n v="12"/>
    <n v="3"/>
    <n v="1"/>
    <n v="0"/>
    <n v="7"/>
    <n v="2"/>
    <n v="1"/>
    <n v="7"/>
    <n v="2"/>
    <n v="7"/>
    <n v="7"/>
  </r>
  <r>
    <n v="50"/>
    <x v="1"/>
    <s v="Travel_Frequently"/>
    <n v="333"/>
    <x v="1"/>
    <n v="22"/>
    <n v="5"/>
    <s v="Medical"/>
    <n v="1539"/>
    <n v="3"/>
    <x v="1"/>
    <n v="88"/>
    <n v="1"/>
    <n v="4"/>
    <s v="Research Director"/>
    <n v="4"/>
    <s v="Single"/>
    <n v="14411"/>
    <n v="24450"/>
    <n v="1"/>
    <x v="0"/>
    <n v="13"/>
    <n v="3"/>
    <n v="4"/>
    <n v="0"/>
    <n v="32"/>
    <n v="2"/>
    <n v="3"/>
    <n v="32"/>
    <n v="6"/>
    <n v="13"/>
    <n v="9"/>
  </r>
  <r>
    <n v="34"/>
    <x v="1"/>
    <s v="Travel_Rarely"/>
    <n v="1440"/>
    <x v="0"/>
    <n v="7"/>
    <n v="2"/>
    <s v="Technical Degree"/>
    <n v="1541"/>
    <n v="2"/>
    <x v="1"/>
    <n v="55"/>
    <n v="3"/>
    <n v="1"/>
    <s v="Sales Representative"/>
    <n v="3"/>
    <s v="Married"/>
    <n v="2308"/>
    <n v="4944"/>
    <n v="0"/>
    <x v="0"/>
    <n v="25"/>
    <n v="4"/>
    <n v="2"/>
    <n v="1"/>
    <n v="12"/>
    <n v="4"/>
    <n v="3"/>
    <n v="11"/>
    <n v="10"/>
    <n v="5"/>
    <n v="7"/>
  </r>
  <r>
    <n v="42"/>
    <x v="1"/>
    <s v="Travel_Rarely"/>
    <n v="1210"/>
    <x v="1"/>
    <n v="2"/>
    <n v="3"/>
    <s v="Medical"/>
    <n v="1542"/>
    <n v="3"/>
    <x v="1"/>
    <n v="68"/>
    <n v="2"/>
    <n v="1"/>
    <s v="Laboratory Technician"/>
    <n v="2"/>
    <s v="Married"/>
    <n v="4841"/>
    <n v="24052"/>
    <n v="4"/>
    <x v="1"/>
    <n v="14"/>
    <n v="3"/>
    <n v="2"/>
    <n v="1"/>
    <n v="4"/>
    <n v="3"/>
    <n v="3"/>
    <n v="1"/>
    <n v="0"/>
    <n v="0"/>
    <n v="0"/>
  </r>
  <r>
    <n v="37"/>
    <x v="1"/>
    <s v="Travel_Rarely"/>
    <n v="674"/>
    <x v="1"/>
    <n v="13"/>
    <n v="3"/>
    <s v="Medical"/>
    <n v="1543"/>
    <n v="1"/>
    <x v="1"/>
    <n v="47"/>
    <n v="3"/>
    <n v="2"/>
    <s v="Research Scientist"/>
    <n v="4"/>
    <s v="Married"/>
    <n v="4285"/>
    <n v="3031"/>
    <n v="1"/>
    <x v="1"/>
    <n v="17"/>
    <n v="3"/>
    <n v="1"/>
    <n v="0"/>
    <n v="10"/>
    <n v="2"/>
    <n v="3"/>
    <n v="10"/>
    <n v="8"/>
    <n v="3"/>
    <n v="7"/>
  </r>
  <r>
    <n v="29"/>
    <x v="1"/>
    <s v="Travel_Rarely"/>
    <n v="441"/>
    <x v="1"/>
    <n v="8"/>
    <n v="1"/>
    <s v="Other"/>
    <n v="1544"/>
    <n v="3"/>
    <x v="0"/>
    <n v="39"/>
    <n v="1"/>
    <n v="2"/>
    <s v="Healthcare Representative"/>
    <n v="1"/>
    <s v="Married"/>
    <n v="9715"/>
    <n v="7288"/>
    <n v="3"/>
    <x v="1"/>
    <n v="13"/>
    <n v="3"/>
    <n v="3"/>
    <n v="1"/>
    <n v="9"/>
    <n v="3"/>
    <n v="3"/>
    <n v="7"/>
    <n v="7"/>
    <n v="0"/>
    <n v="7"/>
  </r>
  <r>
    <n v="33"/>
    <x v="1"/>
    <s v="Travel_Rarely"/>
    <n v="575"/>
    <x v="1"/>
    <n v="25"/>
    <n v="3"/>
    <s v="Life Sciences"/>
    <n v="1545"/>
    <n v="4"/>
    <x v="1"/>
    <n v="44"/>
    <n v="2"/>
    <n v="2"/>
    <s v="Manufacturing Director"/>
    <n v="2"/>
    <s v="Single"/>
    <n v="4320"/>
    <n v="24152"/>
    <n v="1"/>
    <x v="1"/>
    <n v="13"/>
    <n v="3"/>
    <n v="4"/>
    <n v="0"/>
    <n v="5"/>
    <n v="2"/>
    <n v="3"/>
    <n v="5"/>
    <n v="3"/>
    <n v="0"/>
    <n v="2"/>
  </r>
  <r>
    <n v="45"/>
    <x v="1"/>
    <s v="Travel_Rarely"/>
    <n v="950"/>
    <x v="1"/>
    <n v="28"/>
    <n v="3"/>
    <s v="Technical Degree"/>
    <n v="1546"/>
    <n v="4"/>
    <x v="1"/>
    <n v="97"/>
    <n v="3"/>
    <n v="1"/>
    <s v="Research Scientist"/>
    <n v="4"/>
    <s v="Married"/>
    <n v="2132"/>
    <n v="4585"/>
    <n v="4"/>
    <x v="1"/>
    <n v="20"/>
    <n v="4"/>
    <n v="4"/>
    <n v="1"/>
    <n v="8"/>
    <n v="3"/>
    <n v="3"/>
    <n v="5"/>
    <n v="4"/>
    <n v="0"/>
    <n v="3"/>
  </r>
  <r>
    <n v="42"/>
    <x v="1"/>
    <s v="Travel_Frequently"/>
    <n v="288"/>
    <x v="1"/>
    <n v="2"/>
    <n v="3"/>
    <s v="Life Sciences"/>
    <n v="1547"/>
    <n v="4"/>
    <x v="1"/>
    <n v="40"/>
    <n v="3"/>
    <n v="3"/>
    <s v="Healthcare Representative"/>
    <n v="4"/>
    <s v="Married"/>
    <n v="10124"/>
    <n v="18611"/>
    <n v="2"/>
    <x v="0"/>
    <n v="14"/>
    <n v="3"/>
    <n v="3"/>
    <n v="1"/>
    <n v="24"/>
    <n v="3"/>
    <n v="1"/>
    <n v="20"/>
    <n v="8"/>
    <n v="13"/>
    <n v="9"/>
  </r>
  <r>
    <n v="40"/>
    <x v="1"/>
    <s v="Travel_Rarely"/>
    <n v="1342"/>
    <x v="0"/>
    <n v="9"/>
    <n v="2"/>
    <s v="Medical"/>
    <n v="1548"/>
    <n v="1"/>
    <x v="1"/>
    <n v="47"/>
    <n v="3"/>
    <n v="2"/>
    <s v="Sales Executive"/>
    <n v="1"/>
    <s v="Married"/>
    <n v="5473"/>
    <n v="19345"/>
    <n v="0"/>
    <x v="1"/>
    <n v="12"/>
    <n v="3"/>
    <n v="4"/>
    <n v="0"/>
    <n v="9"/>
    <n v="5"/>
    <n v="4"/>
    <n v="8"/>
    <n v="4"/>
    <n v="7"/>
    <n v="1"/>
  </r>
  <r>
    <n v="33"/>
    <x v="1"/>
    <s v="Travel_Rarely"/>
    <n v="589"/>
    <x v="1"/>
    <n v="28"/>
    <n v="4"/>
    <s v="Life Sciences"/>
    <n v="1549"/>
    <n v="2"/>
    <x v="1"/>
    <n v="79"/>
    <n v="3"/>
    <n v="2"/>
    <s v="Laboratory Technician"/>
    <n v="3"/>
    <s v="Married"/>
    <n v="5207"/>
    <n v="22949"/>
    <n v="1"/>
    <x v="0"/>
    <n v="12"/>
    <n v="3"/>
    <n v="2"/>
    <n v="1"/>
    <n v="15"/>
    <n v="3"/>
    <n v="3"/>
    <n v="15"/>
    <n v="14"/>
    <n v="5"/>
    <n v="7"/>
  </r>
  <r>
    <n v="40"/>
    <x v="1"/>
    <s v="Travel_Rarely"/>
    <n v="898"/>
    <x v="2"/>
    <n v="6"/>
    <n v="2"/>
    <s v="Medical"/>
    <n v="1550"/>
    <n v="3"/>
    <x v="1"/>
    <n v="38"/>
    <n v="3"/>
    <n v="4"/>
    <s v="Manager"/>
    <n v="4"/>
    <s v="Single"/>
    <n v="16437"/>
    <n v="17381"/>
    <n v="1"/>
    <x v="0"/>
    <n v="21"/>
    <n v="4"/>
    <n v="4"/>
    <n v="0"/>
    <n v="21"/>
    <n v="2"/>
    <n v="3"/>
    <n v="21"/>
    <n v="7"/>
    <n v="7"/>
    <n v="7"/>
  </r>
  <r>
    <n v="24"/>
    <x v="1"/>
    <s v="Travel_Rarely"/>
    <n v="350"/>
    <x v="1"/>
    <n v="21"/>
    <n v="2"/>
    <s v="Technical Degree"/>
    <n v="1551"/>
    <n v="3"/>
    <x v="1"/>
    <n v="57"/>
    <n v="2"/>
    <n v="1"/>
    <s v="Laboratory Technician"/>
    <n v="1"/>
    <s v="Divorced"/>
    <n v="2296"/>
    <n v="10036"/>
    <n v="0"/>
    <x v="1"/>
    <n v="14"/>
    <n v="3"/>
    <n v="2"/>
    <n v="3"/>
    <n v="2"/>
    <n v="3"/>
    <n v="3"/>
    <n v="1"/>
    <n v="1"/>
    <n v="0"/>
    <n v="0"/>
  </r>
  <r>
    <n v="40"/>
    <x v="1"/>
    <s v="Non-Travel"/>
    <n v="1142"/>
    <x v="1"/>
    <n v="8"/>
    <n v="2"/>
    <s v="Life Sciences"/>
    <n v="1552"/>
    <n v="4"/>
    <x v="1"/>
    <n v="72"/>
    <n v="3"/>
    <n v="2"/>
    <s v="Healthcare Representative"/>
    <n v="4"/>
    <s v="Divorced"/>
    <n v="4069"/>
    <n v="8841"/>
    <n v="3"/>
    <x v="0"/>
    <n v="18"/>
    <n v="3"/>
    <n v="3"/>
    <n v="0"/>
    <n v="8"/>
    <n v="2"/>
    <n v="3"/>
    <n v="2"/>
    <n v="2"/>
    <n v="2"/>
    <n v="2"/>
  </r>
  <r>
    <n v="45"/>
    <x v="1"/>
    <s v="Travel_Rarely"/>
    <n v="538"/>
    <x v="1"/>
    <n v="1"/>
    <n v="4"/>
    <s v="Technical Degree"/>
    <n v="1553"/>
    <n v="1"/>
    <x v="1"/>
    <n v="66"/>
    <n v="3"/>
    <n v="3"/>
    <s v="Healthcare Representative"/>
    <n v="2"/>
    <s v="Divorced"/>
    <n v="7441"/>
    <n v="20933"/>
    <n v="1"/>
    <x v="1"/>
    <n v="12"/>
    <n v="3"/>
    <n v="1"/>
    <n v="3"/>
    <n v="10"/>
    <n v="4"/>
    <n v="3"/>
    <n v="10"/>
    <n v="8"/>
    <n v="7"/>
    <n v="7"/>
  </r>
  <r>
    <n v="35"/>
    <x v="1"/>
    <s v="Travel_Rarely"/>
    <n v="1402"/>
    <x v="0"/>
    <n v="28"/>
    <n v="4"/>
    <s v="Life Sciences"/>
    <n v="1554"/>
    <n v="2"/>
    <x v="0"/>
    <n v="98"/>
    <n v="2"/>
    <n v="1"/>
    <s v="Sales Representative"/>
    <n v="3"/>
    <s v="Married"/>
    <n v="2430"/>
    <n v="26204"/>
    <n v="0"/>
    <x v="1"/>
    <n v="23"/>
    <n v="4"/>
    <n v="1"/>
    <n v="2"/>
    <n v="6"/>
    <n v="5"/>
    <n v="3"/>
    <n v="5"/>
    <n v="3"/>
    <n v="4"/>
    <n v="2"/>
  </r>
  <r>
    <n v="32"/>
    <x v="1"/>
    <s v="Travel_Rarely"/>
    <n v="824"/>
    <x v="1"/>
    <n v="5"/>
    <n v="2"/>
    <s v="Life Sciences"/>
    <n v="1555"/>
    <n v="4"/>
    <x v="0"/>
    <n v="67"/>
    <n v="2"/>
    <n v="2"/>
    <s v="Research Scientist"/>
    <n v="2"/>
    <s v="Married"/>
    <n v="5878"/>
    <n v="15624"/>
    <n v="3"/>
    <x v="1"/>
    <n v="12"/>
    <n v="3"/>
    <n v="1"/>
    <n v="1"/>
    <n v="12"/>
    <n v="2"/>
    <n v="3"/>
    <n v="7"/>
    <n v="1"/>
    <n v="2"/>
    <n v="5"/>
  </r>
  <r>
    <n v="36"/>
    <x v="1"/>
    <s v="Travel_Rarely"/>
    <n v="1157"/>
    <x v="0"/>
    <n v="2"/>
    <n v="4"/>
    <s v="Life Sciences"/>
    <n v="1556"/>
    <n v="3"/>
    <x v="1"/>
    <n v="70"/>
    <n v="3"/>
    <n v="1"/>
    <s v="Sales Representative"/>
    <n v="4"/>
    <s v="Single"/>
    <n v="2644"/>
    <n v="17001"/>
    <n v="3"/>
    <x v="0"/>
    <n v="21"/>
    <n v="4"/>
    <n v="4"/>
    <n v="0"/>
    <n v="7"/>
    <n v="3"/>
    <n v="2"/>
    <n v="3"/>
    <n v="2"/>
    <n v="1"/>
    <n v="2"/>
  </r>
  <r>
    <n v="48"/>
    <x v="1"/>
    <s v="Travel_Rarely"/>
    <n v="492"/>
    <x v="0"/>
    <n v="16"/>
    <n v="4"/>
    <s v="Life Sciences"/>
    <n v="1557"/>
    <n v="3"/>
    <x v="0"/>
    <n v="96"/>
    <n v="3"/>
    <n v="2"/>
    <s v="Sales Executive"/>
    <n v="3"/>
    <s v="Divorced"/>
    <n v="6439"/>
    <n v="13693"/>
    <n v="8"/>
    <x v="1"/>
    <n v="14"/>
    <n v="3"/>
    <n v="3"/>
    <n v="1"/>
    <n v="18"/>
    <n v="2"/>
    <n v="3"/>
    <n v="8"/>
    <n v="7"/>
    <n v="7"/>
    <n v="7"/>
  </r>
  <r>
    <n v="29"/>
    <x v="1"/>
    <s v="Travel_Rarely"/>
    <n v="598"/>
    <x v="1"/>
    <n v="9"/>
    <n v="3"/>
    <s v="Life Sciences"/>
    <n v="1558"/>
    <n v="3"/>
    <x v="1"/>
    <n v="91"/>
    <n v="4"/>
    <n v="1"/>
    <s v="Research Scientist"/>
    <n v="3"/>
    <s v="Married"/>
    <n v="2451"/>
    <n v="22376"/>
    <n v="6"/>
    <x v="1"/>
    <n v="18"/>
    <n v="3"/>
    <n v="1"/>
    <n v="2"/>
    <n v="5"/>
    <n v="2"/>
    <n v="2"/>
    <n v="1"/>
    <n v="0"/>
    <n v="0"/>
    <n v="0"/>
  </r>
  <r>
    <n v="33"/>
    <x v="1"/>
    <s v="Travel_Rarely"/>
    <n v="1242"/>
    <x v="0"/>
    <n v="8"/>
    <n v="4"/>
    <s v="Life Sciences"/>
    <n v="1560"/>
    <n v="1"/>
    <x v="1"/>
    <n v="46"/>
    <n v="3"/>
    <n v="2"/>
    <s v="Sales Executive"/>
    <n v="1"/>
    <s v="Married"/>
    <n v="6392"/>
    <n v="10589"/>
    <n v="2"/>
    <x v="1"/>
    <n v="13"/>
    <n v="3"/>
    <n v="4"/>
    <n v="1"/>
    <n v="8"/>
    <n v="6"/>
    <n v="1"/>
    <n v="2"/>
    <n v="2"/>
    <n v="2"/>
    <n v="2"/>
  </r>
  <r>
    <n v="30"/>
    <x v="0"/>
    <s v="Travel_Rarely"/>
    <n v="740"/>
    <x v="0"/>
    <n v="1"/>
    <n v="3"/>
    <s v="Life Sciences"/>
    <n v="1562"/>
    <n v="2"/>
    <x v="1"/>
    <n v="64"/>
    <n v="2"/>
    <n v="2"/>
    <s v="Sales Executive"/>
    <n v="1"/>
    <s v="Married"/>
    <n v="9714"/>
    <n v="5323"/>
    <n v="1"/>
    <x v="1"/>
    <n v="11"/>
    <n v="3"/>
    <n v="4"/>
    <n v="1"/>
    <n v="10"/>
    <n v="4"/>
    <n v="3"/>
    <n v="10"/>
    <n v="8"/>
    <n v="6"/>
    <n v="7"/>
  </r>
  <r>
    <n v="38"/>
    <x v="1"/>
    <s v="Travel_Frequently"/>
    <n v="888"/>
    <x v="2"/>
    <n v="10"/>
    <n v="4"/>
    <s v="Human Resources"/>
    <n v="1563"/>
    <n v="3"/>
    <x v="1"/>
    <n v="71"/>
    <n v="3"/>
    <n v="2"/>
    <s v="Human Resources"/>
    <n v="3"/>
    <s v="Married"/>
    <n v="6077"/>
    <n v="14814"/>
    <n v="3"/>
    <x v="1"/>
    <n v="11"/>
    <n v="3"/>
    <n v="3"/>
    <n v="0"/>
    <n v="10"/>
    <n v="2"/>
    <n v="3"/>
    <n v="6"/>
    <n v="3"/>
    <n v="1"/>
    <n v="2"/>
  </r>
  <r>
    <n v="35"/>
    <x v="1"/>
    <s v="Travel_Rarely"/>
    <n v="992"/>
    <x v="1"/>
    <n v="1"/>
    <n v="3"/>
    <s v="Medical"/>
    <n v="1564"/>
    <n v="4"/>
    <x v="1"/>
    <n v="68"/>
    <n v="2"/>
    <n v="1"/>
    <s v="Laboratory Technician"/>
    <n v="1"/>
    <s v="Single"/>
    <n v="2450"/>
    <n v="21731"/>
    <n v="1"/>
    <x v="1"/>
    <n v="19"/>
    <n v="3"/>
    <n v="2"/>
    <n v="0"/>
    <n v="3"/>
    <n v="3"/>
    <n v="3"/>
    <n v="3"/>
    <n v="0"/>
    <n v="1"/>
    <n v="2"/>
  </r>
  <r>
    <n v="30"/>
    <x v="1"/>
    <s v="Travel_Rarely"/>
    <n v="1288"/>
    <x v="0"/>
    <n v="29"/>
    <n v="4"/>
    <s v="Technical Degree"/>
    <n v="1568"/>
    <n v="3"/>
    <x v="1"/>
    <n v="33"/>
    <n v="3"/>
    <n v="3"/>
    <s v="Sales Executive"/>
    <n v="2"/>
    <s v="Married"/>
    <n v="9250"/>
    <n v="17799"/>
    <n v="3"/>
    <x v="1"/>
    <n v="12"/>
    <n v="3"/>
    <n v="2"/>
    <n v="1"/>
    <n v="9"/>
    <n v="3"/>
    <n v="3"/>
    <n v="4"/>
    <n v="2"/>
    <n v="1"/>
    <n v="3"/>
  </r>
  <r>
    <n v="35"/>
    <x v="0"/>
    <s v="Travel_Rarely"/>
    <n v="104"/>
    <x v="1"/>
    <n v="2"/>
    <n v="3"/>
    <s v="Life Sciences"/>
    <n v="1569"/>
    <n v="1"/>
    <x v="0"/>
    <n v="69"/>
    <n v="3"/>
    <n v="1"/>
    <s v="Laboratory Technician"/>
    <n v="1"/>
    <s v="Divorced"/>
    <n v="2074"/>
    <n v="26619"/>
    <n v="1"/>
    <x v="0"/>
    <n v="12"/>
    <n v="3"/>
    <n v="4"/>
    <n v="1"/>
    <n v="1"/>
    <n v="2"/>
    <n v="3"/>
    <n v="1"/>
    <n v="0"/>
    <n v="0"/>
    <n v="0"/>
  </r>
  <r>
    <n v="53"/>
    <x v="0"/>
    <s v="Travel_Rarely"/>
    <n v="607"/>
    <x v="1"/>
    <n v="2"/>
    <n v="5"/>
    <s v="Technical Degree"/>
    <n v="1572"/>
    <n v="3"/>
    <x v="0"/>
    <n v="78"/>
    <n v="2"/>
    <n v="3"/>
    <s v="Manufacturing Director"/>
    <n v="4"/>
    <s v="Married"/>
    <n v="10169"/>
    <n v="14618"/>
    <n v="0"/>
    <x v="1"/>
    <n v="16"/>
    <n v="3"/>
    <n v="2"/>
    <n v="1"/>
    <n v="34"/>
    <n v="4"/>
    <n v="3"/>
    <n v="33"/>
    <n v="7"/>
    <n v="1"/>
    <n v="9"/>
  </r>
  <r>
    <n v="38"/>
    <x v="0"/>
    <s v="Travel_Rarely"/>
    <n v="903"/>
    <x v="1"/>
    <n v="2"/>
    <n v="3"/>
    <s v="Medical"/>
    <n v="1573"/>
    <n v="3"/>
    <x v="1"/>
    <n v="81"/>
    <n v="3"/>
    <n v="2"/>
    <s v="Manufacturing Director"/>
    <n v="2"/>
    <s v="Married"/>
    <n v="4855"/>
    <n v="7653"/>
    <n v="4"/>
    <x v="1"/>
    <n v="11"/>
    <n v="3"/>
    <n v="1"/>
    <n v="2"/>
    <n v="7"/>
    <n v="2"/>
    <n v="3"/>
    <n v="5"/>
    <n v="2"/>
    <n v="1"/>
    <n v="4"/>
  </r>
  <r>
    <n v="32"/>
    <x v="1"/>
    <s v="Non-Travel"/>
    <n v="1200"/>
    <x v="1"/>
    <n v="1"/>
    <n v="4"/>
    <s v="Technical Degree"/>
    <n v="1574"/>
    <n v="4"/>
    <x v="1"/>
    <n v="62"/>
    <n v="3"/>
    <n v="2"/>
    <s v="Research Scientist"/>
    <n v="1"/>
    <s v="Married"/>
    <n v="4087"/>
    <n v="25174"/>
    <n v="4"/>
    <x v="1"/>
    <n v="14"/>
    <n v="3"/>
    <n v="2"/>
    <n v="1"/>
    <n v="9"/>
    <n v="3"/>
    <n v="2"/>
    <n v="6"/>
    <n v="5"/>
    <n v="1"/>
    <n v="2"/>
  </r>
  <r>
    <n v="48"/>
    <x v="1"/>
    <s v="Travel_Rarely"/>
    <n v="1108"/>
    <x v="1"/>
    <n v="15"/>
    <n v="4"/>
    <s v="Other"/>
    <n v="1576"/>
    <n v="3"/>
    <x v="0"/>
    <n v="65"/>
    <n v="3"/>
    <n v="1"/>
    <s v="Research Scientist"/>
    <n v="1"/>
    <s v="Married"/>
    <n v="2367"/>
    <n v="16530"/>
    <n v="8"/>
    <x v="1"/>
    <n v="12"/>
    <n v="3"/>
    <n v="4"/>
    <n v="1"/>
    <n v="10"/>
    <n v="3"/>
    <n v="2"/>
    <n v="8"/>
    <n v="2"/>
    <n v="7"/>
    <n v="6"/>
  </r>
  <r>
    <n v="34"/>
    <x v="1"/>
    <s v="Travel_Rarely"/>
    <n v="479"/>
    <x v="1"/>
    <n v="7"/>
    <n v="4"/>
    <s v="Medical"/>
    <n v="1577"/>
    <n v="1"/>
    <x v="1"/>
    <n v="35"/>
    <n v="3"/>
    <n v="1"/>
    <s v="Research Scientist"/>
    <n v="4"/>
    <s v="Single"/>
    <n v="2972"/>
    <n v="22061"/>
    <n v="1"/>
    <x v="1"/>
    <n v="13"/>
    <n v="3"/>
    <n v="3"/>
    <n v="0"/>
    <n v="1"/>
    <n v="4"/>
    <n v="1"/>
    <n v="1"/>
    <n v="0"/>
    <n v="0"/>
    <n v="0"/>
  </r>
  <r>
    <n v="55"/>
    <x v="1"/>
    <s v="Travel_Rarely"/>
    <n v="685"/>
    <x v="0"/>
    <n v="26"/>
    <n v="5"/>
    <s v="Marketing"/>
    <n v="1578"/>
    <n v="3"/>
    <x v="1"/>
    <n v="60"/>
    <n v="2"/>
    <n v="5"/>
    <s v="Manager"/>
    <n v="4"/>
    <s v="Married"/>
    <n v="19586"/>
    <n v="23037"/>
    <n v="1"/>
    <x v="1"/>
    <n v="21"/>
    <n v="4"/>
    <n v="3"/>
    <n v="1"/>
    <n v="36"/>
    <n v="3"/>
    <n v="3"/>
    <n v="36"/>
    <n v="6"/>
    <n v="2"/>
    <n v="13"/>
  </r>
  <r>
    <n v="34"/>
    <x v="1"/>
    <s v="Travel_Rarely"/>
    <n v="1351"/>
    <x v="1"/>
    <n v="1"/>
    <n v="4"/>
    <s v="Life Sciences"/>
    <n v="1580"/>
    <n v="2"/>
    <x v="1"/>
    <n v="45"/>
    <n v="3"/>
    <n v="2"/>
    <s v="Research Scientist"/>
    <n v="4"/>
    <s v="Married"/>
    <n v="5484"/>
    <n v="13008"/>
    <n v="9"/>
    <x v="1"/>
    <n v="17"/>
    <n v="3"/>
    <n v="2"/>
    <n v="1"/>
    <n v="9"/>
    <n v="3"/>
    <n v="2"/>
    <n v="2"/>
    <n v="2"/>
    <n v="2"/>
    <n v="1"/>
  </r>
  <r>
    <n v="26"/>
    <x v="1"/>
    <s v="Travel_Rarely"/>
    <n v="474"/>
    <x v="1"/>
    <n v="3"/>
    <n v="3"/>
    <s v="Life Sciences"/>
    <n v="1581"/>
    <n v="1"/>
    <x v="0"/>
    <n v="89"/>
    <n v="3"/>
    <n v="1"/>
    <s v="Research Scientist"/>
    <n v="4"/>
    <s v="Married"/>
    <n v="2061"/>
    <n v="11133"/>
    <n v="1"/>
    <x v="1"/>
    <n v="21"/>
    <n v="4"/>
    <n v="1"/>
    <n v="0"/>
    <n v="1"/>
    <n v="5"/>
    <n v="3"/>
    <n v="1"/>
    <n v="0"/>
    <n v="0"/>
    <n v="0"/>
  </r>
  <r>
    <n v="38"/>
    <x v="1"/>
    <s v="Travel_Rarely"/>
    <n v="1245"/>
    <x v="0"/>
    <n v="14"/>
    <n v="3"/>
    <s v="Life Sciences"/>
    <n v="1582"/>
    <n v="3"/>
    <x v="1"/>
    <n v="80"/>
    <n v="3"/>
    <n v="2"/>
    <s v="Sales Executive"/>
    <n v="2"/>
    <s v="Married"/>
    <n v="9924"/>
    <n v="12355"/>
    <n v="0"/>
    <x v="1"/>
    <n v="11"/>
    <n v="3"/>
    <n v="4"/>
    <n v="1"/>
    <n v="10"/>
    <n v="3"/>
    <n v="3"/>
    <n v="9"/>
    <n v="8"/>
    <n v="7"/>
    <n v="7"/>
  </r>
  <r>
    <n v="38"/>
    <x v="1"/>
    <s v="Travel_Rarely"/>
    <n v="437"/>
    <x v="0"/>
    <n v="16"/>
    <n v="3"/>
    <s v="Life Sciences"/>
    <n v="1583"/>
    <n v="2"/>
    <x v="0"/>
    <n v="90"/>
    <n v="3"/>
    <n v="2"/>
    <s v="Sales Executive"/>
    <n v="2"/>
    <s v="Single"/>
    <n v="4198"/>
    <n v="16379"/>
    <n v="2"/>
    <x v="1"/>
    <n v="12"/>
    <n v="3"/>
    <n v="2"/>
    <n v="0"/>
    <n v="8"/>
    <n v="5"/>
    <n v="4"/>
    <n v="3"/>
    <n v="2"/>
    <n v="1"/>
    <n v="2"/>
  </r>
  <r>
    <n v="36"/>
    <x v="1"/>
    <s v="Travel_Rarely"/>
    <n v="884"/>
    <x v="0"/>
    <n v="1"/>
    <n v="4"/>
    <s v="Life Sciences"/>
    <n v="1585"/>
    <n v="2"/>
    <x v="0"/>
    <n v="73"/>
    <n v="3"/>
    <n v="2"/>
    <s v="Sales Executive"/>
    <n v="3"/>
    <s v="Single"/>
    <n v="6815"/>
    <n v="21447"/>
    <n v="6"/>
    <x v="1"/>
    <n v="13"/>
    <n v="3"/>
    <n v="1"/>
    <n v="0"/>
    <n v="15"/>
    <n v="5"/>
    <n v="3"/>
    <n v="1"/>
    <n v="0"/>
    <n v="0"/>
    <n v="0"/>
  </r>
  <r>
    <n v="29"/>
    <x v="1"/>
    <s v="Travel_Rarely"/>
    <n v="1370"/>
    <x v="1"/>
    <n v="3"/>
    <n v="1"/>
    <s v="Medical"/>
    <n v="1586"/>
    <n v="2"/>
    <x v="1"/>
    <n v="87"/>
    <n v="3"/>
    <n v="1"/>
    <s v="Laboratory Technician"/>
    <n v="1"/>
    <s v="Single"/>
    <n v="4723"/>
    <n v="16213"/>
    <n v="1"/>
    <x v="0"/>
    <n v="18"/>
    <n v="3"/>
    <n v="4"/>
    <n v="0"/>
    <n v="10"/>
    <n v="3"/>
    <n v="3"/>
    <n v="10"/>
    <n v="9"/>
    <n v="1"/>
    <n v="5"/>
  </r>
  <r>
    <n v="35"/>
    <x v="1"/>
    <s v="Travel_Rarely"/>
    <n v="670"/>
    <x v="1"/>
    <n v="10"/>
    <n v="4"/>
    <s v="Medical"/>
    <n v="1587"/>
    <n v="1"/>
    <x v="0"/>
    <n v="51"/>
    <n v="3"/>
    <n v="2"/>
    <s v="Healthcare Representative"/>
    <n v="3"/>
    <s v="Single"/>
    <n v="6142"/>
    <n v="4223"/>
    <n v="3"/>
    <x v="0"/>
    <n v="16"/>
    <n v="3"/>
    <n v="3"/>
    <n v="0"/>
    <n v="10"/>
    <n v="4"/>
    <n v="3"/>
    <n v="5"/>
    <n v="2"/>
    <n v="0"/>
    <n v="4"/>
  </r>
  <r>
    <n v="39"/>
    <x v="1"/>
    <s v="Travel_Rarely"/>
    <n v="1462"/>
    <x v="0"/>
    <n v="6"/>
    <n v="3"/>
    <s v="Medical"/>
    <n v="1588"/>
    <n v="4"/>
    <x v="1"/>
    <n v="38"/>
    <n v="4"/>
    <n v="3"/>
    <s v="Sales Executive"/>
    <n v="3"/>
    <s v="Married"/>
    <n v="8237"/>
    <n v="4658"/>
    <n v="2"/>
    <x v="1"/>
    <n v="11"/>
    <n v="3"/>
    <n v="1"/>
    <n v="1"/>
    <n v="11"/>
    <n v="3"/>
    <n v="3"/>
    <n v="7"/>
    <n v="6"/>
    <n v="7"/>
    <n v="6"/>
  </r>
  <r>
    <n v="29"/>
    <x v="1"/>
    <s v="Travel_Frequently"/>
    <n v="995"/>
    <x v="1"/>
    <n v="2"/>
    <n v="1"/>
    <s v="Life Sciences"/>
    <n v="1590"/>
    <n v="1"/>
    <x v="1"/>
    <n v="87"/>
    <n v="3"/>
    <n v="2"/>
    <s v="Healthcare Representative"/>
    <n v="4"/>
    <s v="Divorced"/>
    <n v="8853"/>
    <n v="24483"/>
    <n v="1"/>
    <x v="1"/>
    <n v="19"/>
    <n v="3"/>
    <n v="4"/>
    <n v="1"/>
    <n v="6"/>
    <n v="0"/>
    <n v="4"/>
    <n v="6"/>
    <n v="4"/>
    <n v="1"/>
    <n v="3"/>
  </r>
  <r>
    <n v="50"/>
    <x v="1"/>
    <s v="Travel_Rarely"/>
    <n v="264"/>
    <x v="0"/>
    <n v="9"/>
    <n v="3"/>
    <s v="Marketing"/>
    <n v="1591"/>
    <n v="3"/>
    <x v="1"/>
    <n v="59"/>
    <n v="3"/>
    <n v="5"/>
    <s v="Manager"/>
    <n v="3"/>
    <s v="Married"/>
    <n v="19331"/>
    <n v="19519"/>
    <n v="4"/>
    <x v="0"/>
    <n v="16"/>
    <n v="3"/>
    <n v="3"/>
    <n v="1"/>
    <n v="27"/>
    <n v="2"/>
    <n v="3"/>
    <n v="1"/>
    <n v="0"/>
    <n v="0"/>
    <n v="0"/>
  </r>
  <r>
    <n v="23"/>
    <x v="1"/>
    <s v="Travel_Rarely"/>
    <n v="977"/>
    <x v="1"/>
    <n v="10"/>
    <n v="3"/>
    <s v="Technical Degree"/>
    <n v="1592"/>
    <n v="4"/>
    <x v="1"/>
    <n v="45"/>
    <n v="4"/>
    <n v="1"/>
    <s v="Research Scientist"/>
    <n v="3"/>
    <s v="Married"/>
    <n v="2073"/>
    <n v="12826"/>
    <n v="2"/>
    <x v="1"/>
    <n v="16"/>
    <n v="3"/>
    <n v="4"/>
    <n v="1"/>
    <n v="4"/>
    <n v="2"/>
    <n v="3"/>
    <n v="2"/>
    <n v="2"/>
    <n v="2"/>
    <n v="2"/>
  </r>
  <r>
    <n v="36"/>
    <x v="1"/>
    <s v="Travel_Frequently"/>
    <n v="1302"/>
    <x v="1"/>
    <n v="6"/>
    <n v="4"/>
    <s v="Life Sciences"/>
    <n v="1594"/>
    <n v="1"/>
    <x v="1"/>
    <n v="80"/>
    <n v="4"/>
    <n v="2"/>
    <s v="Laboratory Technician"/>
    <n v="1"/>
    <s v="Married"/>
    <n v="5562"/>
    <n v="19711"/>
    <n v="3"/>
    <x v="0"/>
    <n v="13"/>
    <n v="3"/>
    <n v="4"/>
    <n v="1"/>
    <n v="9"/>
    <n v="3"/>
    <n v="3"/>
    <n v="3"/>
    <n v="2"/>
    <n v="0"/>
    <n v="2"/>
  </r>
  <r>
    <n v="42"/>
    <x v="1"/>
    <s v="Travel_Rarely"/>
    <n v="1059"/>
    <x v="1"/>
    <n v="9"/>
    <n v="2"/>
    <s v="Other"/>
    <n v="1595"/>
    <n v="4"/>
    <x v="1"/>
    <n v="93"/>
    <n v="2"/>
    <n v="5"/>
    <s v="Manager"/>
    <n v="4"/>
    <s v="Single"/>
    <n v="19613"/>
    <n v="26362"/>
    <n v="8"/>
    <x v="1"/>
    <n v="22"/>
    <n v="4"/>
    <n v="4"/>
    <n v="0"/>
    <n v="24"/>
    <n v="2"/>
    <n v="3"/>
    <n v="1"/>
    <n v="0"/>
    <n v="0"/>
    <n v="1"/>
  </r>
  <r>
    <n v="35"/>
    <x v="1"/>
    <s v="Travel_Rarely"/>
    <n v="750"/>
    <x v="1"/>
    <n v="28"/>
    <n v="3"/>
    <s v="Life Sciences"/>
    <n v="1596"/>
    <n v="2"/>
    <x v="1"/>
    <n v="46"/>
    <n v="4"/>
    <n v="2"/>
    <s v="Laboratory Technician"/>
    <n v="3"/>
    <s v="Married"/>
    <n v="3407"/>
    <n v="25348"/>
    <n v="1"/>
    <x v="1"/>
    <n v="17"/>
    <n v="3"/>
    <n v="4"/>
    <n v="2"/>
    <n v="10"/>
    <n v="3"/>
    <n v="2"/>
    <n v="10"/>
    <n v="9"/>
    <n v="6"/>
    <n v="8"/>
  </r>
  <r>
    <n v="34"/>
    <x v="1"/>
    <s v="Travel_Frequently"/>
    <n v="653"/>
    <x v="1"/>
    <n v="10"/>
    <n v="4"/>
    <s v="Technical Degree"/>
    <n v="1597"/>
    <n v="4"/>
    <x v="1"/>
    <n v="92"/>
    <n v="2"/>
    <n v="2"/>
    <s v="Healthcare Representative"/>
    <n v="3"/>
    <s v="Married"/>
    <n v="5063"/>
    <n v="15332"/>
    <n v="1"/>
    <x v="1"/>
    <n v="14"/>
    <n v="3"/>
    <n v="2"/>
    <n v="1"/>
    <n v="8"/>
    <n v="3"/>
    <n v="2"/>
    <n v="8"/>
    <n v="2"/>
    <n v="7"/>
    <n v="7"/>
  </r>
  <r>
    <n v="40"/>
    <x v="1"/>
    <s v="Travel_Rarely"/>
    <n v="118"/>
    <x v="0"/>
    <n v="14"/>
    <n v="2"/>
    <s v="Life Sciences"/>
    <n v="1598"/>
    <n v="4"/>
    <x v="0"/>
    <n v="84"/>
    <n v="3"/>
    <n v="2"/>
    <s v="Sales Executive"/>
    <n v="1"/>
    <s v="Married"/>
    <n v="4639"/>
    <n v="11262"/>
    <n v="1"/>
    <x v="1"/>
    <n v="15"/>
    <n v="3"/>
    <n v="3"/>
    <n v="1"/>
    <n v="5"/>
    <n v="2"/>
    <n v="3"/>
    <n v="5"/>
    <n v="4"/>
    <n v="1"/>
    <n v="2"/>
  </r>
  <r>
    <n v="43"/>
    <x v="1"/>
    <s v="Travel_Rarely"/>
    <n v="990"/>
    <x v="1"/>
    <n v="27"/>
    <n v="3"/>
    <s v="Technical Degree"/>
    <n v="1599"/>
    <n v="4"/>
    <x v="1"/>
    <n v="87"/>
    <n v="4"/>
    <n v="1"/>
    <s v="Laboratory Technician"/>
    <n v="2"/>
    <s v="Divorced"/>
    <n v="4876"/>
    <n v="5855"/>
    <n v="5"/>
    <x v="1"/>
    <n v="12"/>
    <n v="3"/>
    <n v="3"/>
    <n v="1"/>
    <n v="8"/>
    <n v="0"/>
    <n v="3"/>
    <n v="6"/>
    <n v="4"/>
    <n v="0"/>
    <n v="2"/>
  </r>
  <r>
    <n v="35"/>
    <x v="1"/>
    <s v="Travel_Rarely"/>
    <n v="1349"/>
    <x v="1"/>
    <n v="7"/>
    <n v="2"/>
    <s v="Life Sciences"/>
    <n v="1601"/>
    <n v="3"/>
    <x v="1"/>
    <n v="63"/>
    <n v="2"/>
    <n v="1"/>
    <s v="Laboratory Technician"/>
    <n v="4"/>
    <s v="Married"/>
    <n v="2690"/>
    <n v="7713"/>
    <n v="1"/>
    <x v="1"/>
    <n v="18"/>
    <n v="3"/>
    <n v="4"/>
    <n v="1"/>
    <n v="1"/>
    <n v="5"/>
    <n v="2"/>
    <n v="1"/>
    <n v="0"/>
    <n v="0"/>
    <n v="1"/>
  </r>
  <r>
    <n v="46"/>
    <x v="1"/>
    <s v="Travel_Rarely"/>
    <n v="563"/>
    <x v="0"/>
    <n v="1"/>
    <n v="4"/>
    <s v="Life Sciences"/>
    <n v="1602"/>
    <n v="4"/>
    <x v="1"/>
    <n v="56"/>
    <n v="4"/>
    <n v="4"/>
    <s v="Manager"/>
    <n v="1"/>
    <s v="Single"/>
    <n v="17567"/>
    <n v="3156"/>
    <n v="1"/>
    <x v="1"/>
    <n v="15"/>
    <n v="3"/>
    <n v="2"/>
    <n v="0"/>
    <n v="27"/>
    <n v="5"/>
    <n v="1"/>
    <n v="26"/>
    <n v="0"/>
    <n v="0"/>
    <n v="12"/>
  </r>
  <r>
    <n v="28"/>
    <x v="0"/>
    <s v="Travel_Rarely"/>
    <n v="329"/>
    <x v="1"/>
    <n v="24"/>
    <n v="3"/>
    <s v="Medical"/>
    <n v="1604"/>
    <n v="3"/>
    <x v="1"/>
    <n v="51"/>
    <n v="3"/>
    <n v="1"/>
    <s v="Laboratory Technician"/>
    <n v="2"/>
    <s v="Married"/>
    <n v="2408"/>
    <n v="7324"/>
    <n v="1"/>
    <x v="0"/>
    <n v="17"/>
    <n v="3"/>
    <n v="3"/>
    <n v="3"/>
    <n v="1"/>
    <n v="3"/>
    <n v="3"/>
    <n v="1"/>
    <n v="1"/>
    <n v="0"/>
    <n v="0"/>
  </r>
  <r>
    <n v="22"/>
    <x v="1"/>
    <s v="Non-Travel"/>
    <n v="457"/>
    <x v="1"/>
    <n v="26"/>
    <n v="2"/>
    <s v="Other"/>
    <n v="1605"/>
    <n v="2"/>
    <x v="0"/>
    <n v="85"/>
    <n v="2"/>
    <n v="1"/>
    <s v="Research Scientist"/>
    <n v="3"/>
    <s v="Married"/>
    <n v="2814"/>
    <n v="10293"/>
    <n v="1"/>
    <x v="0"/>
    <n v="14"/>
    <n v="3"/>
    <n v="2"/>
    <n v="0"/>
    <n v="4"/>
    <n v="2"/>
    <n v="2"/>
    <n v="4"/>
    <n v="2"/>
    <n v="1"/>
    <n v="3"/>
  </r>
  <r>
    <n v="50"/>
    <x v="1"/>
    <s v="Travel_Frequently"/>
    <n v="1234"/>
    <x v="1"/>
    <n v="20"/>
    <n v="5"/>
    <s v="Medical"/>
    <n v="1606"/>
    <n v="2"/>
    <x v="1"/>
    <n v="41"/>
    <n v="3"/>
    <n v="4"/>
    <s v="Healthcare Representative"/>
    <n v="3"/>
    <s v="Married"/>
    <n v="11245"/>
    <n v="20689"/>
    <n v="2"/>
    <x v="0"/>
    <n v="15"/>
    <n v="3"/>
    <n v="3"/>
    <n v="1"/>
    <n v="32"/>
    <n v="3"/>
    <n v="3"/>
    <n v="30"/>
    <n v="8"/>
    <n v="12"/>
    <n v="13"/>
  </r>
  <r>
    <n v="32"/>
    <x v="1"/>
    <s v="Travel_Rarely"/>
    <n v="634"/>
    <x v="1"/>
    <n v="5"/>
    <n v="4"/>
    <s v="Other"/>
    <n v="1607"/>
    <n v="2"/>
    <x v="0"/>
    <n v="35"/>
    <n v="4"/>
    <n v="1"/>
    <s v="Research Scientist"/>
    <n v="4"/>
    <s v="Married"/>
    <n v="3312"/>
    <n v="18783"/>
    <n v="3"/>
    <x v="1"/>
    <n v="17"/>
    <n v="3"/>
    <n v="4"/>
    <n v="2"/>
    <n v="6"/>
    <n v="3"/>
    <n v="3"/>
    <n v="3"/>
    <n v="2"/>
    <n v="0"/>
    <n v="2"/>
  </r>
  <r>
    <n v="44"/>
    <x v="1"/>
    <s v="Travel_Rarely"/>
    <n v="1313"/>
    <x v="1"/>
    <n v="7"/>
    <n v="3"/>
    <s v="Medical"/>
    <n v="1608"/>
    <n v="2"/>
    <x v="0"/>
    <n v="31"/>
    <n v="3"/>
    <n v="5"/>
    <s v="Research Director"/>
    <n v="4"/>
    <s v="Divorced"/>
    <n v="19049"/>
    <n v="3549"/>
    <n v="0"/>
    <x v="0"/>
    <n v="14"/>
    <n v="3"/>
    <n v="4"/>
    <n v="1"/>
    <n v="23"/>
    <n v="4"/>
    <n v="2"/>
    <n v="22"/>
    <n v="7"/>
    <n v="1"/>
    <n v="10"/>
  </r>
  <r>
    <n v="30"/>
    <x v="1"/>
    <s v="Travel_Rarely"/>
    <n v="241"/>
    <x v="1"/>
    <n v="7"/>
    <n v="3"/>
    <s v="Medical"/>
    <n v="1609"/>
    <n v="2"/>
    <x v="1"/>
    <n v="48"/>
    <n v="2"/>
    <n v="1"/>
    <s v="Research Scientist"/>
    <n v="2"/>
    <s v="Married"/>
    <n v="2141"/>
    <n v="5348"/>
    <n v="1"/>
    <x v="1"/>
    <n v="12"/>
    <n v="3"/>
    <n v="2"/>
    <n v="1"/>
    <n v="6"/>
    <n v="3"/>
    <n v="2"/>
    <n v="6"/>
    <n v="4"/>
    <n v="1"/>
    <n v="1"/>
  </r>
  <r>
    <n v="45"/>
    <x v="1"/>
    <s v="Travel_Rarely"/>
    <n v="1015"/>
    <x v="1"/>
    <n v="5"/>
    <n v="5"/>
    <s v="Medical"/>
    <n v="1611"/>
    <n v="3"/>
    <x v="0"/>
    <n v="50"/>
    <n v="1"/>
    <n v="2"/>
    <s v="Laboratory Technician"/>
    <n v="1"/>
    <s v="Single"/>
    <n v="5769"/>
    <n v="23447"/>
    <n v="1"/>
    <x v="0"/>
    <n v="14"/>
    <n v="3"/>
    <n v="1"/>
    <n v="0"/>
    <n v="10"/>
    <n v="3"/>
    <n v="3"/>
    <n v="10"/>
    <n v="7"/>
    <n v="1"/>
    <n v="4"/>
  </r>
  <r>
    <n v="45"/>
    <x v="1"/>
    <s v="Non-Travel"/>
    <n v="336"/>
    <x v="0"/>
    <n v="26"/>
    <n v="3"/>
    <s v="Marketing"/>
    <n v="1612"/>
    <n v="1"/>
    <x v="1"/>
    <n v="52"/>
    <n v="2"/>
    <n v="2"/>
    <s v="Sales Executive"/>
    <n v="1"/>
    <s v="Married"/>
    <n v="4385"/>
    <n v="24162"/>
    <n v="1"/>
    <x v="1"/>
    <n v="15"/>
    <n v="3"/>
    <n v="1"/>
    <n v="1"/>
    <n v="10"/>
    <n v="2"/>
    <n v="3"/>
    <n v="10"/>
    <n v="7"/>
    <n v="4"/>
    <n v="5"/>
  </r>
  <r>
    <n v="31"/>
    <x v="1"/>
    <s v="Travel_Frequently"/>
    <n v="715"/>
    <x v="0"/>
    <n v="2"/>
    <n v="4"/>
    <s v="Other"/>
    <n v="1613"/>
    <n v="4"/>
    <x v="1"/>
    <n v="54"/>
    <n v="3"/>
    <n v="2"/>
    <s v="Sales Executive"/>
    <n v="1"/>
    <s v="Single"/>
    <n v="5332"/>
    <n v="21602"/>
    <n v="7"/>
    <x v="1"/>
    <n v="13"/>
    <n v="3"/>
    <n v="4"/>
    <n v="0"/>
    <n v="10"/>
    <n v="3"/>
    <n v="3"/>
    <n v="5"/>
    <n v="2"/>
    <n v="0"/>
    <n v="3"/>
  </r>
  <r>
    <n v="36"/>
    <x v="1"/>
    <s v="Travel_Rarely"/>
    <n v="559"/>
    <x v="1"/>
    <n v="12"/>
    <n v="4"/>
    <s v="Life Sciences"/>
    <n v="1614"/>
    <n v="3"/>
    <x v="0"/>
    <n v="76"/>
    <n v="3"/>
    <n v="2"/>
    <s v="Manufacturing Director"/>
    <n v="3"/>
    <s v="Married"/>
    <n v="4663"/>
    <n v="12421"/>
    <n v="9"/>
    <x v="0"/>
    <n v="12"/>
    <n v="3"/>
    <n v="2"/>
    <n v="2"/>
    <n v="7"/>
    <n v="2"/>
    <n v="3"/>
    <n v="3"/>
    <n v="2"/>
    <n v="1"/>
    <n v="1"/>
  </r>
  <r>
    <n v="34"/>
    <x v="1"/>
    <s v="Travel_Frequently"/>
    <n v="426"/>
    <x v="1"/>
    <n v="10"/>
    <n v="4"/>
    <s v="Life Sciences"/>
    <n v="1615"/>
    <n v="3"/>
    <x v="1"/>
    <n v="42"/>
    <n v="4"/>
    <n v="2"/>
    <s v="Manufacturing Director"/>
    <n v="4"/>
    <s v="Divorced"/>
    <n v="4724"/>
    <n v="17000"/>
    <n v="1"/>
    <x v="1"/>
    <n v="13"/>
    <n v="3"/>
    <n v="1"/>
    <n v="1"/>
    <n v="9"/>
    <n v="3"/>
    <n v="3"/>
    <n v="9"/>
    <n v="7"/>
    <n v="7"/>
    <n v="2"/>
  </r>
  <r>
    <n v="49"/>
    <x v="1"/>
    <s v="Travel_Rarely"/>
    <n v="722"/>
    <x v="1"/>
    <n v="25"/>
    <n v="4"/>
    <s v="Life Sciences"/>
    <n v="1617"/>
    <n v="3"/>
    <x v="0"/>
    <n v="84"/>
    <n v="3"/>
    <n v="1"/>
    <s v="Laboratory Technician"/>
    <n v="1"/>
    <s v="Married"/>
    <n v="3211"/>
    <n v="22102"/>
    <n v="1"/>
    <x v="1"/>
    <n v="14"/>
    <n v="3"/>
    <n v="4"/>
    <n v="1"/>
    <n v="10"/>
    <n v="3"/>
    <n v="2"/>
    <n v="9"/>
    <n v="6"/>
    <n v="1"/>
    <n v="4"/>
  </r>
  <r>
    <n v="39"/>
    <x v="1"/>
    <s v="Travel_Rarely"/>
    <n v="1387"/>
    <x v="1"/>
    <n v="10"/>
    <n v="5"/>
    <s v="Medical"/>
    <n v="1618"/>
    <n v="2"/>
    <x v="1"/>
    <n v="76"/>
    <n v="3"/>
    <n v="2"/>
    <s v="Manufacturing Director"/>
    <n v="1"/>
    <s v="Married"/>
    <n v="5377"/>
    <n v="3835"/>
    <n v="2"/>
    <x v="1"/>
    <n v="13"/>
    <n v="3"/>
    <n v="4"/>
    <n v="3"/>
    <n v="10"/>
    <n v="3"/>
    <n v="3"/>
    <n v="7"/>
    <n v="7"/>
    <n v="7"/>
    <n v="7"/>
  </r>
  <r>
    <n v="27"/>
    <x v="1"/>
    <s v="Travel_Rarely"/>
    <n v="1302"/>
    <x v="1"/>
    <n v="19"/>
    <n v="3"/>
    <s v="Other"/>
    <n v="1619"/>
    <n v="4"/>
    <x v="1"/>
    <n v="67"/>
    <n v="2"/>
    <n v="1"/>
    <s v="Laboratory Technician"/>
    <n v="1"/>
    <s v="Divorced"/>
    <n v="4066"/>
    <n v="16290"/>
    <n v="1"/>
    <x v="1"/>
    <n v="11"/>
    <n v="3"/>
    <n v="1"/>
    <n v="2"/>
    <n v="7"/>
    <n v="3"/>
    <n v="3"/>
    <n v="7"/>
    <n v="7"/>
    <n v="0"/>
    <n v="7"/>
  </r>
  <r>
    <n v="35"/>
    <x v="1"/>
    <s v="Travel_Rarely"/>
    <n v="819"/>
    <x v="1"/>
    <n v="18"/>
    <n v="5"/>
    <s v="Life Sciences"/>
    <n v="1621"/>
    <n v="2"/>
    <x v="1"/>
    <n v="48"/>
    <n v="4"/>
    <n v="2"/>
    <s v="Research Scientist"/>
    <n v="1"/>
    <s v="Married"/>
    <n v="5208"/>
    <n v="26312"/>
    <n v="1"/>
    <x v="1"/>
    <n v="11"/>
    <n v="3"/>
    <n v="4"/>
    <n v="0"/>
    <n v="16"/>
    <n v="2"/>
    <n v="3"/>
    <n v="16"/>
    <n v="15"/>
    <n v="1"/>
    <n v="10"/>
  </r>
  <r>
    <n v="28"/>
    <x v="1"/>
    <s v="Travel_Rarely"/>
    <n v="580"/>
    <x v="1"/>
    <n v="27"/>
    <n v="3"/>
    <s v="Medical"/>
    <n v="1622"/>
    <n v="2"/>
    <x v="0"/>
    <n v="39"/>
    <n v="1"/>
    <n v="2"/>
    <s v="Manufacturing Director"/>
    <n v="1"/>
    <s v="Divorced"/>
    <n v="4877"/>
    <n v="20460"/>
    <n v="0"/>
    <x v="1"/>
    <n v="21"/>
    <n v="4"/>
    <n v="2"/>
    <n v="1"/>
    <n v="6"/>
    <n v="5"/>
    <n v="2"/>
    <n v="5"/>
    <n v="3"/>
    <n v="0"/>
    <n v="0"/>
  </r>
  <r>
    <n v="21"/>
    <x v="1"/>
    <s v="Travel_Rarely"/>
    <n v="546"/>
    <x v="1"/>
    <n v="5"/>
    <n v="1"/>
    <s v="Medical"/>
    <n v="1623"/>
    <n v="3"/>
    <x v="1"/>
    <n v="97"/>
    <n v="3"/>
    <n v="1"/>
    <s v="Research Scientist"/>
    <n v="4"/>
    <s v="Single"/>
    <n v="3117"/>
    <n v="26009"/>
    <n v="1"/>
    <x v="1"/>
    <n v="18"/>
    <n v="3"/>
    <n v="3"/>
    <n v="0"/>
    <n v="3"/>
    <n v="2"/>
    <n v="3"/>
    <n v="2"/>
    <n v="2"/>
    <n v="2"/>
    <n v="2"/>
  </r>
  <r>
    <n v="18"/>
    <x v="0"/>
    <s v="Travel_Frequently"/>
    <n v="544"/>
    <x v="0"/>
    <n v="3"/>
    <n v="2"/>
    <s v="Medical"/>
    <n v="1624"/>
    <n v="2"/>
    <x v="0"/>
    <n v="70"/>
    <n v="3"/>
    <n v="1"/>
    <s v="Sales Representative"/>
    <n v="4"/>
    <s v="Single"/>
    <n v="1569"/>
    <n v="18420"/>
    <n v="1"/>
    <x v="0"/>
    <n v="12"/>
    <n v="3"/>
    <n v="3"/>
    <n v="0"/>
    <n v="0"/>
    <n v="2"/>
    <n v="4"/>
    <n v="0"/>
    <n v="0"/>
    <n v="0"/>
    <n v="0"/>
  </r>
  <r>
    <n v="47"/>
    <x v="1"/>
    <s v="Travel_Rarely"/>
    <n v="1176"/>
    <x v="2"/>
    <n v="26"/>
    <n v="4"/>
    <s v="Life Sciences"/>
    <n v="1625"/>
    <n v="4"/>
    <x v="0"/>
    <n v="98"/>
    <n v="3"/>
    <n v="5"/>
    <s v="Manager"/>
    <n v="3"/>
    <s v="Married"/>
    <n v="19658"/>
    <n v="5220"/>
    <n v="3"/>
    <x v="1"/>
    <n v="11"/>
    <n v="3"/>
    <n v="3"/>
    <n v="1"/>
    <n v="27"/>
    <n v="2"/>
    <n v="3"/>
    <n v="5"/>
    <n v="2"/>
    <n v="1"/>
    <n v="0"/>
  </r>
  <r>
    <n v="39"/>
    <x v="1"/>
    <s v="Travel_Rarely"/>
    <n v="170"/>
    <x v="1"/>
    <n v="3"/>
    <n v="2"/>
    <s v="Medical"/>
    <n v="1627"/>
    <n v="3"/>
    <x v="1"/>
    <n v="76"/>
    <n v="2"/>
    <n v="2"/>
    <s v="Laboratory Technician"/>
    <n v="3"/>
    <s v="Divorced"/>
    <n v="3069"/>
    <n v="10302"/>
    <n v="0"/>
    <x v="1"/>
    <n v="15"/>
    <n v="3"/>
    <n v="4"/>
    <n v="1"/>
    <n v="11"/>
    <n v="3"/>
    <n v="3"/>
    <n v="10"/>
    <n v="8"/>
    <n v="0"/>
    <n v="7"/>
  </r>
  <r>
    <n v="40"/>
    <x v="1"/>
    <s v="Travel_Rarely"/>
    <n v="884"/>
    <x v="1"/>
    <n v="15"/>
    <n v="3"/>
    <s v="Life Sciences"/>
    <n v="1628"/>
    <n v="1"/>
    <x v="0"/>
    <n v="80"/>
    <n v="2"/>
    <n v="3"/>
    <s v="Manufacturing Director"/>
    <n v="3"/>
    <s v="Married"/>
    <n v="10435"/>
    <n v="25800"/>
    <n v="1"/>
    <x v="1"/>
    <n v="13"/>
    <n v="3"/>
    <n v="4"/>
    <n v="2"/>
    <n v="18"/>
    <n v="2"/>
    <n v="3"/>
    <n v="18"/>
    <n v="15"/>
    <n v="14"/>
    <n v="12"/>
  </r>
  <r>
    <n v="35"/>
    <x v="1"/>
    <s v="Non-Travel"/>
    <n v="208"/>
    <x v="1"/>
    <n v="8"/>
    <n v="4"/>
    <s v="Life Sciences"/>
    <n v="1630"/>
    <n v="3"/>
    <x v="0"/>
    <n v="52"/>
    <n v="3"/>
    <n v="2"/>
    <s v="Healthcare Representative"/>
    <n v="3"/>
    <s v="Married"/>
    <n v="4148"/>
    <n v="12250"/>
    <n v="1"/>
    <x v="1"/>
    <n v="12"/>
    <n v="3"/>
    <n v="4"/>
    <n v="1"/>
    <n v="15"/>
    <n v="5"/>
    <n v="3"/>
    <n v="14"/>
    <n v="11"/>
    <n v="2"/>
    <n v="9"/>
  </r>
  <r>
    <n v="37"/>
    <x v="1"/>
    <s v="Travel_Rarely"/>
    <n v="671"/>
    <x v="1"/>
    <n v="19"/>
    <n v="3"/>
    <s v="Life Sciences"/>
    <n v="1631"/>
    <n v="3"/>
    <x v="1"/>
    <n v="85"/>
    <n v="3"/>
    <n v="2"/>
    <s v="Manufacturing Director"/>
    <n v="3"/>
    <s v="Married"/>
    <n v="5768"/>
    <n v="26493"/>
    <n v="3"/>
    <x v="1"/>
    <n v="17"/>
    <n v="3"/>
    <n v="1"/>
    <n v="3"/>
    <n v="9"/>
    <n v="2"/>
    <n v="2"/>
    <n v="4"/>
    <n v="3"/>
    <n v="0"/>
    <n v="2"/>
  </r>
  <r>
    <n v="39"/>
    <x v="1"/>
    <s v="Travel_Frequently"/>
    <n v="711"/>
    <x v="1"/>
    <n v="4"/>
    <n v="3"/>
    <s v="Medical"/>
    <n v="1633"/>
    <n v="1"/>
    <x v="0"/>
    <n v="81"/>
    <n v="3"/>
    <n v="2"/>
    <s v="Manufacturing Director"/>
    <n v="3"/>
    <s v="Single"/>
    <n v="5042"/>
    <n v="3140"/>
    <n v="0"/>
    <x v="1"/>
    <n v="13"/>
    <n v="3"/>
    <n v="4"/>
    <n v="0"/>
    <n v="10"/>
    <n v="2"/>
    <n v="1"/>
    <n v="9"/>
    <n v="2"/>
    <n v="3"/>
    <n v="8"/>
  </r>
  <r>
    <n v="45"/>
    <x v="1"/>
    <s v="Travel_Rarely"/>
    <n v="1329"/>
    <x v="1"/>
    <n v="2"/>
    <n v="2"/>
    <s v="Other"/>
    <n v="1635"/>
    <n v="4"/>
    <x v="0"/>
    <n v="59"/>
    <n v="2"/>
    <n v="2"/>
    <s v="Manufacturing Director"/>
    <n v="4"/>
    <s v="Divorced"/>
    <n v="5770"/>
    <n v="5388"/>
    <n v="1"/>
    <x v="1"/>
    <n v="19"/>
    <n v="3"/>
    <n v="1"/>
    <n v="2"/>
    <n v="10"/>
    <n v="3"/>
    <n v="3"/>
    <n v="10"/>
    <n v="7"/>
    <n v="3"/>
    <n v="9"/>
  </r>
  <r>
    <n v="38"/>
    <x v="1"/>
    <s v="Travel_Rarely"/>
    <n v="397"/>
    <x v="1"/>
    <n v="2"/>
    <n v="2"/>
    <s v="Medical"/>
    <n v="1638"/>
    <n v="4"/>
    <x v="0"/>
    <n v="54"/>
    <n v="2"/>
    <n v="3"/>
    <s v="Manufacturing Director"/>
    <n v="3"/>
    <s v="Married"/>
    <n v="7756"/>
    <n v="14199"/>
    <n v="3"/>
    <x v="0"/>
    <n v="19"/>
    <n v="3"/>
    <n v="4"/>
    <n v="1"/>
    <n v="10"/>
    <n v="6"/>
    <n v="4"/>
    <n v="5"/>
    <n v="4"/>
    <n v="0"/>
    <n v="2"/>
  </r>
  <r>
    <n v="35"/>
    <x v="0"/>
    <s v="Travel_Rarely"/>
    <n v="737"/>
    <x v="0"/>
    <n v="10"/>
    <n v="3"/>
    <s v="Medical"/>
    <n v="1639"/>
    <n v="4"/>
    <x v="1"/>
    <n v="55"/>
    <n v="2"/>
    <n v="3"/>
    <s v="Sales Executive"/>
    <n v="1"/>
    <s v="Married"/>
    <n v="10306"/>
    <n v="21530"/>
    <n v="9"/>
    <x v="1"/>
    <n v="17"/>
    <n v="3"/>
    <n v="3"/>
    <n v="0"/>
    <n v="15"/>
    <n v="3"/>
    <n v="3"/>
    <n v="13"/>
    <n v="12"/>
    <n v="6"/>
    <n v="0"/>
  </r>
  <r>
    <n v="37"/>
    <x v="1"/>
    <s v="Travel_Rarely"/>
    <n v="1470"/>
    <x v="1"/>
    <n v="10"/>
    <n v="3"/>
    <s v="Medical"/>
    <n v="1640"/>
    <n v="2"/>
    <x v="0"/>
    <n v="71"/>
    <n v="3"/>
    <n v="1"/>
    <s v="Research Scientist"/>
    <n v="2"/>
    <s v="Married"/>
    <n v="3936"/>
    <n v="9953"/>
    <n v="1"/>
    <x v="1"/>
    <n v="11"/>
    <n v="3"/>
    <n v="1"/>
    <n v="1"/>
    <n v="8"/>
    <n v="2"/>
    <n v="1"/>
    <n v="8"/>
    <n v="4"/>
    <n v="7"/>
    <n v="7"/>
  </r>
  <r>
    <n v="40"/>
    <x v="1"/>
    <s v="Travel_Rarely"/>
    <n v="448"/>
    <x v="1"/>
    <n v="16"/>
    <n v="3"/>
    <s v="Life Sciences"/>
    <n v="1641"/>
    <n v="3"/>
    <x v="0"/>
    <n v="84"/>
    <n v="3"/>
    <n v="3"/>
    <s v="Manufacturing Director"/>
    <n v="4"/>
    <s v="Single"/>
    <n v="7945"/>
    <n v="19948"/>
    <n v="6"/>
    <x v="0"/>
    <n v="15"/>
    <n v="3"/>
    <n v="4"/>
    <n v="0"/>
    <n v="18"/>
    <n v="2"/>
    <n v="2"/>
    <n v="4"/>
    <n v="2"/>
    <n v="3"/>
    <n v="3"/>
  </r>
  <r>
    <n v="44"/>
    <x v="1"/>
    <s v="Travel_Frequently"/>
    <n v="602"/>
    <x v="2"/>
    <n v="1"/>
    <n v="5"/>
    <s v="Human Resources"/>
    <n v="1642"/>
    <n v="1"/>
    <x v="1"/>
    <n v="37"/>
    <n v="3"/>
    <n v="2"/>
    <s v="Human Resources"/>
    <n v="4"/>
    <s v="Married"/>
    <n v="5743"/>
    <n v="10503"/>
    <n v="4"/>
    <x v="0"/>
    <n v="11"/>
    <n v="3"/>
    <n v="3"/>
    <n v="0"/>
    <n v="14"/>
    <n v="3"/>
    <n v="3"/>
    <n v="10"/>
    <n v="7"/>
    <n v="0"/>
    <n v="2"/>
  </r>
  <r>
    <n v="48"/>
    <x v="1"/>
    <s v="Travel_Frequently"/>
    <n v="365"/>
    <x v="1"/>
    <n v="4"/>
    <n v="5"/>
    <s v="Medical"/>
    <n v="1644"/>
    <n v="3"/>
    <x v="1"/>
    <n v="89"/>
    <n v="2"/>
    <n v="4"/>
    <s v="Manager"/>
    <n v="4"/>
    <s v="Married"/>
    <n v="15202"/>
    <n v="5602"/>
    <n v="2"/>
    <x v="1"/>
    <n v="25"/>
    <n v="4"/>
    <n v="2"/>
    <n v="1"/>
    <n v="23"/>
    <n v="3"/>
    <n v="3"/>
    <n v="2"/>
    <n v="2"/>
    <n v="2"/>
    <n v="2"/>
  </r>
  <r>
    <n v="35"/>
    <x v="0"/>
    <s v="Travel_Rarely"/>
    <n v="763"/>
    <x v="0"/>
    <n v="15"/>
    <n v="2"/>
    <s v="Medical"/>
    <n v="1645"/>
    <n v="1"/>
    <x v="1"/>
    <n v="59"/>
    <n v="1"/>
    <n v="2"/>
    <s v="Sales Executive"/>
    <n v="4"/>
    <s v="Divorced"/>
    <n v="5440"/>
    <n v="22098"/>
    <n v="6"/>
    <x v="0"/>
    <n v="14"/>
    <n v="3"/>
    <n v="4"/>
    <n v="2"/>
    <n v="7"/>
    <n v="2"/>
    <n v="2"/>
    <n v="2"/>
    <n v="2"/>
    <n v="2"/>
    <n v="2"/>
  </r>
  <r>
    <n v="24"/>
    <x v="1"/>
    <s v="Travel_Frequently"/>
    <n v="567"/>
    <x v="1"/>
    <n v="2"/>
    <n v="1"/>
    <s v="Technical Degree"/>
    <n v="1646"/>
    <n v="1"/>
    <x v="0"/>
    <n v="32"/>
    <n v="3"/>
    <n v="1"/>
    <s v="Research Scientist"/>
    <n v="4"/>
    <s v="Single"/>
    <n v="3760"/>
    <n v="17218"/>
    <n v="1"/>
    <x v="0"/>
    <n v="13"/>
    <n v="3"/>
    <n v="3"/>
    <n v="0"/>
    <n v="6"/>
    <n v="2"/>
    <n v="3"/>
    <n v="6"/>
    <n v="3"/>
    <n v="1"/>
    <n v="3"/>
  </r>
  <r>
    <n v="27"/>
    <x v="1"/>
    <s v="Travel_Rarely"/>
    <n v="486"/>
    <x v="1"/>
    <n v="8"/>
    <n v="3"/>
    <s v="Medical"/>
    <n v="1647"/>
    <n v="2"/>
    <x v="0"/>
    <n v="86"/>
    <n v="4"/>
    <n v="1"/>
    <s v="Research Scientist"/>
    <n v="3"/>
    <s v="Married"/>
    <n v="3517"/>
    <n v="22490"/>
    <n v="7"/>
    <x v="1"/>
    <n v="17"/>
    <n v="3"/>
    <n v="1"/>
    <n v="0"/>
    <n v="5"/>
    <n v="0"/>
    <n v="3"/>
    <n v="3"/>
    <n v="2"/>
    <n v="0"/>
    <n v="2"/>
  </r>
  <r>
    <n v="27"/>
    <x v="1"/>
    <s v="Travel_Frequently"/>
    <n v="591"/>
    <x v="1"/>
    <n v="2"/>
    <n v="3"/>
    <s v="Medical"/>
    <n v="1648"/>
    <n v="4"/>
    <x v="1"/>
    <n v="87"/>
    <n v="3"/>
    <n v="1"/>
    <s v="Research Scientist"/>
    <n v="4"/>
    <s v="Single"/>
    <n v="2580"/>
    <n v="6297"/>
    <n v="2"/>
    <x v="1"/>
    <n v="13"/>
    <n v="3"/>
    <n v="3"/>
    <n v="0"/>
    <n v="6"/>
    <n v="0"/>
    <n v="2"/>
    <n v="4"/>
    <n v="2"/>
    <n v="1"/>
    <n v="2"/>
  </r>
  <r>
    <n v="40"/>
    <x v="0"/>
    <s v="Travel_Rarely"/>
    <n v="1329"/>
    <x v="1"/>
    <n v="7"/>
    <n v="3"/>
    <s v="Life Sciences"/>
    <n v="1649"/>
    <n v="1"/>
    <x v="1"/>
    <n v="73"/>
    <n v="3"/>
    <n v="1"/>
    <s v="Laboratory Technician"/>
    <n v="1"/>
    <s v="Single"/>
    <n v="2166"/>
    <n v="3339"/>
    <n v="3"/>
    <x v="0"/>
    <n v="14"/>
    <n v="3"/>
    <n v="2"/>
    <n v="0"/>
    <n v="10"/>
    <n v="3"/>
    <n v="1"/>
    <n v="4"/>
    <n v="2"/>
    <n v="0"/>
    <n v="3"/>
  </r>
  <r>
    <n v="29"/>
    <x v="1"/>
    <s v="Travel_Rarely"/>
    <n v="469"/>
    <x v="0"/>
    <n v="10"/>
    <n v="3"/>
    <s v="Medical"/>
    <n v="1650"/>
    <n v="3"/>
    <x v="1"/>
    <n v="42"/>
    <n v="2"/>
    <n v="2"/>
    <s v="Sales Executive"/>
    <n v="3"/>
    <s v="Single"/>
    <n v="5869"/>
    <n v="23413"/>
    <n v="9"/>
    <x v="1"/>
    <n v="11"/>
    <n v="3"/>
    <n v="3"/>
    <n v="0"/>
    <n v="8"/>
    <n v="2"/>
    <n v="3"/>
    <n v="5"/>
    <n v="2"/>
    <n v="1"/>
    <n v="4"/>
  </r>
  <r>
    <n v="36"/>
    <x v="1"/>
    <s v="Travel_Rarely"/>
    <n v="711"/>
    <x v="1"/>
    <n v="5"/>
    <n v="4"/>
    <s v="Life Sciences"/>
    <n v="1651"/>
    <n v="2"/>
    <x v="0"/>
    <n v="42"/>
    <n v="3"/>
    <n v="3"/>
    <s v="Healthcare Representative"/>
    <n v="1"/>
    <s v="Married"/>
    <n v="8008"/>
    <n v="22792"/>
    <n v="4"/>
    <x v="1"/>
    <n v="12"/>
    <n v="3"/>
    <n v="3"/>
    <n v="2"/>
    <n v="9"/>
    <n v="6"/>
    <n v="3"/>
    <n v="3"/>
    <n v="2"/>
    <n v="0"/>
    <n v="2"/>
  </r>
  <r>
    <n v="25"/>
    <x v="1"/>
    <s v="Travel_Frequently"/>
    <n v="772"/>
    <x v="1"/>
    <n v="2"/>
    <n v="1"/>
    <s v="Life Sciences"/>
    <n v="1653"/>
    <n v="4"/>
    <x v="1"/>
    <n v="77"/>
    <n v="4"/>
    <n v="2"/>
    <s v="Manufacturing Director"/>
    <n v="3"/>
    <s v="Divorced"/>
    <n v="5206"/>
    <n v="4973"/>
    <n v="1"/>
    <x v="1"/>
    <n v="17"/>
    <n v="3"/>
    <n v="3"/>
    <n v="2"/>
    <n v="7"/>
    <n v="6"/>
    <n v="3"/>
    <n v="7"/>
    <n v="7"/>
    <n v="0"/>
    <n v="7"/>
  </r>
  <r>
    <n v="39"/>
    <x v="1"/>
    <s v="Travel_Rarely"/>
    <n v="492"/>
    <x v="1"/>
    <n v="12"/>
    <n v="3"/>
    <s v="Medical"/>
    <n v="1654"/>
    <n v="4"/>
    <x v="1"/>
    <n v="66"/>
    <n v="3"/>
    <n v="2"/>
    <s v="Manufacturing Director"/>
    <n v="2"/>
    <s v="Married"/>
    <n v="5295"/>
    <n v="7693"/>
    <n v="4"/>
    <x v="1"/>
    <n v="21"/>
    <n v="4"/>
    <n v="3"/>
    <n v="0"/>
    <n v="7"/>
    <n v="3"/>
    <n v="3"/>
    <n v="5"/>
    <n v="4"/>
    <n v="1"/>
    <n v="0"/>
  </r>
  <r>
    <n v="49"/>
    <x v="1"/>
    <s v="Travel_Rarely"/>
    <n v="301"/>
    <x v="1"/>
    <n v="22"/>
    <n v="4"/>
    <s v="Other"/>
    <n v="1655"/>
    <n v="1"/>
    <x v="0"/>
    <n v="72"/>
    <n v="3"/>
    <n v="4"/>
    <s v="Research Director"/>
    <n v="2"/>
    <s v="Married"/>
    <n v="16413"/>
    <n v="3498"/>
    <n v="3"/>
    <x v="1"/>
    <n v="16"/>
    <n v="3"/>
    <n v="2"/>
    <n v="2"/>
    <n v="27"/>
    <n v="2"/>
    <n v="3"/>
    <n v="4"/>
    <n v="2"/>
    <n v="1"/>
    <n v="2"/>
  </r>
  <r>
    <n v="50"/>
    <x v="1"/>
    <s v="Travel_Rarely"/>
    <n v="813"/>
    <x v="1"/>
    <n v="17"/>
    <n v="5"/>
    <s v="Life Sciences"/>
    <n v="1656"/>
    <n v="4"/>
    <x v="0"/>
    <n v="50"/>
    <n v="2"/>
    <n v="3"/>
    <s v="Research Director"/>
    <n v="1"/>
    <s v="Divorced"/>
    <n v="13269"/>
    <n v="21981"/>
    <n v="5"/>
    <x v="1"/>
    <n v="15"/>
    <n v="3"/>
    <n v="3"/>
    <n v="3"/>
    <n v="19"/>
    <n v="3"/>
    <n v="3"/>
    <n v="14"/>
    <n v="11"/>
    <n v="1"/>
    <n v="11"/>
  </r>
  <r>
    <n v="20"/>
    <x v="1"/>
    <s v="Travel_Rarely"/>
    <n v="1141"/>
    <x v="0"/>
    <n v="2"/>
    <n v="3"/>
    <s v="Medical"/>
    <n v="1657"/>
    <n v="3"/>
    <x v="0"/>
    <n v="31"/>
    <n v="3"/>
    <n v="1"/>
    <s v="Sales Representative"/>
    <n v="3"/>
    <s v="Single"/>
    <n v="2783"/>
    <n v="13251"/>
    <n v="1"/>
    <x v="1"/>
    <n v="19"/>
    <n v="3"/>
    <n v="1"/>
    <n v="0"/>
    <n v="2"/>
    <n v="3"/>
    <n v="3"/>
    <n v="2"/>
    <n v="2"/>
    <n v="2"/>
    <n v="2"/>
  </r>
  <r>
    <n v="34"/>
    <x v="1"/>
    <s v="Travel_Rarely"/>
    <n v="1130"/>
    <x v="1"/>
    <n v="3"/>
    <n v="3"/>
    <s v="Life Sciences"/>
    <n v="1658"/>
    <n v="4"/>
    <x v="0"/>
    <n v="66"/>
    <n v="3"/>
    <n v="2"/>
    <s v="Research Scientist"/>
    <n v="2"/>
    <s v="Divorced"/>
    <n v="5433"/>
    <n v="19332"/>
    <n v="1"/>
    <x v="1"/>
    <n v="12"/>
    <n v="3"/>
    <n v="3"/>
    <n v="1"/>
    <n v="11"/>
    <n v="2"/>
    <n v="3"/>
    <n v="11"/>
    <n v="8"/>
    <n v="7"/>
    <n v="9"/>
  </r>
  <r>
    <n v="36"/>
    <x v="1"/>
    <s v="Travel_Rarely"/>
    <n v="311"/>
    <x v="1"/>
    <n v="7"/>
    <n v="3"/>
    <s v="Life Sciences"/>
    <n v="1659"/>
    <n v="1"/>
    <x v="1"/>
    <n v="77"/>
    <n v="3"/>
    <n v="1"/>
    <s v="Laboratory Technician"/>
    <n v="2"/>
    <s v="Single"/>
    <n v="2013"/>
    <n v="10950"/>
    <n v="2"/>
    <x v="1"/>
    <n v="11"/>
    <n v="3"/>
    <n v="3"/>
    <n v="0"/>
    <n v="15"/>
    <n v="4"/>
    <n v="3"/>
    <n v="4"/>
    <n v="3"/>
    <n v="1"/>
    <n v="3"/>
  </r>
  <r>
    <n v="49"/>
    <x v="1"/>
    <s v="Travel_Rarely"/>
    <n v="465"/>
    <x v="1"/>
    <n v="6"/>
    <n v="1"/>
    <s v="Life Sciences"/>
    <n v="1661"/>
    <n v="3"/>
    <x v="0"/>
    <n v="41"/>
    <n v="2"/>
    <n v="4"/>
    <s v="Healthcare Representative"/>
    <n v="3"/>
    <s v="Married"/>
    <n v="13966"/>
    <n v="11652"/>
    <n v="2"/>
    <x v="0"/>
    <n v="19"/>
    <n v="3"/>
    <n v="2"/>
    <n v="1"/>
    <n v="30"/>
    <n v="3"/>
    <n v="3"/>
    <n v="15"/>
    <n v="11"/>
    <n v="2"/>
    <n v="12"/>
  </r>
  <r>
    <n v="36"/>
    <x v="1"/>
    <s v="Non-Travel"/>
    <n v="894"/>
    <x v="1"/>
    <n v="1"/>
    <n v="4"/>
    <s v="Medical"/>
    <n v="1662"/>
    <n v="4"/>
    <x v="0"/>
    <n v="33"/>
    <n v="2"/>
    <n v="2"/>
    <s v="Manufacturing Director"/>
    <n v="3"/>
    <s v="Married"/>
    <n v="4374"/>
    <n v="15411"/>
    <n v="0"/>
    <x v="1"/>
    <n v="15"/>
    <n v="3"/>
    <n v="3"/>
    <n v="0"/>
    <n v="4"/>
    <n v="6"/>
    <n v="3"/>
    <n v="3"/>
    <n v="2"/>
    <n v="1"/>
    <n v="2"/>
  </r>
  <r>
    <n v="36"/>
    <x v="1"/>
    <s v="Travel_Rarely"/>
    <n v="1040"/>
    <x v="1"/>
    <n v="3"/>
    <n v="2"/>
    <s v="Life Sciences"/>
    <n v="1664"/>
    <n v="4"/>
    <x v="1"/>
    <n v="79"/>
    <n v="4"/>
    <n v="2"/>
    <s v="Healthcare Representative"/>
    <n v="1"/>
    <s v="Divorced"/>
    <n v="6842"/>
    <n v="26308"/>
    <n v="6"/>
    <x v="1"/>
    <n v="20"/>
    <n v="4"/>
    <n v="1"/>
    <n v="1"/>
    <n v="13"/>
    <n v="3"/>
    <n v="3"/>
    <n v="5"/>
    <n v="4"/>
    <n v="0"/>
    <n v="4"/>
  </r>
  <r>
    <n v="54"/>
    <x v="1"/>
    <s v="Travel_Rarely"/>
    <n v="584"/>
    <x v="1"/>
    <n v="22"/>
    <n v="5"/>
    <s v="Medical"/>
    <n v="1665"/>
    <n v="2"/>
    <x v="0"/>
    <n v="91"/>
    <n v="3"/>
    <n v="4"/>
    <s v="Manager"/>
    <n v="3"/>
    <s v="Married"/>
    <n v="17426"/>
    <n v="18685"/>
    <n v="3"/>
    <x v="1"/>
    <n v="25"/>
    <n v="4"/>
    <n v="3"/>
    <n v="1"/>
    <n v="36"/>
    <n v="6"/>
    <n v="3"/>
    <n v="10"/>
    <n v="8"/>
    <n v="4"/>
    <n v="7"/>
  </r>
  <r>
    <n v="43"/>
    <x v="1"/>
    <s v="Travel_Rarely"/>
    <n v="1291"/>
    <x v="1"/>
    <n v="15"/>
    <n v="2"/>
    <s v="Life Sciences"/>
    <n v="1666"/>
    <n v="3"/>
    <x v="1"/>
    <n v="65"/>
    <n v="2"/>
    <n v="4"/>
    <s v="Research Director"/>
    <n v="3"/>
    <s v="Married"/>
    <n v="17603"/>
    <n v="3525"/>
    <n v="1"/>
    <x v="1"/>
    <n v="24"/>
    <n v="4"/>
    <n v="1"/>
    <n v="1"/>
    <n v="14"/>
    <n v="3"/>
    <n v="3"/>
    <n v="14"/>
    <n v="10"/>
    <n v="6"/>
    <n v="11"/>
  </r>
  <r>
    <n v="35"/>
    <x v="0"/>
    <s v="Travel_Frequently"/>
    <n v="880"/>
    <x v="0"/>
    <n v="12"/>
    <n v="4"/>
    <s v="Other"/>
    <n v="1667"/>
    <n v="4"/>
    <x v="1"/>
    <n v="36"/>
    <n v="3"/>
    <n v="2"/>
    <s v="Sales Executive"/>
    <n v="4"/>
    <s v="Single"/>
    <n v="4581"/>
    <n v="10414"/>
    <n v="3"/>
    <x v="0"/>
    <n v="24"/>
    <n v="4"/>
    <n v="1"/>
    <n v="0"/>
    <n v="13"/>
    <n v="2"/>
    <n v="4"/>
    <n v="11"/>
    <n v="9"/>
    <n v="6"/>
    <n v="7"/>
  </r>
  <r>
    <n v="38"/>
    <x v="1"/>
    <s v="Travel_Frequently"/>
    <n v="1189"/>
    <x v="1"/>
    <n v="1"/>
    <n v="3"/>
    <s v="Life Sciences"/>
    <n v="1668"/>
    <n v="4"/>
    <x v="1"/>
    <n v="90"/>
    <n v="3"/>
    <n v="2"/>
    <s v="Research Scientist"/>
    <n v="4"/>
    <s v="Married"/>
    <n v="4735"/>
    <n v="9867"/>
    <n v="7"/>
    <x v="1"/>
    <n v="15"/>
    <n v="3"/>
    <n v="4"/>
    <n v="2"/>
    <n v="19"/>
    <n v="4"/>
    <n v="4"/>
    <n v="13"/>
    <n v="11"/>
    <n v="2"/>
    <n v="9"/>
  </r>
  <r>
    <n v="29"/>
    <x v="1"/>
    <s v="Travel_Rarely"/>
    <n v="991"/>
    <x v="0"/>
    <n v="5"/>
    <n v="3"/>
    <s v="Medical"/>
    <n v="1669"/>
    <n v="1"/>
    <x v="1"/>
    <n v="43"/>
    <n v="2"/>
    <n v="2"/>
    <s v="Sales Executive"/>
    <n v="2"/>
    <s v="Divorced"/>
    <n v="4187"/>
    <n v="3356"/>
    <n v="1"/>
    <x v="0"/>
    <n v="13"/>
    <n v="3"/>
    <n v="2"/>
    <n v="1"/>
    <n v="10"/>
    <n v="3"/>
    <n v="2"/>
    <n v="10"/>
    <n v="0"/>
    <n v="0"/>
    <n v="9"/>
  </r>
  <r>
    <n v="33"/>
    <x v="1"/>
    <s v="Travel_Rarely"/>
    <n v="392"/>
    <x v="0"/>
    <n v="2"/>
    <n v="4"/>
    <s v="Medical"/>
    <n v="1670"/>
    <n v="4"/>
    <x v="1"/>
    <n v="93"/>
    <n v="3"/>
    <n v="2"/>
    <s v="Sales Executive"/>
    <n v="4"/>
    <s v="Divorced"/>
    <n v="5505"/>
    <n v="3921"/>
    <n v="1"/>
    <x v="1"/>
    <n v="14"/>
    <n v="3"/>
    <n v="3"/>
    <n v="2"/>
    <n v="6"/>
    <n v="5"/>
    <n v="3"/>
    <n v="6"/>
    <n v="2"/>
    <n v="0"/>
    <n v="4"/>
  </r>
  <r>
    <n v="32"/>
    <x v="1"/>
    <s v="Travel_Rarely"/>
    <n v="977"/>
    <x v="1"/>
    <n v="2"/>
    <n v="3"/>
    <s v="Medical"/>
    <n v="1671"/>
    <n v="4"/>
    <x v="1"/>
    <n v="45"/>
    <n v="3"/>
    <n v="2"/>
    <s v="Research Scientist"/>
    <n v="2"/>
    <s v="Divorced"/>
    <n v="5470"/>
    <n v="25518"/>
    <n v="0"/>
    <x v="1"/>
    <n v="13"/>
    <n v="3"/>
    <n v="3"/>
    <n v="2"/>
    <n v="10"/>
    <n v="4"/>
    <n v="2"/>
    <n v="9"/>
    <n v="5"/>
    <n v="1"/>
    <n v="6"/>
  </r>
  <r>
    <n v="31"/>
    <x v="1"/>
    <s v="Travel_Rarely"/>
    <n v="1112"/>
    <x v="0"/>
    <n v="5"/>
    <n v="4"/>
    <s v="Life Sciences"/>
    <n v="1673"/>
    <n v="1"/>
    <x v="0"/>
    <n v="67"/>
    <n v="3"/>
    <n v="2"/>
    <s v="Sales Executive"/>
    <n v="4"/>
    <s v="Married"/>
    <n v="5476"/>
    <n v="22589"/>
    <n v="1"/>
    <x v="1"/>
    <n v="11"/>
    <n v="3"/>
    <n v="1"/>
    <n v="2"/>
    <n v="10"/>
    <n v="2"/>
    <n v="3"/>
    <n v="10"/>
    <n v="0"/>
    <n v="0"/>
    <n v="2"/>
  </r>
  <r>
    <n v="49"/>
    <x v="1"/>
    <s v="Travel_Rarely"/>
    <n v="464"/>
    <x v="1"/>
    <n v="16"/>
    <n v="3"/>
    <s v="Medical"/>
    <n v="1674"/>
    <n v="4"/>
    <x v="0"/>
    <n v="74"/>
    <n v="3"/>
    <n v="1"/>
    <s v="Laboratory Technician"/>
    <n v="1"/>
    <s v="Divorced"/>
    <n v="2587"/>
    <n v="24941"/>
    <n v="4"/>
    <x v="0"/>
    <n v="16"/>
    <n v="3"/>
    <n v="2"/>
    <n v="1"/>
    <n v="17"/>
    <n v="2"/>
    <n v="2"/>
    <n v="2"/>
    <n v="2"/>
    <n v="2"/>
    <n v="2"/>
  </r>
  <r>
    <n v="38"/>
    <x v="1"/>
    <s v="Travel_Frequently"/>
    <n v="148"/>
    <x v="1"/>
    <n v="2"/>
    <n v="3"/>
    <s v="Medical"/>
    <n v="1675"/>
    <n v="4"/>
    <x v="0"/>
    <n v="42"/>
    <n v="2"/>
    <n v="1"/>
    <s v="Laboratory Technician"/>
    <n v="2"/>
    <s v="Single"/>
    <n v="2440"/>
    <n v="23826"/>
    <n v="1"/>
    <x v="1"/>
    <n v="22"/>
    <n v="4"/>
    <n v="2"/>
    <n v="0"/>
    <n v="4"/>
    <n v="3"/>
    <n v="3"/>
    <n v="4"/>
    <n v="3"/>
    <n v="3"/>
    <n v="3"/>
  </r>
  <r>
    <n v="47"/>
    <x v="1"/>
    <s v="Travel_Rarely"/>
    <n v="1225"/>
    <x v="0"/>
    <n v="2"/>
    <n v="4"/>
    <s v="Life Sciences"/>
    <n v="1676"/>
    <n v="2"/>
    <x v="0"/>
    <n v="47"/>
    <n v="4"/>
    <n v="4"/>
    <s v="Manager"/>
    <n v="2"/>
    <s v="Divorced"/>
    <n v="15972"/>
    <n v="21086"/>
    <n v="6"/>
    <x v="1"/>
    <n v="14"/>
    <n v="3"/>
    <n v="3"/>
    <n v="3"/>
    <n v="29"/>
    <n v="2"/>
    <n v="3"/>
    <n v="3"/>
    <n v="2"/>
    <n v="1"/>
    <n v="2"/>
  </r>
  <r>
    <n v="49"/>
    <x v="1"/>
    <s v="Travel_Rarely"/>
    <n v="809"/>
    <x v="1"/>
    <n v="1"/>
    <n v="3"/>
    <s v="Life Sciences"/>
    <n v="1677"/>
    <n v="3"/>
    <x v="1"/>
    <n v="36"/>
    <n v="3"/>
    <n v="4"/>
    <s v="Manager"/>
    <n v="3"/>
    <s v="Single"/>
    <n v="15379"/>
    <n v="22384"/>
    <n v="4"/>
    <x v="1"/>
    <n v="14"/>
    <n v="3"/>
    <n v="1"/>
    <n v="0"/>
    <n v="23"/>
    <n v="2"/>
    <n v="3"/>
    <n v="8"/>
    <n v="7"/>
    <n v="0"/>
    <n v="0"/>
  </r>
  <r>
    <n v="41"/>
    <x v="1"/>
    <s v="Travel_Rarely"/>
    <n v="1206"/>
    <x v="0"/>
    <n v="23"/>
    <n v="2"/>
    <s v="Life Sciences"/>
    <n v="1678"/>
    <n v="4"/>
    <x v="1"/>
    <n v="80"/>
    <n v="3"/>
    <n v="3"/>
    <s v="Sales Executive"/>
    <n v="3"/>
    <s v="Single"/>
    <n v="7082"/>
    <n v="11591"/>
    <n v="3"/>
    <x v="0"/>
    <n v="16"/>
    <n v="3"/>
    <n v="4"/>
    <n v="0"/>
    <n v="21"/>
    <n v="2"/>
    <n v="3"/>
    <n v="2"/>
    <n v="0"/>
    <n v="0"/>
    <n v="2"/>
  </r>
  <r>
    <n v="20"/>
    <x v="1"/>
    <s v="Travel_Rarely"/>
    <n v="727"/>
    <x v="0"/>
    <n v="9"/>
    <n v="1"/>
    <s v="Life Sciences"/>
    <n v="1680"/>
    <n v="4"/>
    <x v="1"/>
    <n v="54"/>
    <n v="3"/>
    <n v="1"/>
    <s v="Sales Representative"/>
    <n v="1"/>
    <s v="Single"/>
    <n v="2728"/>
    <n v="21082"/>
    <n v="1"/>
    <x v="1"/>
    <n v="11"/>
    <n v="3"/>
    <n v="1"/>
    <n v="0"/>
    <n v="2"/>
    <n v="3"/>
    <n v="3"/>
    <n v="2"/>
    <n v="2"/>
    <n v="0"/>
    <n v="2"/>
  </r>
  <r>
    <n v="33"/>
    <x v="1"/>
    <s v="Non-Travel"/>
    <n v="530"/>
    <x v="0"/>
    <n v="16"/>
    <n v="3"/>
    <s v="Life Sciences"/>
    <n v="1681"/>
    <n v="3"/>
    <x v="0"/>
    <n v="36"/>
    <n v="3"/>
    <n v="2"/>
    <s v="Sales Executive"/>
    <n v="4"/>
    <s v="Divorced"/>
    <n v="5368"/>
    <n v="16130"/>
    <n v="1"/>
    <x v="0"/>
    <n v="25"/>
    <n v="4"/>
    <n v="3"/>
    <n v="1"/>
    <n v="7"/>
    <n v="2"/>
    <n v="3"/>
    <n v="6"/>
    <n v="5"/>
    <n v="1"/>
    <n v="2"/>
  </r>
  <r>
    <n v="36"/>
    <x v="1"/>
    <s v="Travel_Rarely"/>
    <n v="1351"/>
    <x v="1"/>
    <n v="26"/>
    <n v="4"/>
    <s v="Life Sciences"/>
    <n v="1682"/>
    <n v="1"/>
    <x v="1"/>
    <n v="80"/>
    <n v="3"/>
    <n v="2"/>
    <s v="Healthcare Representative"/>
    <n v="3"/>
    <s v="Married"/>
    <n v="5347"/>
    <n v="7419"/>
    <n v="6"/>
    <x v="1"/>
    <n v="14"/>
    <n v="3"/>
    <n v="2"/>
    <n v="2"/>
    <n v="10"/>
    <n v="2"/>
    <n v="2"/>
    <n v="3"/>
    <n v="2"/>
    <n v="0"/>
    <n v="2"/>
  </r>
  <r>
    <n v="44"/>
    <x v="1"/>
    <s v="Travel_Rarely"/>
    <n v="528"/>
    <x v="2"/>
    <n v="1"/>
    <n v="3"/>
    <s v="Life Sciences"/>
    <n v="1683"/>
    <n v="3"/>
    <x v="0"/>
    <n v="44"/>
    <n v="3"/>
    <n v="1"/>
    <s v="Human Resources"/>
    <n v="4"/>
    <s v="Divorced"/>
    <n v="3195"/>
    <n v="4167"/>
    <n v="4"/>
    <x v="0"/>
    <n v="18"/>
    <n v="3"/>
    <n v="1"/>
    <n v="3"/>
    <n v="8"/>
    <n v="2"/>
    <n v="3"/>
    <n v="2"/>
    <n v="2"/>
    <n v="2"/>
    <n v="2"/>
  </r>
  <r>
    <n v="23"/>
    <x v="0"/>
    <s v="Travel_Rarely"/>
    <n v="1320"/>
    <x v="1"/>
    <n v="8"/>
    <n v="1"/>
    <s v="Medical"/>
    <n v="1684"/>
    <n v="4"/>
    <x v="1"/>
    <n v="93"/>
    <n v="2"/>
    <n v="1"/>
    <s v="Laboratory Technician"/>
    <n v="3"/>
    <s v="Single"/>
    <n v="3989"/>
    <n v="20586"/>
    <n v="1"/>
    <x v="0"/>
    <n v="11"/>
    <n v="3"/>
    <n v="1"/>
    <n v="0"/>
    <n v="5"/>
    <n v="2"/>
    <n v="3"/>
    <n v="5"/>
    <n v="4"/>
    <n v="1"/>
    <n v="2"/>
  </r>
  <r>
    <n v="38"/>
    <x v="1"/>
    <s v="Travel_Rarely"/>
    <n v="1495"/>
    <x v="1"/>
    <n v="4"/>
    <n v="2"/>
    <s v="Medical"/>
    <n v="1687"/>
    <n v="4"/>
    <x v="0"/>
    <n v="87"/>
    <n v="3"/>
    <n v="1"/>
    <s v="Laboratory Technician"/>
    <n v="3"/>
    <s v="Married"/>
    <n v="3306"/>
    <n v="26176"/>
    <n v="7"/>
    <x v="1"/>
    <n v="19"/>
    <n v="3"/>
    <n v="4"/>
    <n v="1"/>
    <n v="7"/>
    <n v="5"/>
    <n v="2"/>
    <n v="0"/>
    <n v="0"/>
    <n v="0"/>
    <n v="0"/>
  </r>
  <r>
    <n v="53"/>
    <x v="1"/>
    <s v="Travel_Rarely"/>
    <n v="1395"/>
    <x v="1"/>
    <n v="24"/>
    <n v="4"/>
    <s v="Medical"/>
    <n v="1689"/>
    <n v="2"/>
    <x v="1"/>
    <n v="48"/>
    <n v="4"/>
    <n v="3"/>
    <s v="Healthcare Representative"/>
    <n v="4"/>
    <s v="Married"/>
    <n v="7005"/>
    <n v="3458"/>
    <n v="3"/>
    <x v="1"/>
    <n v="15"/>
    <n v="3"/>
    <n v="3"/>
    <n v="0"/>
    <n v="11"/>
    <n v="2"/>
    <n v="3"/>
    <n v="4"/>
    <n v="3"/>
    <n v="1"/>
    <n v="2"/>
  </r>
  <r>
    <n v="48"/>
    <x v="0"/>
    <s v="Travel_Frequently"/>
    <n v="708"/>
    <x v="0"/>
    <n v="7"/>
    <n v="2"/>
    <s v="Medical"/>
    <n v="1691"/>
    <n v="4"/>
    <x v="0"/>
    <n v="95"/>
    <n v="3"/>
    <n v="1"/>
    <s v="Sales Representative"/>
    <n v="3"/>
    <s v="Married"/>
    <n v="2655"/>
    <n v="11740"/>
    <n v="2"/>
    <x v="0"/>
    <n v="11"/>
    <n v="3"/>
    <n v="3"/>
    <n v="2"/>
    <n v="19"/>
    <n v="3"/>
    <n v="3"/>
    <n v="9"/>
    <n v="7"/>
    <n v="7"/>
    <n v="7"/>
  </r>
  <r>
    <n v="32"/>
    <x v="0"/>
    <s v="Travel_Rarely"/>
    <n v="1259"/>
    <x v="1"/>
    <n v="2"/>
    <n v="4"/>
    <s v="Life Sciences"/>
    <n v="1692"/>
    <n v="4"/>
    <x v="1"/>
    <n v="95"/>
    <n v="3"/>
    <n v="1"/>
    <s v="Laboratory Technician"/>
    <n v="2"/>
    <s v="Single"/>
    <n v="1393"/>
    <n v="24852"/>
    <n v="1"/>
    <x v="1"/>
    <n v="12"/>
    <n v="3"/>
    <n v="1"/>
    <n v="0"/>
    <n v="1"/>
    <n v="2"/>
    <n v="3"/>
    <n v="1"/>
    <n v="0"/>
    <n v="0"/>
    <n v="0"/>
  </r>
  <r>
    <n v="26"/>
    <x v="1"/>
    <s v="Non-Travel"/>
    <n v="786"/>
    <x v="1"/>
    <n v="7"/>
    <n v="3"/>
    <s v="Medical"/>
    <n v="1693"/>
    <n v="4"/>
    <x v="1"/>
    <n v="76"/>
    <n v="3"/>
    <n v="1"/>
    <s v="Laboratory Technician"/>
    <n v="4"/>
    <s v="Single"/>
    <n v="2570"/>
    <n v="11925"/>
    <n v="1"/>
    <x v="1"/>
    <n v="20"/>
    <n v="4"/>
    <n v="3"/>
    <n v="0"/>
    <n v="7"/>
    <n v="5"/>
    <n v="3"/>
    <n v="7"/>
    <n v="7"/>
    <n v="5"/>
    <n v="7"/>
  </r>
  <r>
    <n v="55"/>
    <x v="1"/>
    <s v="Travel_Rarely"/>
    <n v="1441"/>
    <x v="1"/>
    <n v="22"/>
    <n v="3"/>
    <s v="Technical Degree"/>
    <n v="1694"/>
    <n v="1"/>
    <x v="1"/>
    <n v="94"/>
    <n v="2"/>
    <n v="1"/>
    <s v="Research Scientist"/>
    <n v="2"/>
    <s v="Divorced"/>
    <n v="3537"/>
    <n v="23737"/>
    <n v="5"/>
    <x v="1"/>
    <n v="12"/>
    <n v="3"/>
    <n v="4"/>
    <n v="1"/>
    <n v="8"/>
    <n v="1"/>
    <n v="3"/>
    <n v="4"/>
    <n v="2"/>
    <n v="1"/>
    <n v="2"/>
  </r>
  <r>
    <n v="34"/>
    <x v="1"/>
    <s v="Travel_Rarely"/>
    <n v="1157"/>
    <x v="1"/>
    <n v="5"/>
    <n v="2"/>
    <s v="Medical"/>
    <n v="1696"/>
    <n v="2"/>
    <x v="1"/>
    <n v="57"/>
    <n v="2"/>
    <n v="2"/>
    <s v="Laboratory Technician"/>
    <n v="4"/>
    <s v="Married"/>
    <n v="3986"/>
    <n v="11912"/>
    <n v="1"/>
    <x v="1"/>
    <n v="14"/>
    <n v="3"/>
    <n v="3"/>
    <n v="1"/>
    <n v="15"/>
    <n v="3"/>
    <n v="4"/>
    <n v="15"/>
    <n v="10"/>
    <n v="4"/>
    <n v="13"/>
  </r>
  <r>
    <n v="60"/>
    <x v="1"/>
    <s v="Travel_Rarely"/>
    <n v="370"/>
    <x v="1"/>
    <n v="1"/>
    <n v="4"/>
    <s v="Medical"/>
    <n v="1697"/>
    <n v="3"/>
    <x v="1"/>
    <n v="92"/>
    <n v="1"/>
    <n v="3"/>
    <s v="Healthcare Representative"/>
    <n v="4"/>
    <s v="Divorced"/>
    <n v="10883"/>
    <n v="20467"/>
    <n v="3"/>
    <x v="1"/>
    <n v="20"/>
    <n v="4"/>
    <n v="3"/>
    <n v="1"/>
    <n v="19"/>
    <n v="2"/>
    <n v="4"/>
    <n v="1"/>
    <n v="0"/>
    <n v="0"/>
    <n v="0"/>
  </r>
  <r>
    <n v="33"/>
    <x v="1"/>
    <s v="Travel_Rarely"/>
    <n v="267"/>
    <x v="1"/>
    <n v="21"/>
    <n v="3"/>
    <s v="Medical"/>
    <n v="1698"/>
    <n v="2"/>
    <x v="1"/>
    <n v="79"/>
    <n v="4"/>
    <n v="1"/>
    <s v="Laboratory Technician"/>
    <n v="2"/>
    <s v="Married"/>
    <n v="2028"/>
    <n v="13637"/>
    <n v="1"/>
    <x v="1"/>
    <n v="18"/>
    <n v="3"/>
    <n v="4"/>
    <n v="3"/>
    <n v="14"/>
    <n v="6"/>
    <n v="3"/>
    <n v="14"/>
    <n v="11"/>
    <n v="2"/>
    <n v="13"/>
  </r>
  <r>
    <n v="37"/>
    <x v="1"/>
    <s v="Travel_Frequently"/>
    <n v="1278"/>
    <x v="0"/>
    <n v="1"/>
    <n v="4"/>
    <s v="Medical"/>
    <n v="1700"/>
    <n v="3"/>
    <x v="1"/>
    <n v="31"/>
    <n v="1"/>
    <n v="2"/>
    <s v="Sales Executive"/>
    <n v="4"/>
    <s v="Divorced"/>
    <n v="9525"/>
    <n v="7677"/>
    <n v="1"/>
    <x v="1"/>
    <n v="14"/>
    <n v="3"/>
    <n v="3"/>
    <n v="2"/>
    <n v="6"/>
    <n v="2"/>
    <n v="2"/>
    <n v="6"/>
    <n v="3"/>
    <n v="1"/>
    <n v="3"/>
  </r>
  <r>
    <n v="34"/>
    <x v="1"/>
    <s v="Travel_Rarely"/>
    <n v="678"/>
    <x v="1"/>
    <n v="19"/>
    <n v="3"/>
    <s v="Life Sciences"/>
    <n v="1701"/>
    <n v="2"/>
    <x v="0"/>
    <n v="35"/>
    <n v="2"/>
    <n v="1"/>
    <s v="Research Scientist"/>
    <n v="4"/>
    <s v="Married"/>
    <n v="2929"/>
    <n v="20338"/>
    <n v="1"/>
    <x v="1"/>
    <n v="12"/>
    <n v="3"/>
    <n v="2"/>
    <n v="0"/>
    <n v="10"/>
    <n v="3"/>
    <n v="3"/>
    <n v="10"/>
    <n v="9"/>
    <n v="8"/>
    <n v="7"/>
  </r>
  <r>
    <n v="23"/>
    <x v="0"/>
    <s v="Travel_Rarely"/>
    <n v="427"/>
    <x v="0"/>
    <n v="7"/>
    <n v="3"/>
    <s v="Life Sciences"/>
    <n v="1702"/>
    <n v="3"/>
    <x v="1"/>
    <n v="99"/>
    <n v="3"/>
    <n v="1"/>
    <s v="Sales Representative"/>
    <n v="4"/>
    <s v="Divorced"/>
    <n v="2275"/>
    <n v="25103"/>
    <n v="1"/>
    <x v="0"/>
    <n v="21"/>
    <n v="4"/>
    <n v="2"/>
    <n v="1"/>
    <n v="3"/>
    <n v="2"/>
    <n v="3"/>
    <n v="3"/>
    <n v="2"/>
    <n v="0"/>
    <n v="2"/>
  </r>
  <r>
    <n v="44"/>
    <x v="1"/>
    <s v="Travel_Rarely"/>
    <n v="921"/>
    <x v="1"/>
    <n v="2"/>
    <n v="3"/>
    <s v="Life Sciences"/>
    <n v="1703"/>
    <n v="3"/>
    <x v="0"/>
    <n v="96"/>
    <n v="4"/>
    <n v="3"/>
    <s v="Healthcare Representative"/>
    <n v="4"/>
    <s v="Married"/>
    <n v="7879"/>
    <n v="14810"/>
    <n v="1"/>
    <x v="0"/>
    <n v="19"/>
    <n v="3"/>
    <n v="2"/>
    <n v="1"/>
    <n v="9"/>
    <n v="2"/>
    <n v="3"/>
    <n v="8"/>
    <n v="7"/>
    <n v="6"/>
    <n v="7"/>
  </r>
  <r>
    <n v="35"/>
    <x v="1"/>
    <s v="Travel_Frequently"/>
    <n v="146"/>
    <x v="1"/>
    <n v="2"/>
    <n v="4"/>
    <s v="Medical"/>
    <n v="1704"/>
    <n v="1"/>
    <x v="1"/>
    <n v="79"/>
    <n v="2"/>
    <n v="1"/>
    <s v="Research Scientist"/>
    <n v="4"/>
    <s v="Single"/>
    <n v="4930"/>
    <n v="13970"/>
    <n v="0"/>
    <x v="0"/>
    <n v="14"/>
    <n v="3"/>
    <n v="3"/>
    <n v="0"/>
    <n v="6"/>
    <n v="2"/>
    <n v="4"/>
    <n v="5"/>
    <n v="4"/>
    <n v="1"/>
    <n v="4"/>
  </r>
  <r>
    <n v="43"/>
    <x v="1"/>
    <s v="Travel_Rarely"/>
    <n v="1179"/>
    <x v="0"/>
    <n v="2"/>
    <n v="3"/>
    <s v="Medical"/>
    <n v="1706"/>
    <n v="4"/>
    <x v="1"/>
    <n v="73"/>
    <n v="3"/>
    <n v="2"/>
    <s v="Sales Executive"/>
    <n v="4"/>
    <s v="Married"/>
    <n v="7847"/>
    <n v="6069"/>
    <n v="1"/>
    <x v="0"/>
    <n v="17"/>
    <n v="3"/>
    <n v="1"/>
    <n v="1"/>
    <n v="10"/>
    <n v="3"/>
    <n v="3"/>
    <n v="10"/>
    <n v="9"/>
    <n v="8"/>
    <n v="8"/>
  </r>
  <r>
    <n v="24"/>
    <x v="1"/>
    <s v="Travel_Rarely"/>
    <n v="581"/>
    <x v="1"/>
    <n v="9"/>
    <n v="3"/>
    <s v="Medical"/>
    <n v="1707"/>
    <n v="3"/>
    <x v="1"/>
    <n v="62"/>
    <n v="4"/>
    <n v="1"/>
    <s v="Research Scientist"/>
    <n v="3"/>
    <s v="Married"/>
    <n v="4401"/>
    <n v="17616"/>
    <n v="1"/>
    <x v="1"/>
    <n v="16"/>
    <n v="3"/>
    <n v="4"/>
    <n v="1"/>
    <n v="5"/>
    <n v="1"/>
    <n v="3"/>
    <n v="5"/>
    <n v="3"/>
    <n v="0"/>
    <n v="4"/>
  </r>
  <r>
    <n v="41"/>
    <x v="1"/>
    <s v="Travel_Rarely"/>
    <n v="918"/>
    <x v="0"/>
    <n v="6"/>
    <n v="3"/>
    <s v="Marketing"/>
    <n v="1708"/>
    <n v="4"/>
    <x v="1"/>
    <n v="35"/>
    <n v="3"/>
    <n v="3"/>
    <s v="Sales Executive"/>
    <n v="3"/>
    <s v="Single"/>
    <n v="9241"/>
    <n v="15869"/>
    <n v="1"/>
    <x v="1"/>
    <n v="12"/>
    <n v="3"/>
    <n v="2"/>
    <n v="0"/>
    <n v="10"/>
    <n v="3"/>
    <n v="3"/>
    <n v="10"/>
    <n v="8"/>
    <n v="8"/>
    <n v="7"/>
  </r>
  <r>
    <n v="29"/>
    <x v="1"/>
    <s v="Travel_Rarely"/>
    <n v="1082"/>
    <x v="1"/>
    <n v="9"/>
    <n v="4"/>
    <s v="Medical"/>
    <n v="1709"/>
    <n v="4"/>
    <x v="0"/>
    <n v="43"/>
    <n v="3"/>
    <n v="1"/>
    <s v="Laboratory Technician"/>
    <n v="3"/>
    <s v="Married"/>
    <n v="2974"/>
    <n v="25412"/>
    <n v="9"/>
    <x v="1"/>
    <n v="17"/>
    <n v="3"/>
    <n v="3"/>
    <n v="1"/>
    <n v="9"/>
    <n v="2"/>
    <n v="3"/>
    <n v="5"/>
    <n v="3"/>
    <n v="1"/>
    <n v="2"/>
  </r>
  <r>
    <n v="36"/>
    <x v="1"/>
    <s v="Travel_Rarely"/>
    <n v="530"/>
    <x v="0"/>
    <n v="2"/>
    <n v="4"/>
    <s v="Life Sciences"/>
    <n v="1710"/>
    <n v="3"/>
    <x v="0"/>
    <n v="51"/>
    <n v="3"/>
    <n v="2"/>
    <s v="Sales Representative"/>
    <n v="4"/>
    <s v="Single"/>
    <n v="4502"/>
    <n v="7439"/>
    <n v="3"/>
    <x v="1"/>
    <n v="15"/>
    <n v="3"/>
    <n v="3"/>
    <n v="0"/>
    <n v="17"/>
    <n v="2"/>
    <n v="2"/>
    <n v="13"/>
    <n v="7"/>
    <n v="6"/>
    <n v="7"/>
  </r>
  <r>
    <n v="45"/>
    <x v="1"/>
    <s v="Non-Travel"/>
    <n v="1238"/>
    <x v="1"/>
    <n v="1"/>
    <n v="1"/>
    <s v="Life Sciences"/>
    <n v="1712"/>
    <n v="3"/>
    <x v="1"/>
    <n v="74"/>
    <n v="2"/>
    <n v="3"/>
    <s v="Healthcare Representative"/>
    <n v="3"/>
    <s v="Married"/>
    <n v="10748"/>
    <n v="3395"/>
    <n v="3"/>
    <x v="1"/>
    <n v="23"/>
    <n v="4"/>
    <n v="4"/>
    <n v="1"/>
    <n v="25"/>
    <n v="3"/>
    <n v="2"/>
    <n v="23"/>
    <n v="15"/>
    <n v="14"/>
    <n v="4"/>
  </r>
  <r>
    <n v="24"/>
    <x v="0"/>
    <s v="Travel_Rarely"/>
    <n v="240"/>
    <x v="2"/>
    <n v="22"/>
    <n v="1"/>
    <s v="Human Resources"/>
    <n v="1714"/>
    <n v="4"/>
    <x v="1"/>
    <n v="58"/>
    <n v="1"/>
    <n v="1"/>
    <s v="Human Resources"/>
    <n v="3"/>
    <s v="Married"/>
    <n v="1555"/>
    <n v="11585"/>
    <n v="1"/>
    <x v="1"/>
    <n v="11"/>
    <n v="3"/>
    <n v="3"/>
    <n v="1"/>
    <n v="1"/>
    <n v="2"/>
    <n v="3"/>
    <n v="1"/>
    <n v="0"/>
    <n v="0"/>
    <n v="0"/>
  </r>
  <r>
    <n v="47"/>
    <x v="0"/>
    <s v="Travel_Frequently"/>
    <n v="1093"/>
    <x v="0"/>
    <n v="9"/>
    <n v="3"/>
    <s v="Life Sciences"/>
    <n v="1716"/>
    <n v="3"/>
    <x v="1"/>
    <n v="82"/>
    <n v="1"/>
    <n v="4"/>
    <s v="Sales Executive"/>
    <n v="3"/>
    <s v="Married"/>
    <n v="12936"/>
    <n v="24164"/>
    <n v="7"/>
    <x v="1"/>
    <n v="11"/>
    <n v="3"/>
    <n v="3"/>
    <n v="0"/>
    <n v="25"/>
    <n v="3"/>
    <n v="1"/>
    <n v="23"/>
    <n v="5"/>
    <n v="14"/>
    <n v="10"/>
  </r>
  <r>
    <n v="26"/>
    <x v="1"/>
    <s v="Travel_Rarely"/>
    <n v="390"/>
    <x v="1"/>
    <n v="17"/>
    <n v="4"/>
    <s v="Medical"/>
    <n v="1718"/>
    <n v="4"/>
    <x v="1"/>
    <n v="62"/>
    <n v="1"/>
    <n v="1"/>
    <s v="Laboratory Technician"/>
    <n v="3"/>
    <s v="Married"/>
    <n v="2305"/>
    <n v="6217"/>
    <n v="1"/>
    <x v="1"/>
    <n v="15"/>
    <n v="3"/>
    <n v="3"/>
    <n v="3"/>
    <n v="3"/>
    <n v="3"/>
    <n v="4"/>
    <n v="3"/>
    <n v="2"/>
    <n v="0"/>
    <n v="2"/>
  </r>
  <r>
    <n v="45"/>
    <x v="1"/>
    <s v="Travel_Rarely"/>
    <n v="1005"/>
    <x v="1"/>
    <n v="28"/>
    <n v="2"/>
    <s v="Technical Degree"/>
    <n v="1719"/>
    <n v="4"/>
    <x v="0"/>
    <n v="48"/>
    <n v="2"/>
    <n v="4"/>
    <s v="Research Director"/>
    <n v="2"/>
    <s v="Single"/>
    <n v="16704"/>
    <n v="17119"/>
    <n v="1"/>
    <x v="1"/>
    <n v="11"/>
    <n v="3"/>
    <n v="3"/>
    <n v="0"/>
    <n v="21"/>
    <n v="2"/>
    <n v="3"/>
    <n v="21"/>
    <n v="6"/>
    <n v="8"/>
    <n v="6"/>
  </r>
  <r>
    <n v="32"/>
    <x v="1"/>
    <s v="Travel_Frequently"/>
    <n v="585"/>
    <x v="1"/>
    <n v="10"/>
    <n v="3"/>
    <s v="Life Sciences"/>
    <n v="1720"/>
    <n v="1"/>
    <x v="1"/>
    <n v="56"/>
    <n v="3"/>
    <n v="1"/>
    <s v="Research Scientist"/>
    <n v="3"/>
    <s v="Married"/>
    <n v="3433"/>
    <n v="17360"/>
    <n v="6"/>
    <x v="1"/>
    <n v="13"/>
    <n v="3"/>
    <n v="1"/>
    <n v="1"/>
    <n v="10"/>
    <n v="3"/>
    <n v="2"/>
    <n v="5"/>
    <n v="2"/>
    <n v="1"/>
    <n v="3"/>
  </r>
  <r>
    <n v="31"/>
    <x v="1"/>
    <s v="Travel_Rarely"/>
    <n v="741"/>
    <x v="1"/>
    <n v="2"/>
    <n v="4"/>
    <s v="Life Sciences"/>
    <n v="1721"/>
    <n v="2"/>
    <x v="1"/>
    <n v="69"/>
    <n v="3"/>
    <n v="1"/>
    <s v="Laboratory Technician"/>
    <n v="3"/>
    <s v="Married"/>
    <n v="3477"/>
    <n v="18103"/>
    <n v="1"/>
    <x v="1"/>
    <n v="14"/>
    <n v="3"/>
    <n v="4"/>
    <n v="1"/>
    <n v="6"/>
    <n v="2"/>
    <n v="4"/>
    <n v="5"/>
    <n v="2"/>
    <n v="0"/>
    <n v="3"/>
  </r>
  <r>
    <n v="41"/>
    <x v="1"/>
    <s v="Non-Travel"/>
    <n v="552"/>
    <x v="2"/>
    <n v="4"/>
    <n v="3"/>
    <s v="Human Resources"/>
    <n v="1722"/>
    <n v="3"/>
    <x v="1"/>
    <n v="60"/>
    <n v="1"/>
    <n v="2"/>
    <s v="Human Resources"/>
    <n v="2"/>
    <s v="Married"/>
    <n v="6430"/>
    <n v="20794"/>
    <n v="6"/>
    <x v="1"/>
    <n v="19"/>
    <n v="3"/>
    <n v="2"/>
    <n v="1"/>
    <n v="10"/>
    <n v="4"/>
    <n v="3"/>
    <n v="3"/>
    <n v="2"/>
    <n v="1"/>
    <n v="2"/>
  </r>
  <r>
    <n v="40"/>
    <x v="1"/>
    <s v="Travel_Rarely"/>
    <n v="369"/>
    <x v="1"/>
    <n v="8"/>
    <n v="2"/>
    <s v="Life Sciences"/>
    <n v="1724"/>
    <n v="2"/>
    <x v="0"/>
    <n v="92"/>
    <n v="3"/>
    <n v="2"/>
    <s v="Manufacturing Director"/>
    <n v="1"/>
    <s v="Married"/>
    <n v="6516"/>
    <n v="5041"/>
    <n v="2"/>
    <x v="0"/>
    <n v="16"/>
    <n v="3"/>
    <n v="2"/>
    <n v="1"/>
    <n v="18"/>
    <n v="3"/>
    <n v="3"/>
    <n v="1"/>
    <n v="0"/>
    <n v="0"/>
    <n v="0"/>
  </r>
  <r>
    <n v="24"/>
    <x v="1"/>
    <s v="Travel_Rarely"/>
    <n v="506"/>
    <x v="1"/>
    <n v="29"/>
    <n v="1"/>
    <s v="Medical"/>
    <n v="1725"/>
    <n v="2"/>
    <x v="1"/>
    <n v="91"/>
    <n v="3"/>
    <n v="1"/>
    <s v="Laboratory Technician"/>
    <n v="1"/>
    <s v="Divorced"/>
    <n v="3907"/>
    <n v="3622"/>
    <n v="1"/>
    <x v="1"/>
    <n v="13"/>
    <n v="3"/>
    <n v="2"/>
    <n v="3"/>
    <n v="6"/>
    <n v="2"/>
    <n v="4"/>
    <n v="6"/>
    <n v="2"/>
    <n v="1"/>
    <n v="2"/>
  </r>
  <r>
    <n v="46"/>
    <x v="1"/>
    <s v="Travel_Rarely"/>
    <n v="717"/>
    <x v="1"/>
    <n v="13"/>
    <n v="4"/>
    <s v="Life Sciences"/>
    <n v="1727"/>
    <n v="3"/>
    <x v="1"/>
    <n v="34"/>
    <n v="3"/>
    <n v="2"/>
    <s v="Healthcare Representative"/>
    <n v="2"/>
    <s v="Single"/>
    <n v="5562"/>
    <n v="9697"/>
    <n v="6"/>
    <x v="1"/>
    <n v="14"/>
    <n v="3"/>
    <n v="4"/>
    <n v="0"/>
    <n v="19"/>
    <n v="3"/>
    <n v="3"/>
    <n v="10"/>
    <n v="7"/>
    <n v="0"/>
    <n v="9"/>
  </r>
  <r>
    <n v="35"/>
    <x v="1"/>
    <s v="Travel_Rarely"/>
    <n v="1370"/>
    <x v="1"/>
    <n v="27"/>
    <n v="4"/>
    <s v="Life Sciences"/>
    <n v="1728"/>
    <n v="4"/>
    <x v="1"/>
    <n v="49"/>
    <n v="3"/>
    <n v="2"/>
    <s v="Manufacturing Director"/>
    <n v="3"/>
    <s v="Married"/>
    <n v="6883"/>
    <n v="5151"/>
    <n v="2"/>
    <x v="1"/>
    <n v="16"/>
    <n v="3"/>
    <n v="2"/>
    <n v="1"/>
    <n v="17"/>
    <n v="3"/>
    <n v="3"/>
    <n v="7"/>
    <n v="7"/>
    <n v="0"/>
    <n v="7"/>
  </r>
  <r>
    <n v="30"/>
    <x v="1"/>
    <s v="Travel_Rarely"/>
    <n v="793"/>
    <x v="1"/>
    <n v="16"/>
    <n v="1"/>
    <s v="Life Sciences"/>
    <n v="1729"/>
    <n v="2"/>
    <x v="1"/>
    <n v="33"/>
    <n v="3"/>
    <n v="1"/>
    <s v="Research Scientist"/>
    <n v="4"/>
    <s v="Married"/>
    <n v="2862"/>
    <n v="3811"/>
    <n v="1"/>
    <x v="1"/>
    <n v="12"/>
    <n v="3"/>
    <n v="2"/>
    <n v="1"/>
    <n v="10"/>
    <n v="2"/>
    <n v="2"/>
    <n v="10"/>
    <n v="0"/>
    <n v="0"/>
    <n v="8"/>
  </r>
  <r>
    <n v="47"/>
    <x v="1"/>
    <s v="Non-Travel"/>
    <n v="543"/>
    <x v="0"/>
    <n v="2"/>
    <n v="4"/>
    <s v="Marketing"/>
    <n v="1731"/>
    <n v="3"/>
    <x v="1"/>
    <n v="87"/>
    <n v="3"/>
    <n v="2"/>
    <s v="Sales Executive"/>
    <n v="2"/>
    <s v="Married"/>
    <n v="4978"/>
    <n v="3536"/>
    <n v="7"/>
    <x v="1"/>
    <n v="11"/>
    <n v="3"/>
    <n v="4"/>
    <n v="1"/>
    <n v="4"/>
    <n v="3"/>
    <n v="1"/>
    <n v="1"/>
    <n v="0"/>
    <n v="0"/>
    <n v="0"/>
  </r>
  <r>
    <n v="46"/>
    <x v="1"/>
    <s v="Travel_Rarely"/>
    <n v="1277"/>
    <x v="0"/>
    <n v="2"/>
    <n v="3"/>
    <s v="Life Sciences"/>
    <n v="1732"/>
    <n v="3"/>
    <x v="1"/>
    <n v="74"/>
    <n v="3"/>
    <n v="3"/>
    <s v="Sales Executive"/>
    <n v="4"/>
    <s v="Divorced"/>
    <n v="10368"/>
    <n v="5596"/>
    <n v="4"/>
    <x v="0"/>
    <n v="12"/>
    <n v="3"/>
    <n v="2"/>
    <n v="1"/>
    <n v="13"/>
    <n v="5"/>
    <n v="2"/>
    <n v="10"/>
    <n v="6"/>
    <n v="0"/>
    <n v="3"/>
  </r>
  <r>
    <n v="36"/>
    <x v="0"/>
    <s v="Travel_Rarely"/>
    <n v="1456"/>
    <x v="0"/>
    <n v="13"/>
    <n v="5"/>
    <s v="Marketing"/>
    <n v="1733"/>
    <n v="2"/>
    <x v="1"/>
    <n v="96"/>
    <n v="2"/>
    <n v="2"/>
    <s v="Sales Executive"/>
    <n v="1"/>
    <s v="Divorced"/>
    <n v="6134"/>
    <n v="8658"/>
    <n v="5"/>
    <x v="0"/>
    <n v="13"/>
    <n v="3"/>
    <n v="2"/>
    <n v="3"/>
    <n v="16"/>
    <n v="3"/>
    <n v="3"/>
    <n v="2"/>
    <n v="2"/>
    <n v="2"/>
    <n v="2"/>
  </r>
  <r>
    <n v="32"/>
    <x v="0"/>
    <s v="Travel_Rarely"/>
    <n v="964"/>
    <x v="0"/>
    <n v="1"/>
    <n v="2"/>
    <s v="Life Sciences"/>
    <n v="1734"/>
    <n v="1"/>
    <x v="1"/>
    <n v="34"/>
    <n v="1"/>
    <n v="2"/>
    <s v="Sales Executive"/>
    <n v="2"/>
    <s v="Single"/>
    <n v="6735"/>
    <n v="12147"/>
    <n v="6"/>
    <x v="1"/>
    <n v="15"/>
    <n v="3"/>
    <n v="2"/>
    <n v="0"/>
    <n v="10"/>
    <n v="2"/>
    <n v="3"/>
    <n v="0"/>
    <n v="0"/>
    <n v="0"/>
    <n v="0"/>
  </r>
  <r>
    <n v="23"/>
    <x v="1"/>
    <s v="Travel_Rarely"/>
    <n v="160"/>
    <x v="1"/>
    <n v="4"/>
    <n v="1"/>
    <s v="Medical"/>
    <n v="1735"/>
    <n v="3"/>
    <x v="0"/>
    <n v="51"/>
    <n v="3"/>
    <n v="1"/>
    <s v="Laboratory Technician"/>
    <n v="2"/>
    <s v="Single"/>
    <n v="3295"/>
    <n v="12862"/>
    <n v="1"/>
    <x v="1"/>
    <n v="13"/>
    <n v="3"/>
    <n v="3"/>
    <n v="0"/>
    <n v="3"/>
    <n v="3"/>
    <n v="1"/>
    <n v="3"/>
    <n v="2"/>
    <n v="1"/>
    <n v="2"/>
  </r>
  <r>
    <n v="31"/>
    <x v="1"/>
    <s v="Travel_Frequently"/>
    <n v="163"/>
    <x v="1"/>
    <n v="24"/>
    <n v="1"/>
    <s v="Technical Degree"/>
    <n v="1736"/>
    <n v="4"/>
    <x v="0"/>
    <n v="30"/>
    <n v="3"/>
    <n v="2"/>
    <s v="Manufacturing Director"/>
    <n v="4"/>
    <s v="Single"/>
    <n v="5238"/>
    <n v="6670"/>
    <n v="2"/>
    <x v="1"/>
    <n v="20"/>
    <n v="4"/>
    <n v="4"/>
    <n v="0"/>
    <n v="9"/>
    <n v="3"/>
    <n v="2"/>
    <n v="5"/>
    <n v="4"/>
    <n v="1"/>
    <n v="4"/>
  </r>
  <r>
    <n v="39"/>
    <x v="1"/>
    <s v="Non-Travel"/>
    <n v="792"/>
    <x v="1"/>
    <n v="1"/>
    <n v="3"/>
    <s v="Life Sciences"/>
    <n v="1737"/>
    <n v="4"/>
    <x v="1"/>
    <n v="77"/>
    <n v="3"/>
    <n v="2"/>
    <s v="Laboratory Technician"/>
    <n v="4"/>
    <s v="Married"/>
    <n v="6472"/>
    <n v="8989"/>
    <n v="1"/>
    <x v="0"/>
    <n v="15"/>
    <n v="3"/>
    <n v="4"/>
    <n v="1"/>
    <n v="9"/>
    <n v="2"/>
    <n v="3"/>
    <n v="9"/>
    <n v="8"/>
    <n v="5"/>
    <n v="8"/>
  </r>
  <r>
    <n v="32"/>
    <x v="1"/>
    <s v="Travel_Rarely"/>
    <n v="371"/>
    <x v="0"/>
    <n v="19"/>
    <n v="3"/>
    <s v="Life Sciences"/>
    <n v="1739"/>
    <n v="4"/>
    <x v="1"/>
    <n v="80"/>
    <n v="1"/>
    <n v="3"/>
    <s v="Sales Executive"/>
    <n v="3"/>
    <s v="Married"/>
    <n v="9610"/>
    <n v="3840"/>
    <n v="3"/>
    <x v="1"/>
    <n v="13"/>
    <n v="3"/>
    <n v="3"/>
    <n v="1"/>
    <n v="10"/>
    <n v="2"/>
    <n v="1"/>
    <n v="4"/>
    <n v="3"/>
    <n v="0"/>
    <n v="2"/>
  </r>
  <r>
    <n v="40"/>
    <x v="1"/>
    <s v="Travel_Rarely"/>
    <n v="611"/>
    <x v="0"/>
    <n v="7"/>
    <n v="4"/>
    <s v="Medical"/>
    <n v="1740"/>
    <n v="2"/>
    <x v="1"/>
    <n v="88"/>
    <n v="3"/>
    <n v="5"/>
    <s v="Manager"/>
    <n v="2"/>
    <s v="Single"/>
    <n v="19833"/>
    <n v="4349"/>
    <n v="1"/>
    <x v="1"/>
    <n v="14"/>
    <n v="3"/>
    <n v="2"/>
    <n v="0"/>
    <n v="21"/>
    <n v="3"/>
    <n v="2"/>
    <n v="21"/>
    <n v="8"/>
    <n v="12"/>
    <n v="8"/>
  </r>
  <r>
    <n v="45"/>
    <x v="1"/>
    <s v="Travel_Rarely"/>
    <n v="176"/>
    <x v="2"/>
    <n v="4"/>
    <n v="3"/>
    <s v="Life Sciences"/>
    <n v="1744"/>
    <n v="3"/>
    <x v="0"/>
    <n v="56"/>
    <n v="1"/>
    <n v="3"/>
    <s v="Human Resources"/>
    <n v="3"/>
    <s v="Married"/>
    <n v="9756"/>
    <n v="6595"/>
    <n v="4"/>
    <x v="1"/>
    <n v="21"/>
    <n v="4"/>
    <n v="3"/>
    <n v="2"/>
    <n v="9"/>
    <n v="2"/>
    <n v="4"/>
    <n v="5"/>
    <n v="0"/>
    <n v="0"/>
    <n v="3"/>
  </r>
  <r>
    <n v="30"/>
    <x v="1"/>
    <s v="Travel_Frequently"/>
    <n v="1312"/>
    <x v="1"/>
    <n v="2"/>
    <n v="4"/>
    <s v="Technical Degree"/>
    <n v="1745"/>
    <n v="4"/>
    <x v="0"/>
    <n v="78"/>
    <n v="2"/>
    <n v="1"/>
    <s v="Research Scientist"/>
    <n v="1"/>
    <s v="Single"/>
    <n v="4968"/>
    <n v="26427"/>
    <n v="0"/>
    <x v="1"/>
    <n v="16"/>
    <n v="3"/>
    <n v="4"/>
    <n v="0"/>
    <n v="10"/>
    <n v="2"/>
    <n v="3"/>
    <n v="9"/>
    <n v="7"/>
    <n v="0"/>
    <n v="7"/>
  </r>
  <r>
    <n v="24"/>
    <x v="1"/>
    <s v="Travel_Frequently"/>
    <n v="897"/>
    <x v="2"/>
    <n v="10"/>
    <n v="3"/>
    <s v="Medical"/>
    <n v="1746"/>
    <n v="1"/>
    <x v="1"/>
    <n v="59"/>
    <n v="3"/>
    <n v="1"/>
    <s v="Human Resources"/>
    <n v="4"/>
    <s v="Married"/>
    <n v="2145"/>
    <n v="2097"/>
    <n v="0"/>
    <x v="1"/>
    <n v="14"/>
    <n v="3"/>
    <n v="4"/>
    <n v="1"/>
    <n v="3"/>
    <n v="2"/>
    <n v="3"/>
    <n v="2"/>
    <n v="2"/>
    <n v="2"/>
    <n v="1"/>
  </r>
  <r>
    <n v="30"/>
    <x v="0"/>
    <s v="Travel_Frequently"/>
    <n v="600"/>
    <x v="2"/>
    <n v="8"/>
    <n v="3"/>
    <s v="Human Resources"/>
    <n v="1747"/>
    <n v="3"/>
    <x v="0"/>
    <n v="66"/>
    <n v="2"/>
    <n v="1"/>
    <s v="Human Resources"/>
    <n v="4"/>
    <s v="Divorced"/>
    <n v="2180"/>
    <n v="9732"/>
    <n v="6"/>
    <x v="1"/>
    <n v="11"/>
    <n v="3"/>
    <n v="3"/>
    <n v="1"/>
    <n v="6"/>
    <n v="0"/>
    <n v="2"/>
    <n v="4"/>
    <n v="2"/>
    <n v="1"/>
    <n v="2"/>
  </r>
  <r>
    <n v="31"/>
    <x v="1"/>
    <s v="Travel_Rarely"/>
    <n v="1003"/>
    <x v="0"/>
    <n v="5"/>
    <n v="3"/>
    <s v="Technical Degree"/>
    <n v="1749"/>
    <n v="1"/>
    <x v="1"/>
    <n v="51"/>
    <n v="3"/>
    <n v="2"/>
    <s v="Sales Executive"/>
    <n v="3"/>
    <s v="Married"/>
    <n v="8346"/>
    <n v="20943"/>
    <n v="1"/>
    <x v="1"/>
    <n v="19"/>
    <n v="3"/>
    <n v="3"/>
    <n v="1"/>
    <n v="6"/>
    <n v="3"/>
    <n v="3"/>
    <n v="5"/>
    <n v="2"/>
    <n v="0"/>
    <n v="2"/>
  </r>
  <r>
    <n v="27"/>
    <x v="1"/>
    <s v="Travel_Rarely"/>
    <n v="1054"/>
    <x v="1"/>
    <n v="8"/>
    <n v="3"/>
    <s v="Medical"/>
    <n v="1751"/>
    <n v="3"/>
    <x v="0"/>
    <n v="67"/>
    <n v="3"/>
    <n v="1"/>
    <s v="Research Scientist"/>
    <n v="4"/>
    <s v="Single"/>
    <n v="3445"/>
    <n v="6152"/>
    <n v="1"/>
    <x v="1"/>
    <n v="11"/>
    <n v="3"/>
    <n v="3"/>
    <n v="0"/>
    <n v="6"/>
    <n v="5"/>
    <n v="2"/>
    <n v="6"/>
    <n v="2"/>
    <n v="1"/>
    <n v="4"/>
  </r>
  <r>
    <n v="29"/>
    <x v="0"/>
    <s v="Travel_Rarely"/>
    <n v="428"/>
    <x v="0"/>
    <n v="9"/>
    <n v="3"/>
    <s v="Marketing"/>
    <n v="1752"/>
    <n v="2"/>
    <x v="0"/>
    <n v="52"/>
    <n v="1"/>
    <n v="1"/>
    <s v="Sales Representative"/>
    <n v="2"/>
    <s v="Single"/>
    <n v="2760"/>
    <n v="14630"/>
    <n v="1"/>
    <x v="1"/>
    <n v="13"/>
    <n v="3"/>
    <n v="3"/>
    <n v="0"/>
    <n v="2"/>
    <n v="3"/>
    <n v="3"/>
    <n v="2"/>
    <n v="2"/>
    <n v="2"/>
    <n v="2"/>
  </r>
  <r>
    <n v="29"/>
    <x v="1"/>
    <s v="Travel_Frequently"/>
    <n v="461"/>
    <x v="1"/>
    <n v="1"/>
    <n v="3"/>
    <s v="Life Sciences"/>
    <n v="1753"/>
    <n v="4"/>
    <x v="1"/>
    <n v="70"/>
    <n v="4"/>
    <n v="2"/>
    <s v="Healthcare Representative"/>
    <n v="3"/>
    <s v="Single"/>
    <n v="6294"/>
    <n v="23060"/>
    <n v="8"/>
    <x v="0"/>
    <n v="12"/>
    <n v="3"/>
    <n v="4"/>
    <n v="0"/>
    <n v="10"/>
    <n v="5"/>
    <n v="4"/>
    <n v="3"/>
    <n v="2"/>
    <n v="0"/>
    <n v="2"/>
  </r>
  <r>
    <n v="30"/>
    <x v="1"/>
    <s v="Travel_Rarely"/>
    <n v="979"/>
    <x v="0"/>
    <n v="15"/>
    <n v="2"/>
    <s v="Marketing"/>
    <n v="1754"/>
    <n v="3"/>
    <x v="1"/>
    <n v="94"/>
    <n v="2"/>
    <n v="3"/>
    <s v="Sales Executive"/>
    <n v="1"/>
    <s v="Divorced"/>
    <n v="7140"/>
    <n v="3088"/>
    <n v="2"/>
    <x v="1"/>
    <n v="11"/>
    <n v="3"/>
    <n v="1"/>
    <n v="1"/>
    <n v="12"/>
    <n v="2"/>
    <n v="3"/>
    <n v="7"/>
    <n v="7"/>
    <n v="1"/>
    <n v="7"/>
  </r>
  <r>
    <n v="34"/>
    <x v="1"/>
    <s v="Travel_Rarely"/>
    <n v="181"/>
    <x v="1"/>
    <n v="2"/>
    <n v="4"/>
    <s v="Medical"/>
    <n v="1755"/>
    <n v="4"/>
    <x v="1"/>
    <n v="97"/>
    <n v="4"/>
    <n v="1"/>
    <s v="Research Scientist"/>
    <n v="4"/>
    <s v="Married"/>
    <n v="2932"/>
    <n v="5586"/>
    <n v="0"/>
    <x v="0"/>
    <n v="14"/>
    <n v="3"/>
    <n v="1"/>
    <n v="3"/>
    <n v="6"/>
    <n v="3"/>
    <n v="3"/>
    <n v="5"/>
    <n v="0"/>
    <n v="1"/>
    <n v="2"/>
  </r>
  <r>
    <n v="33"/>
    <x v="1"/>
    <s v="Non-Travel"/>
    <n v="1283"/>
    <x v="0"/>
    <n v="2"/>
    <n v="3"/>
    <s v="Marketing"/>
    <n v="1756"/>
    <n v="4"/>
    <x v="0"/>
    <n v="62"/>
    <n v="3"/>
    <n v="2"/>
    <s v="Sales Executive"/>
    <n v="2"/>
    <s v="Single"/>
    <n v="5147"/>
    <n v="10697"/>
    <n v="8"/>
    <x v="1"/>
    <n v="15"/>
    <n v="3"/>
    <n v="4"/>
    <n v="0"/>
    <n v="13"/>
    <n v="2"/>
    <n v="2"/>
    <n v="11"/>
    <n v="7"/>
    <n v="1"/>
    <n v="7"/>
  </r>
  <r>
    <n v="49"/>
    <x v="1"/>
    <s v="Travel_Rarely"/>
    <n v="1313"/>
    <x v="0"/>
    <n v="11"/>
    <n v="4"/>
    <s v="Marketing"/>
    <n v="1757"/>
    <n v="4"/>
    <x v="0"/>
    <n v="80"/>
    <n v="3"/>
    <n v="2"/>
    <s v="Sales Executive"/>
    <n v="4"/>
    <s v="Single"/>
    <n v="4507"/>
    <n v="8191"/>
    <n v="3"/>
    <x v="1"/>
    <n v="12"/>
    <n v="3"/>
    <n v="3"/>
    <n v="0"/>
    <n v="8"/>
    <n v="1"/>
    <n v="4"/>
    <n v="5"/>
    <n v="1"/>
    <n v="0"/>
    <n v="4"/>
  </r>
  <r>
    <n v="33"/>
    <x v="0"/>
    <s v="Travel_Rarely"/>
    <n v="211"/>
    <x v="0"/>
    <n v="16"/>
    <n v="3"/>
    <s v="Life Sciences"/>
    <n v="1758"/>
    <n v="1"/>
    <x v="0"/>
    <n v="74"/>
    <n v="3"/>
    <n v="3"/>
    <s v="Sales Executive"/>
    <n v="1"/>
    <s v="Single"/>
    <n v="8564"/>
    <n v="10092"/>
    <n v="2"/>
    <x v="0"/>
    <n v="20"/>
    <n v="4"/>
    <n v="3"/>
    <n v="0"/>
    <n v="11"/>
    <n v="2"/>
    <n v="2"/>
    <n v="0"/>
    <n v="0"/>
    <n v="0"/>
    <n v="0"/>
  </r>
  <r>
    <n v="38"/>
    <x v="1"/>
    <s v="Travel_Frequently"/>
    <n v="594"/>
    <x v="1"/>
    <n v="2"/>
    <n v="2"/>
    <s v="Medical"/>
    <n v="1760"/>
    <n v="3"/>
    <x v="0"/>
    <n v="75"/>
    <n v="2"/>
    <n v="1"/>
    <s v="Laboratory Technician"/>
    <n v="2"/>
    <s v="Married"/>
    <n v="2468"/>
    <n v="15963"/>
    <n v="4"/>
    <x v="1"/>
    <n v="14"/>
    <n v="3"/>
    <n v="2"/>
    <n v="1"/>
    <n v="9"/>
    <n v="4"/>
    <n v="2"/>
    <n v="6"/>
    <n v="1"/>
    <n v="0"/>
    <n v="5"/>
  </r>
  <r>
    <n v="31"/>
    <x v="0"/>
    <s v="Travel_Rarely"/>
    <n v="1079"/>
    <x v="0"/>
    <n v="16"/>
    <n v="4"/>
    <s v="Marketing"/>
    <n v="1761"/>
    <n v="1"/>
    <x v="1"/>
    <n v="70"/>
    <n v="3"/>
    <n v="3"/>
    <s v="Sales Executive"/>
    <n v="3"/>
    <s v="Married"/>
    <n v="8161"/>
    <n v="19002"/>
    <n v="2"/>
    <x v="1"/>
    <n v="13"/>
    <n v="3"/>
    <n v="1"/>
    <n v="3"/>
    <n v="10"/>
    <n v="2"/>
    <n v="3"/>
    <n v="1"/>
    <n v="0"/>
    <n v="0"/>
    <n v="0"/>
  </r>
  <r>
    <n v="29"/>
    <x v="1"/>
    <s v="Travel_Rarely"/>
    <n v="590"/>
    <x v="1"/>
    <n v="4"/>
    <n v="3"/>
    <s v="Technical Degree"/>
    <n v="1762"/>
    <n v="4"/>
    <x v="0"/>
    <n v="91"/>
    <n v="2"/>
    <n v="1"/>
    <s v="Research Scientist"/>
    <n v="1"/>
    <s v="Divorced"/>
    <n v="2109"/>
    <n v="10007"/>
    <n v="1"/>
    <x v="1"/>
    <n v="13"/>
    <n v="3"/>
    <n v="3"/>
    <n v="1"/>
    <n v="1"/>
    <n v="2"/>
    <n v="3"/>
    <n v="1"/>
    <n v="0"/>
    <n v="0"/>
    <n v="0"/>
  </r>
  <r>
    <n v="30"/>
    <x v="1"/>
    <s v="Travel_Rarely"/>
    <n v="305"/>
    <x v="1"/>
    <n v="16"/>
    <n v="3"/>
    <s v="Life Sciences"/>
    <n v="1763"/>
    <n v="3"/>
    <x v="1"/>
    <n v="58"/>
    <n v="4"/>
    <n v="2"/>
    <s v="Healthcare Representative"/>
    <n v="3"/>
    <s v="Married"/>
    <n v="5294"/>
    <n v="9128"/>
    <n v="3"/>
    <x v="1"/>
    <n v="16"/>
    <n v="3"/>
    <n v="3"/>
    <n v="1"/>
    <n v="10"/>
    <n v="3"/>
    <n v="3"/>
    <n v="7"/>
    <n v="0"/>
    <n v="1"/>
    <n v="7"/>
  </r>
  <r>
    <n v="32"/>
    <x v="1"/>
    <s v="Non-Travel"/>
    <n v="953"/>
    <x v="1"/>
    <n v="5"/>
    <n v="4"/>
    <s v="Technical Degree"/>
    <n v="1764"/>
    <n v="2"/>
    <x v="1"/>
    <n v="65"/>
    <n v="3"/>
    <n v="1"/>
    <s v="Research Scientist"/>
    <n v="2"/>
    <s v="Single"/>
    <n v="2718"/>
    <n v="17674"/>
    <n v="2"/>
    <x v="1"/>
    <n v="14"/>
    <n v="3"/>
    <n v="2"/>
    <n v="0"/>
    <n v="12"/>
    <n v="3"/>
    <n v="3"/>
    <n v="7"/>
    <n v="7"/>
    <n v="0"/>
    <n v="7"/>
  </r>
  <r>
    <n v="38"/>
    <x v="1"/>
    <s v="Travel_Rarely"/>
    <n v="833"/>
    <x v="1"/>
    <n v="18"/>
    <n v="3"/>
    <s v="Medical"/>
    <n v="1766"/>
    <n v="2"/>
    <x v="1"/>
    <n v="60"/>
    <n v="1"/>
    <n v="2"/>
    <s v="Healthcare Representative"/>
    <n v="4"/>
    <s v="Married"/>
    <n v="5811"/>
    <n v="24539"/>
    <n v="3"/>
    <x v="0"/>
    <n v="16"/>
    <n v="3"/>
    <n v="3"/>
    <n v="1"/>
    <n v="15"/>
    <n v="2"/>
    <n v="3"/>
    <n v="1"/>
    <n v="0"/>
    <n v="1"/>
    <n v="0"/>
  </r>
  <r>
    <n v="43"/>
    <x v="0"/>
    <s v="Travel_Frequently"/>
    <n v="807"/>
    <x v="1"/>
    <n v="17"/>
    <n v="3"/>
    <s v="Technical Degree"/>
    <n v="1767"/>
    <n v="3"/>
    <x v="1"/>
    <n v="38"/>
    <n v="2"/>
    <n v="1"/>
    <s v="Research Scientist"/>
    <n v="3"/>
    <s v="Married"/>
    <n v="2437"/>
    <n v="15587"/>
    <n v="9"/>
    <x v="0"/>
    <n v="16"/>
    <n v="3"/>
    <n v="4"/>
    <n v="1"/>
    <n v="6"/>
    <n v="4"/>
    <n v="3"/>
    <n v="1"/>
    <n v="0"/>
    <n v="0"/>
    <n v="0"/>
  </r>
  <r>
    <n v="42"/>
    <x v="1"/>
    <s v="Travel_Rarely"/>
    <n v="855"/>
    <x v="1"/>
    <n v="12"/>
    <n v="3"/>
    <s v="Medical"/>
    <n v="1768"/>
    <n v="2"/>
    <x v="1"/>
    <n v="57"/>
    <n v="3"/>
    <n v="1"/>
    <s v="Laboratory Technician"/>
    <n v="2"/>
    <s v="Divorced"/>
    <n v="2766"/>
    <n v="8952"/>
    <n v="8"/>
    <x v="1"/>
    <n v="22"/>
    <n v="4"/>
    <n v="2"/>
    <n v="3"/>
    <n v="7"/>
    <n v="6"/>
    <n v="2"/>
    <n v="5"/>
    <n v="3"/>
    <n v="0"/>
    <n v="4"/>
  </r>
  <r>
    <n v="55"/>
    <x v="1"/>
    <s v="Travel_Rarely"/>
    <n v="478"/>
    <x v="1"/>
    <n v="2"/>
    <n v="3"/>
    <s v="Medical"/>
    <n v="1770"/>
    <n v="3"/>
    <x v="1"/>
    <n v="60"/>
    <n v="2"/>
    <n v="5"/>
    <s v="Research Director"/>
    <n v="1"/>
    <s v="Married"/>
    <n v="19038"/>
    <n v="19805"/>
    <n v="8"/>
    <x v="1"/>
    <n v="12"/>
    <n v="3"/>
    <n v="2"/>
    <n v="3"/>
    <n v="34"/>
    <n v="2"/>
    <n v="3"/>
    <n v="1"/>
    <n v="0"/>
    <n v="0"/>
    <n v="0"/>
  </r>
  <r>
    <n v="33"/>
    <x v="1"/>
    <s v="Non-Travel"/>
    <n v="775"/>
    <x v="1"/>
    <n v="4"/>
    <n v="3"/>
    <s v="Technical Degree"/>
    <n v="1771"/>
    <n v="4"/>
    <x v="1"/>
    <n v="90"/>
    <n v="3"/>
    <n v="2"/>
    <s v="Research Scientist"/>
    <n v="2"/>
    <s v="Divorced"/>
    <n v="3055"/>
    <n v="6194"/>
    <n v="5"/>
    <x v="1"/>
    <n v="15"/>
    <n v="3"/>
    <n v="4"/>
    <n v="2"/>
    <n v="11"/>
    <n v="2"/>
    <n v="2"/>
    <n v="9"/>
    <n v="8"/>
    <n v="1"/>
    <n v="7"/>
  </r>
  <r>
    <n v="41"/>
    <x v="1"/>
    <s v="Travel_Rarely"/>
    <n v="548"/>
    <x v="1"/>
    <n v="9"/>
    <n v="4"/>
    <s v="Life Sciences"/>
    <n v="1772"/>
    <n v="3"/>
    <x v="1"/>
    <n v="94"/>
    <n v="3"/>
    <n v="1"/>
    <s v="Laboratory Technician"/>
    <n v="1"/>
    <s v="Divorced"/>
    <n v="2289"/>
    <n v="20520"/>
    <n v="1"/>
    <x v="1"/>
    <n v="20"/>
    <n v="4"/>
    <n v="2"/>
    <n v="2"/>
    <n v="5"/>
    <n v="2"/>
    <n v="3"/>
    <n v="5"/>
    <n v="3"/>
    <n v="0"/>
    <n v="4"/>
  </r>
  <r>
    <n v="34"/>
    <x v="1"/>
    <s v="Non-Travel"/>
    <n v="1375"/>
    <x v="0"/>
    <n v="10"/>
    <n v="3"/>
    <s v="Life Sciences"/>
    <n v="1774"/>
    <n v="4"/>
    <x v="1"/>
    <n v="87"/>
    <n v="3"/>
    <n v="2"/>
    <s v="Sales Executive"/>
    <n v="3"/>
    <s v="Divorced"/>
    <n v="4001"/>
    <n v="12313"/>
    <n v="1"/>
    <x v="0"/>
    <n v="14"/>
    <n v="3"/>
    <n v="3"/>
    <n v="1"/>
    <n v="15"/>
    <n v="3"/>
    <n v="3"/>
    <n v="15"/>
    <n v="14"/>
    <n v="0"/>
    <n v="7"/>
  </r>
  <r>
    <n v="53"/>
    <x v="1"/>
    <s v="Non-Travel"/>
    <n v="661"/>
    <x v="1"/>
    <n v="1"/>
    <n v="4"/>
    <s v="Medical"/>
    <n v="1775"/>
    <n v="1"/>
    <x v="0"/>
    <n v="60"/>
    <n v="2"/>
    <n v="4"/>
    <s v="Manufacturing Director"/>
    <n v="3"/>
    <s v="Married"/>
    <n v="12965"/>
    <n v="22308"/>
    <n v="4"/>
    <x v="0"/>
    <n v="20"/>
    <n v="4"/>
    <n v="4"/>
    <n v="3"/>
    <n v="27"/>
    <n v="2"/>
    <n v="2"/>
    <n v="3"/>
    <n v="2"/>
    <n v="0"/>
    <n v="2"/>
  </r>
  <r>
    <n v="43"/>
    <x v="1"/>
    <s v="Travel_Rarely"/>
    <n v="244"/>
    <x v="2"/>
    <n v="2"/>
    <n v="3"/>
    <s v="Life Sciences"/>
    <n v="1778"/>
    <n v="2"/>
    <x v="1"/>
    <n v="97"/>
    <n v="3"/>
    <n v="1"/>
    <s v="Human Resources"/>
    <n v="4"/>
    <s v="Single"/>
    <n v="3539"/>
    <n v="5033"/>
    <n v="0"/>
    <x v="1"/>
    <n v="13"/>
    <n v="3"/>
    <n v="2"/>
    <n v="0"/>
    <n v="10"/>
    <n v="5"/>
    <n v="3"/>
    <n v="9"/>
    <n v="7"/>
    <n v="1"/>
    <n v="8"/>
  </r>
  <r>
    <n v="34"/>
    <x v="1"/>
    <s v="Travel_Rarely"/>
    <n v="511"/>
    <x v="0"/>
    <n v="3"/>
    <n v="2"/>
    <s v="Life Sciences"/>
    <n v="1779"/>
    <n v="4"/>
    <x v="0"/>
    <n v="32"/>
    <n v="1"/>
    <n v="2"/>
    <s v="Sales Executive"/>
    <n v="4"/>
    <s v="Single"/>
    <n v="6029"/>
    <n v="25353"/>
    <n v="5"/>
    <x v="1"/>
    <n v="12"/>
    <n v="3"/>
    <n v="1"/>
    <n v="0"/>
    <n v="6"/>
    <n v="3"/>
    <n v="3"/>
    <n v="2"/>
    <n v="2"/>
    <n v="2"/>
    <n v="2"/>
  </r>
  <r>
    <n v="21"/>
    <x v="0"/>
    <s v="Travel_Rarely"/>
    <n v="337"/>
    <x v="0"/>
    <n v="7"/>
    <n v="1"/>
    <s v="Marketing"/>
    <n v="1780"/>
    <n v="2"/>
    <x v="1"/>
    <n v="31"/>
    <n v="3"/>
    <n v="1"/>
    <s v="Sales Representative"/>
    <n v="2"/>
    <s v="Single"/>
    <n v="2679"/>
    <n v="4567"/>
    <n v="1"/>
    <x v="1"/>
    <n v="13"/>
    <n v="3"/>
    <n v="2"/>
    <n v="0"/>
    <n v="1"/>
    <n v="3"/>
    <n v="3"/>
    <n v="1"/>
    <n v="0"/>
    <n v="1"/>
    <n v="0"/>
  </r>
  <r>
    <n v="38"/>
    <x v="1"/>
    <s v="Travel_Rarely"/>
    <n v="1153"/>
    <x v="1"/>
    <n v="6"/>
    <n v="2"/>
    <s v="Other"/>
    <n v="1782"/>
    <n v="4"/>
    <x v="0"/>
    <n v="40"/>
    <n v="2"/>
    <n v="1"/>
    <s v="Laboratory Technician"/>
    <n v="3"/>
    <s v="Married"/>
    <n v="3702"/>
    <n v="16376"/>
    <n v="1"/>
    <x v="1"/>
    <n v="11"/>
    <n v="3"/>
    <n v="2"/>
    <n v="1"/>
    <n v="5"/>
    <n v="3"/>
    <n v="3"/>
    <n v="5"/>
    <n v="4"/>
    <n v="0"/>
    <n v="4"/>
  </r>
  <r>
    <n v="22"/>
    <x v="0"/>
    <s v="Travel_Rarely"/>
    <n v="1294"/>
    <x v="1"/>
    <n v="8"/>
    <n v="1"/>
    <s v="Medical"/>
    <n v="1783"/>
    <n v="3"/>
    <x v="0"/>
    <n v="79"/>
    <n v="3"/>
    <n v="1"/>
    <s v="Laboratory Technician"/>
    <n v="1"/>
    <s v="Married"/>
    <n v="2398"/>
    <n v="15999"/>
    <n v="1"/>
    <x v="0"/>
    <n v="17"/>
    <n v="3"/>
    <n v="3"/>
    <n v="0"/>
    <n v="1"/>
    <n v="6"/>
    <n v="3"/>
    <n v="1"/>
    <n v="0"/>
    <n v="0"/>
    <n v="0"/>
  </r>
  <r>
    <n v="31"/>
    <x v="1"/>
    <s v="Travel_Rarely"/>
    <n v="196"/>
    <x v="0"/>
    <n v="29"/>
    <n v="4"/>
    <s v="Marketing"/>
    <n v="1784"/>
    <n v="1"/>
    <x v="0"/>
    <n v="91"/>
    <n v="2"/>
    <n v="2"/>
    <s v="Sales Executive"/>
    <n v="4"/>
    <s v="Married"/>
    <n v="5468"/>
    <n v="13402"/>
    <n v="1"/>
    <x v="1"/>
    <n v="14"/>
    <n v="3"/>
    <n v="1"/>
    <n v="2"/>
    <n v="13"/>
    <n v="3"/>
    <n v="3"/>
    <n v="12"/>
    <n v="7"/>
    <n v="5"/>
    <n v="7"/>
  </r>
  <r>
    <n v="51"/>
    <x v="1"/>
    <s v="Travel_Rarely"/>
    <n v="942"/>
    <x v="1"/>
    <n v="3"/>
    <n v="3"/>
    <s v="Technical Degree"/>
    <n v="1786"/>
    <n v="1"/>
    <x v="0"/>
    <n v="53"/>
    <n v="3"/>
    <n v="3"/>
    <s v="Manager"/>
    <n v="3"/>
    <s v="Married"/>
    <n v="13116"/>
    <n v="22984"/>
    <n v="2"/>
    <x v="1"/>
    <n v="11"/>
    <n v="3"/>
    <n v="4"/>
    <n v="0"/>
    <n v="15"/>
    <n v="2"/>
    <n v="3"/>
    <n v="2"/>
    <n v="2"/>
    <n v="2"/>
    <n v="2"/>
  </r>
  <r>
    <n v="37"/>
    <x v="1"/>
    <s v="Travel_Rarely"/>
    <n v="589"/>
    <x v="0"/>
    <n v="9"/>
    <n v="2"/>
    <s v="Marketing"/>
    <n v="1787"/>
    <n v="2"/>
    <x v="1"/>
    <n v="46"/>
    <n v="2"/>
    <n v="2"/>
    <s v="Sales Executive"/>
    <n v="2"/>
    <s v="Married"/>
    <n v="4189"/>
    <n v="8800"/>
    <n v="1"/>
    <x v="1"/>
    <n v="14"/>
    <n v="3"/>
    <n v="1"/>
    <n v="2"/>
    <n v="5"/>
    <n v="2"/>
    <n v="3"/>
    <n v="5"/>
    <n v="2"/>
    <n v="0"/>
    <n v="3"/>
  </r>
  <r>
    <n v="46"/>
    <x v="1"/>
    <s v="Travel_Rarely"/>
    <n v="734"/>
    <x v="1"/>
    <n v="2"/>
    <n v="4"/>
    <s v="Medical"/>
    <n v="1789"/>
    <n v="3"/>
    <x v="1"/>
    <n v="46"/>
    <n v="3"/>
    <n v="5"/>
    <s v="Research Director"/>
    <n v="4"/>
    <s v="Divorced"/>
    <n v="19328"/>
    <n v="14218"/>
    <n v="7"/>
    <x v="0"/>
    <n v="17"/>
    <n v="3"/>
    <n v="3"/>
    <n v="1"/>
    <n v="24"/>
    <n v="3"/>
    <n v="3"/>
    <n v="2"/>
    <n v="1"/>
    <n v="2"/>
    <n v="2"/>
  </r>
  <r>
    <n v="36"/>
    <x v="1"/>
    <s v="Travel_Rarely"/>
    <n v="1383"/>
    <x v="1"/>
    <n v="10"/>
    <n v="3"/>
    <s v="Life Sciences"/>
    <n v="1790"/>
    <n v="4"/>
    <x v="1"/>
    <n v="90"/>
    <n v="3"/>
    <n v="3"/>
    <s v="Healthcare Representative"/>
    <n v="1"/>
    <s v="Married"/>
    <n v="8321"/>
    <n v="25949"/>
    <n v="7"/>
    <x v="0"/>
    <n v="13"/>
    <n v="3"/>
    <n v="4"/>
    <n v="1"/>
    <n v="15"/>
    <n v="1"/>
    <n v="3"/>
    <n v="12"/>
    <n v="8"/>
    <n v="5"/>
    <n v="7"/>
  </r>
  <r>
    <n v="44"/>
    <x v="0"/>
    <s v="Travel_Frequently"/>
    <n v="429"/>
    <x v="1"/>
    <n v="1"/>
    <n v="2"/>
    <s v="Medical"/>
    <n v="1792"/>
    <n v="3"/>
    <x v="1"/>
    <n v="99"/>
    <n v="3"/>
    <n v="1"/>
    <s v="Research Scientist"/>
    <n v="2"/>
    <s v="Divorced"/>
    <n v="2342"/>
    <n v="11092"/>
    <n v="1"/>
    <x v="0"/>
    <n v="12"/>
    <n v="3"/>
    <n v="3"/>
    <n v="3"/>
    <n v="6"/>
    <n v="2"/>
    <n v="2"/>
    <n v="5"/>
    <n v="3"/>
    <n v="2"/>
    <n v="3"/>
  </r>
  <r>
    <n v="37"/>
    <x v="1"/>
    <s v="Travel_Rarely"/>
    <n v="1239"/>
    <x v="2"/>
    <n v="8"/>
    <n v="2"/>
    <s v="Other"/>
    <n v="1794"/>
    <n v="3"/>
    <x v="1"/>
    <n v="89"/>
    <n v="3"/>
    <n v="2"/>
    <s v="Human Resources"/>
    <n v="2"/>
    <s v="Divorced"/>
    <n v="4071"/>
    <n v="12832"/>
    <n v="2"/>
    <x v="1"/>
    <n v="13"/>
    <n v="3"/>
    <n v="3"/>
    <n v="0"/>
    <n v="19"/>
    <n v="4"/>
    <n v="2"/>
    <n v="10"/>
    <n v="0"/>
    <n v="4"/>
    <n v="7"/>
  </r>
  <r>
    <n v="35"/>
    <x v="0"/>
    <s v="Travel_Rarely"/>
    <n v="303"/>
    <x v="0"/>
    <n v="27"/>
    <n v="3"/>
    <s v="Life Sciences"/>
    <n v="1797"/>
    <n v="3"/>
    <x v="1"/>
    <n v="84"/>
    <n v="3"/>
    <n v="2"/>
    <s v="Sales Executive"/>
    <n v="4"/>
    <s v="Single"/>
    <n v="5813"/>
    <n v="13492"/>
    <n v="1"/>
    <x v="0"/>
    <n v="18"/>
    <n v="3"/>
    <n v="4"/>
    <n v="0"/>
    <n v="10"/>
    <n v="2"/>
    <n v="3"/>
    <n v="10"/>
    <n v="7"/>
    <n v="7"/>
    <n v="7"/>
  </r>
  <r>
    <n v="33"/>
    <x v="1"/>
    <s v="Travel_Rarely"/>
    <n v="867"/>
    <x v="1"/>
    <n v="8"/>
    <n v="4"/>
    <s v="Life Sciences"/>
    <n v="1798"/>
    <n v="4"/>
    <x v="1"/>
    <n v="90"/>
    <n v="4"/>
    <n v="1"/>
    <s v="Research Scientist"/>
    <n v="1"/>
    <s v="Married"/>
    <n v="3143"/>
    <n v="6076"/>
    <n v="6"/>
    <x v="1"/>
    <n v="19"/>
    <n v="3"/>
    <n v="2"/>
    <n v="1"/>
    <n v="14"/>
    <n v="1"/>
    <n v="3"/>
    <n v="10"/>
    <n v="8"/>
    <n v="7"/>
    <n v="6"/>
  </r>
  <r>
    <n v="28"/>
    <x v="1"/>
    <s v="Travel_Rarely"/>
    <n v="1181"/>
    <x v="1"/>
    <n v="1"/>
    <n v="3"/>
    <s v="Life Sciences"/>
    <n v="1799"/>
    <n v="3"/>
    <x v="1"/>
    <n v="82"/>
    <n v="3"/>
    <n v="1"/>
    <s v="Research Scientist"/>
    <n v="4"/>
    <s v="Married"/>
    <n v="2044"/>
    <n v="5531"/>
    <n v="1"/>
    <x v="1"/>
    <n v="11"/>
    <n v="3"/>
    <n v="3"/>
    <n v="1"/>
    <n v="5"/>
    <n v="6"/>
    <n v="4"/>
    <n v="5"/>
    <n v="3"/>
    <n v="0"/>
    <n v="3"/>
  </r>
  <r>
    <n v="39"/>
    <x v="1"/>
    <s v="Travel_Rarely"/>
    <n v="1253"/>
    <x v="1"/>
    <n v="10"/>
    <n v="1"/>
    <s v="Medical"/>
    <n v="1800"/>
    <n v="3"/>
    <x v="1"/>
    <n v="65"/>
    <n v="3"/>
    <n v="3"/>
    <s v="Research Director"/>
    <n v="3"/>
    <s v="Single"/>
    <n v="13464"/>
    <n v="7914"/>
    <n v="7"/>
    <x v="1"/>
    <n v="21"/>
    <n v="4"/>
    <n v="3"/>
    <n v="0"/>
    <n v="9"/>
    <n v="3"/>
    <n v="3"/>
    <n v="4"/>
    <n v="3"/>
    <n v="2"/>
    <n v="2"/>
  </r>
  <r>
    <n v="46"/>
    <x v="1"/>
    <s v="Non-Travel"/>
    <n v="849"/>
    <x v="0"/>
    <n v="26"/>
    <n v="2"/>
    <s v="Life Sciences"/>
    <n v="1801"/>
    <n v="2"/>
    <x v="1"/>
    <n v="98"/>
    <n v="2"/>
    <n v="2"/>
    <s v="Sales Executive"/>
    <n v="2"/>
    <s v="Single"/>
    <n v="7991"/>
    <n v="25166"/>
    <n v="8"/>
    <x v="1"/>
    <n v="15"/>
    <n v="3"/>
    <n v="3"/>
    <n v="0"/>
    <n v="6"/>
    <n v="3"/>
    <n v="3"/>
    <n v="2"/>
    <n v="2"/>
    <n v="2"/>
    <n v="2"/>
  </r>
  <r>
    <n v="40"/>
    <x v="1"/>
    <s v="Travel_Rarely"/>
    <n v="616"/>
    <x v="1"/>
    <n v="2"/>
    <n v="2"/>
    <s v="Life Sciences"/>
    <n v="1802"/>
    <n v="3"/>
    <x v="0"/>
    <n v="99"/>
    <n v="3"/>
    <n v="1"/>
    <s v="Laboratory Technician"/>
    <n v="1"/>
    <s v="Married"/>
    <n v="3377"/>
    <n v="25605"/>
    <n v="4"/>
    <x v="1"/>
    <n v="17"/>
    <n v="3"/>
    <n v="4"/>
    <n v="1"/>
    <n v="7"/>
    <n v="5"/>
    <n v="2"/>
    <n v="4"/>
    <n v="3"/>
    <n v="0"/>
    <n v="2"/>
  </r>
  <r>
    <n v="42"/>
    <x v="1"/>
    <s v="Travel_Rarely"/>
    <n v="1128"/>
    <x v="1"/>
    <n v="13"/>
    <n v="3"/>
    <s v="Medical"/>
    <n v="1803"/>
    <n v="2"/>
    <x v="1"/>
    <n v="95"/>
    <n v="4"/>
    <n v="2"/>
    <s v="Healthcare Representative"/>
    <n v="1"/>
    <s v="Married"/>
    <n v="5538"/>
    <n v="5696"/>
    <n v="5"/>
    <x v="1"/>
    <n v="18"/>
    <n v="3"/>
    <n v="3"/>
    <n v="2"/>
    <n v="10"/>
    <n v="2"/>
    <n v="2"/>
    <n v="0"/>
    <n v="0"/>
    <n v="0"/>
    <n v="0"/>
  </r>
  <r>
    <n v="35"/>
    <x v="1"/>
    <s v="Non-Travel"/>
    <n v="1180"/>
    <x v="1"/>
    <n v="2"/>
    <n v="2"/>
    <s v="Medical"/>
    <n v="1804"/>
    <n v="2"/>
    <x v="1"/>
    <n v="90"/>
    <n v="3"/>
    <n v="2"/>
    <s v="Manufacturing Director"/>
    <n v="4"/>
    <s v="Divorced"/>
    <n v="5762"/>
    <n v="24442"/>
    <n v="2"/>
    <x v="1"/>
    <n v="14"/>
    <n v="3"/>
    <n v="3"/>
    <n v="1"/>
    <n v="15"/>
    <n v="6"/>
    <n v="3"/>
    <n v="7"/>
    <n v="7"/>
    <n v="1"/>
    <n v="7"/>
  </r>
  <r>
    <n v="38"/>
    <x v="1"/>
    <s v="Non-Travel"/>
    <n v="1336"/>
    <x v="2"/>
    <n v="2"/>
    <n v="3"/>
    <s v="Human Resources"/>
    <n v="1805"/>
    <n v="1"/>
    <x v="1"/>
    <n v="100"/>
    <n v="3"/>
    <n v="1"/>
    <s v="Human Resources"/>
    <n v="2"/>
    <s v="Divorced"/>
    <n v="2592"/>
    <n v="7129"/>
    <n v="5"/>
    <x v="1"/>
    <n v="13"/>
    <n v="3"/>
    <n v="4"/>
    <n v="3"/>
    <n v="13"/>
    <n v="3"/>
    <n v="3"/>
    <n v="11"/>
    <n v="10"/>
    <n v="3"/>
    <n v="8"/>
  </r>
  <r>
    <n v="34"/>
    <x v="0"/>
    <s v="Travel_Frequently"/>
    <n v="234"/>
    <x v="1"/>
    <n v="9"/>
    <n v="4"/>
    <s v="Life Sciences"/>
    <n v="1807"/>
    <n v="4"/>
    <x v="1"/>
    <n v="93"/>
    <n v="3"/>
    <n v="2"/>
    <s v="Laboratory Technician"/>
    <n v="1"/>
    <s v="Married"/>
    <n v="5346"/>
    <n v="6208"/>
    <n v="4"/>
    <x v="1"/>
    <n v="17"/>
    <n v="3"/>
    <n v="3"/>
    <n v="1"/>
    <n v="11"/>
    <n v="3"/>
    <n v="2"/>
    <n v="7"/>
    <n v="1"/>
    <n v="0"/>
    <n v="7"/>
  </r>
  <r>
    <n v="37"/>
    <x v="0"/>
    <s v="Travel_Rarely"/>
    <n v="370"/>
    <x v="1"/>
    <n v="10"/>
    <n v="4"/>
    <s v="Medical"/>
    <n v="1809"/>
    <n v="4"/>
    <x v="1"/>
    <n v="58"/>
    <n v="3"/>
    <n v="2"/>
    <s v="Manufacturing Director"/>
    <n v="1"/>
    <s v="Single"/>
    <n v="4213"/>
    <n v="4992"/>
    <n v="1"/>
    <x v="1"/>
    <n v="15"/>
    <n v="3"/>
    <n v="2"/>
    <n v="0"/>
    <n v="10"/>
    <n v="4"/>
    <n v="1"/>
    <n v="10"/>
    <n v="3"/>
    <n v="0"/>
    <n v="8"/>
  </r>
  <r>
    <n v="39"/>
    <x v="1"/>
    <s v="Travel_Frequently"/>
    <n v="766"/>
    <x v="0"/>
    <n v="20"/>
    <n v="3"/>
    <s v="Life Sciences"/>
    <n v="1812"/>
    <n v="3"/>
    <x v="1"/>
    <n v="83"/>
    <n v="3"/>
    <n v="2"/>
    <s v="Sales Executive"/>
    <n v="4"/>
    <s v="Divorced"/>
    <n v="4127"/>
    <n v="19188"/>
    <n v="2"/>
    <x v="1"/>
    <n v="18"/>
    <n v="3"/>
    <n v="4"/>
    <n v="1"/>
    <n v="7"/>
    <n v="6"/>
    <n v="3"/>
    <n v="2"/>
    <n v="1"/>
    <n v="2"/>
    <n v="2"/>
  </r>
  <r>
    <n v="43"/>
    <x v="1"/>
    <s v="Non-Travel"/>
    <n v="343"/>
    <x v="1"/>
    <n v="9"/>
    <n v="3"/>
    <s v="Life Sciences"/>
    <n v="1813"/>
    <n v="1"/>
    <x v="1"/>
    <n v="52"/>
    <n v="3"/>
    <n v="1"/>
    <s v="Research Scientist"/>
    <n v="3"/>
    <s v="Single"/>
    <n v="2438"/>
    <n v="24978"/>
    <n v="4"/>
    <x v="1"/>
    <n v="13"/>
    <n v="3"/>
    <n v="3"/>
    <n v="0"/>
    <n v="7"/>
    <n v="2"/>
    <n v="2"/>
    <n v="3"/>
    <n v="2"/>
    <n v="1"/>
    <n v="2"/>
  </r>
  <r>
    <n v="41"/>
    <x v="1"/>
    <s v="Travel_Rarely"/>
    <n v="447"/>
    <x v="1"/>
    <n v="5"/>
    <n v="3"/>
    <s v="Life Sciences"/>
    <n v="1814"/>
    <n v="2"/>
    <x v="1"/>
    <n v="85"/>
    <n v="4"/>
    <n v="2"/>
    <s v="Healthcare Representative"/>
    <n v="2"/>
    <s v="Single"/>
    <n v="6870"/>
    <n v="15530"/>
    <n v="3"/>
    <x v="1"/>
    <n v="12"/>
    <n v="3"/>
    <n v="1"/>
    <n v="0"/>
    <n v="11"/>
    <n v="3"/>
    <n v="1"/>
    <n v="3"/>
    <n v="2"/>
    <n v="1"/>
    <n v="2"/>
  </r>
  <r>
    <n v="41"/>
    <x v="1"/>
    <s v="Travel_Rarely"/>
    <n v="796"/>
    <x v="0"/>
    <n v="4"/>
    <n v="1"/>
    <s v="Marketing"/>
    <n v="1815"/>
    <n v="3"/>
    <x v="0"/>
    <n v="81"/>
    <n v="3"/>
    <n v="3"/>
    <s v="Sales Executive"/>
    <n v="3"/>
    <s v="Divorced"/>
    <n v="10447"/>
    <n v="26458"/>
    <n v="0"/>
    <x v="0"/>
    <n v="13"/>
    <n v="3"/>
    <n v="4"/>
    <n v="1"/>
    <n v="23"/>
    <n v="3"/>
    <n v="4"/>
    <n v="22"/>
    <n v="14"/>
    <n v="13"/>
    <n v="5"/>
  </r>
  <r>
    <n v="30"/>
    <x v="1"/>
    <s v="Travel_Rarely"/>
    <n v="1092"/>
    <x v="1"/>
    <n v="10"/>
    <n v="3"/>
    <s v="Medical"/>
    <n v="1816"/>
    <n v="1"/>
    <x v="0"/>
    <n v="64"/>
    <n v="3"/>
    <n v="3"/>
    <s v="Manufacturing Director"/>
    <n v="3"/>
    <s v="Single"/>
    <n v="9667"/>
    <n v="2739"/>
    <n v="9"/>
    <x v="1"/>
    <n v="14"/>
    <n v="3"/>
    <n v="2"/>
    <n v="0"/>
    <n v="9"/>
    <n v="3"/>
    <n v="3"/>
    <n v="7"/>
    <n v="7"/>
    <n v="0"/>
    <n v="2"/>
  </r>
  <r>
    <n v="26"/>
    <x v="0"/>
    <s v="Travel_Rarely"/>
    <n v="920"/>
    <x v="2"/>
    <n v="20"/>
    <n v="2"/>
    <s v="Medical"/>
    <n v="1818"/>
    <n v="4"/>
    <x v="0"/>
    <n v="69"/>
    <n v="3"/>
    <n v="1"/>
    <s v="Human Resources"/>
    <n v="2"/>
    <s v="Married"/>
    <n v="2148"/>
    <n v="6889"/>
    <n v="0"/>
    <x v="0"/>
    <n v="11"/>
    <n v="3"/>
    <n v="3"/>
    <n v="0"/>
    <n v="6"/>
    <n v="3"/>
    <n v="3"/>
    <n v="5"/>
    <n v="1"/>
    <n v="1"/>
    <n v="4"/>
  </r>
  <r>
    <n v="46"/>
    <x v="0"/>
    <s v="Travel_Rarely"/>
    <n v="261"/>
    <x v="1"/>
    <n v="21"/>
    <n v="2"/>
    <s v="Medical"/>
    <n v="1821"/>
    <n v="4"/>
    <x v="0"/>
    <n v="66"/>
    <n v="3"/>
    <n v="2"/>
    <s v="Healthcare Representative"/>
    <n v="2"/>
    <s v="Married"/>
    <n v="8926"/>
    <n v="10842"/>
    <n v="4"/>
    <x v="1"/>
    <n v="22"/>
    <n v="4"/>
    <n v="4"/>
    <n v="1"/>
    <n v="13"/>
    <n v="2"/>
    <n v="4"/>
    <n v="9"/>
    <n v="7"/>
    <n v="3"/>
    <n v="7"/>
  </r>
  <r>
    <n v="40"/>
    <x v="1"/>
    <s v="Travel_Rarely"/>
    <n v="1194"/>
    <x v="1"/>
    <n v="1"/>
    <n v="3"/>
    <s v="Life Sciences"/>
    <n v="1822"/>
    <n v="3"/>
    <x v="0"/>
    <n v="52"/>
    <n v="3"/>
    <n v="2"/>
    <s v="Healthcare Representative"/>
    <n v="4"/>
    <s v="Divorced"/>
    <n v="6513"/>
    <n v="9060"/>
    <n v="4"/>
    <x v="1"/>
    <n v="17"/>
    <n v="3"/>
    <n v="4"/>
    <n v="1"/>
    <n v="12"/>
    <n v="3"/>
    <n v="3"/>
    <n v="5"/>
    <n v="3"/>
    <n v="0"/>
    <n v="3"/>
  </r>
  <r>
    <n v="34"/>
    <x v="1"/>
    <s v="Travel_Rarely"/>
    <n v="810"/>
    <x v="0"/>
    <n v="8"/>
    <n v="2"/>
    <s v="Technical Degree"/>
    <n v="1823"/>
    <n v="2"/>
    <x v="1"/>
    <n v="92"/>
    <n v="4"/>
    <n v="2"/>
    <s v="Sales Executive"/>
    <n v="3"/>
    <s v="Married"/>
    <n v="6799"/>
    <n v="22128"/>
    <n v="1"/>
    <x v="1"/>
    <n v="21"/>
    <n v="4"/>
    <n v="3"/>
    <n v="2"/>
    <n v="10"/>
    <n v="5"/>
    <n v="3"/>
    <n v="10"/>
    <n v="8"/>
    <n v="4"/>
    <n v="8"/>
  </r>
  <r>
    <n v="58"/>
    <x v="1"/>
    <s v="Non-Travel"/>
    <n v="350"/>
    <x v="0"/>
    <n v="2"/>
    <n v="3"/>
    <s v="Medical"/>
    <n v="1824"/>
    <n v="2"/>
    <x v="1"/>
    <n v="52"/>
    <n v="3"/>
    <n v="4"/>
    <s v="Manager"/>
    <n v="2"/>
    <s v="Divorced"/>
    <n v="16291"/>
    <n v="22577"/>
    <n v="4"/>
    <x v="1"/>
    <n v="22"/>
    <n v="4"/>
    <n v="4"/>
    <n v="1"/>
    <n v="37"/>
    <n v="0"/>
    <n v="2"/>
    <n v="16"/>
    <n v="9"/>
    <n v="14"/>
    <n v="14"/>
  </r>
  <r>
    <n v="35"/>
    <x v="1"/>
    <s v="Travel_Rarely"/>
    <n v="185"/>
    <x v="1"/>
    <n v="23"/>
    <n v="4"/>
    <s v="Medical"/>
    <n v="1826"/>
    <n v="2"/>
    <x v="1"/>
    <n v="91"/>
    <n v="1"/>
    <n v="1"/>
    <s v="Laboratory Technician"/>
    <n v="3"/>
    <s v="Married"/>
    <n v="2705"/>
    <n v="9696"/>
    <n v="0"/>
    <x v="1"/>
    <n v="16"/>
    <n v="3"/>
    <n v="2"/>
    <n v="1"/>
    <n v="6"/>
    <n v="2"/>
    <n v="4"/>
    <n v="5"/>
    <n v="4"/>
    <n v="0"/>
    <n v="3"/>
  </r>
  <r>
    <n v="47"/>
    <x v="1"/>
    <s v="Travel_Rarely"/>
    <n v="1001"/>
    <x v="1"/>
    <n v="4"/>
    <n v="3"/>
    <s v="Life Sciences"/>
    <n v="1827"/>
    <n v="3"/>
    <x v="0"/>
    <n v="92"/>
    <n v="2"/>
    <n v="3"/>
    <s v="Manufacturing Director"/>
    <n v="2"/>
    <s v="Divorced"/>
    <n v="10333"/>
    <n v="19271"/>
    <n v="8"/>
    <x v="0"/>
    <n v="12"/>
    <n v="3"/>
    <n v="3"/>
    <n v="1"/>
    <n v="28"/>
    <n v="4"/>
    <n v="3"/>
    <n v="22"/>
    <n v="11"/>
    <n v="14"/>
    <n v="10"/>
  </r>
  <r>
    <n v="40"/>
    <x v="1"/>
    <s v="Travel_Rarely"/>
    <n v="750"/>
    <x v="1"/>
    <n v="12"/>
    <n v="3"/>
    <s v="Life Sciences"/>
    <n v="1829"/>
    <n v="2"/>
    <x v="0"/>
    <n v="47"/>
    <n v="3"/>
    <n v="2"/>
    <s v="Healthcare Representative"/>
    <n v="1"/>
    <s v="Divorced"/>
    <n v="4448"/>
    <n v="10748"/>
    <n v="2"/>
    <x v="1"/>
    <n v="12"/>
    <n v="3"/>
    <n v="2"/>
    <n v="1"/>
    <n v="15"/>
    <n v="3"/>
    <n v="3"/>
    <n v="7"/>
    <n v="4"/>
    <n v="7"/>
    <n v="7"/>
  </r>
  <r>
    <n v="54"/>
    <x v="1"/>
    <s v="Travel_Rarely"/>
    <n v="431"/>
    <x v="1"/>
    <n v="7"/>
    <n v="4"/>
    <s v="Medical"/>
    <n v="1830"/>
    <n v="4"/>
    <x v="0"/>
    <n v="68"/>
    <n v="3"/>
    <n v="2"/>
    <s v="Research Scientist"/>
    <n v="4"/>
    <s v="Married"/>
    <n v="6854"/>
    <n v="15696"/>
    <n v="4"/>
    <x v="1"/>
    <n v="15"/>
    <n v="3"/>
    <n v="2"/>
    <n v="1"/>
    <n v="14"/>
    <n v="2"/>
    <n v="2"/>
    <n v="7"/>
    <n v="1"/>
    <n v="1"/>
    <n v="7"/>
  </r>
  <r>
    <n v="31"/>
    <x v="1"/>
    <s v="Travel_Frequently"/>
    <n v="1125"/>
    <x v="0"/>
    <n v="7"/>
    <n v="4"/>
    <s v="Marketing"/>
    <n v="1833"/>
    <n v="1"/>
    <x v="0"/>
    <n v="68"/>
    <n v="3"/>
    <n v="3"/>
    <s v="Sales Executive"/>
    <n v="1"/>
    <s v="Married"/>
    <n v="9637"/>
    <n v="8277"/>
    <n v="2"/>
    <x v="1"/>
    <n v="14"/>
    <n v="3"/>
    <n v="4"/>
    <n v="2"/>
    <n v="9"/>
    <n v="3"/>
    <n v="3"/>
    <n v="3"/>
    <n v="2"/>
    <n v="2"/>
    <n v="2"/>
  </r>
  <r>
    <n v="28"/>
    <x v="1"/>
    <s v="Travel_Rarely"/>
    <n v="1217"/>
    <x v="1"/>
    <n v="1"/>
    <n v="3"/>
    <s v="Medical"/>
    <n v="1834"/>
    <n v="3"/>
    <x v="0"/>
    <n v="67"/>
    <n v="3"/>
    <n v="1"/>
    <s v="Research Scientist"/>
    <n v="1"/>
    <s v="Married"/>
    <n v="3591"/>
    <n v="12719"/>
    <n v="1"/>
    <x v="1"/>
    <n v="25"/>
    <n v="4"/>
    <n v="3"/>
    <n v="1"/>
    <n v="3"/>
    <n v="3"/>
    <n v="3"/>
    <n v="3"/>
    <n v="2"/>
    <n v="1"/>
    <n v="2"/>
  </r>
  <r>
    <n v="38"/>
    <x v="1"/>
    <s v="Travel_Rarely"/>
    <n v="723"/>
    <x v="0"/>
    <n v="2"/>
    <n v="4"/>
    <s v="Marketing"/>
    <n v="1835"/>
    <n v="2"/>
    <x v="0"/>
    <n v="77"/>
    <n v="1"/>
    <n v="2"/>
    <s v="Sales Representative"/>
    <n v="4"/>
    <s v="Married"/>
    <n v="5405"/>
    <n v="4244"/>
    <n v="2"/>
    <x v="0"/>
    <n v="20"/>
    <n v="4"/>
    <n v="1"/>
    <n v="2"/>
    <n v="20"/>
    <n v="4"/>
    <n v="2"/>
    <n v="4"/>
    <n v="2"/>
    <n v="0"/>
    <n v="3"/>
  </r>
  <r>
    <n v="26"/>
    <x v="1"/>
    <s v="Travel_Rarely"/>
    <n v="572"/>
    <x v="0"/>
    <n v="10"/>
    <n v="3"/>
    <s v="Medical"/>
    <n v="1836"/>
    <n v="3"/>
    <x v="1"/>
    <n v="46"/>
    <n v="3"/>
    <n v="2"/>
    <s v="Sales Executive"/>
    <n v="4"/>
    <s v="Single"/>
    <n v="4684"/>
    <n v="9125"/>
    <n v="1"/>
    <x v="1"/>
    <n v="13"/>
    <n v="3"/>
    <n v="1"/>
    <n v="0"/>
    <n v="5"/>
    <n v="4"/>
    <n v="3"/>
    <n v="5"/>
    <n v="3"/>
    <n v="1"/>
    <n v="2"/>
  </r>
  <r>
    <n v="58"/>
    <x v="1"/>
    <s v="Travel_Frequently"/>
    <n v="1216"/>
    <x v="1"/>
    <n v="15"/>
    <n v="4"/>
    <s v="Life Sciences"/>
    <n v="1837"/>
    <n v="1"/>
    <x v="1"/>
    <n v="87"/>
    <n v="3"/>
    <n v="4"/>
    <s v="Research Director"/>
    <n v="3"/>
    <s v="Married"/>
    <n v="15787"/>
    <n v="21624"/>
    <n v="2"/>
    <x v="0"/>
    <n v="14"/>
    <n v="3"/>
    <n v="2"/>
    <n v="0"/>
    <n v="23"/>
    <n v="3"/>
    <n v="3"/>
    <n v="2"/>
    <n v="2"/>
    <n v="2"/>
    <n v="2"/>
  </r>
  <r>
    <n v="18"/>
    <x v="1"/>
    <s v="Non-Travel"/>
    <n v="1431"/>
    <x v="1"/>
    <n v="14"/>
    <n v="3"/>
    <s v="Medical"/>
    <n v="1839"/>
    <n v="2"/>
    <x v="0"/>
    <n v="33"/>
    <n v="3"/>
    <n v="1"/>
    <s v="Research Scientist"/>
    <n v="3"/>
    <s v="Single"/>
    <n v="1514"/>
    <n v="8018"/>
    <n v="1"/>
    <x v="1"/>
    <n v="16"/>
    <n v="3"/>
    <n v="3"/>
    <n v="0"/>
    <n v="0"/>
    <n v="4"/>
    <n v="1"/>
    <n v="0"/>
    <n v="0"/>
    <n v="0"/>
    <n v="0"/>
  </r>
  <r>
    <n v="31"/>
    <x v="0"/>
    <s v="Travel_Rarely"/>
    <n v="359"/>
    <x v="2"/>
    <n v="18"/>
    <n v="5"/>
    <s v="Human Resources"/>
    <n v="1842"/>
    <n v="4"/>
    <x v="1"/>
    <n v="89"/>
    <n v="4"/>
    <n v="1"/>
    <s v="Human Resources"/>
    <n v="1"/>
    <s v="Married"/>
    <n v="2956"/>
    <n v="21495"/>
    <n v="0"/>
    <x v="1"/>
    <n v="17"/>
    <n v="3"/>
    <n v="3"/>
    <n v="0"/>
    <n v="2"/>
    <n v="4"/>
    <n v="3"/>
    <n v="1"/>
    <n v="0"/>
    <n v="0"/>
    <n v="0"/>
  </r>
  <r>
    <n v="29"/>
    <x v="0"/>
    <s v="Travel_Rarely"/>
    <n v="350"/>
    <x v="2"/>
    <n v="13"/>
    <n v="3"/>
    <s v="Human Resources"/>
    <n v="1844"/>
    <n v="1"/>
    <x v="1"/>
    <n v="56"/>
    <n v="2"/>
    <n v="1"/>
    <s v="Human Resources"/>
    <n v="1"/>
    <s v="Divorced"/>
    <n v="2335"/>
    <n v="3157"/>
    <n v="4"/>
    <x v="0"/>
    <n v="15"/>
    <n v="3"/>
    <n v="4"/>
    <n v="3"/>
    <n v="4"/>
    <n v="3"/>
    <n v="3"/>
    <n v="2"/>
    <n v="2"/>
    <n v="2"/>
    <n v="0"/>
  </r>
  <r>
    <n v="45"/>
    <x v="1"/>
    <s v="Non-Travel"/>
    <n v="589"/>
    <x v="0"/>
    <n v="2"/>
    <n v="4"/>
    <s v="Life Sciences"/>
    <n v="1845"/>
    <n v="3"/>
    <x v="0"/>
    <n v="67"/>
    <n v="3"/>
    <n v="2"/>
    <s v="Sales Executive"/>
    <n v="3"/>
    <s v="Married"/>
    <n v="5154"/>
    <n v="19665"/>
    <n v="4"/>
    <x v="1"/>
    <n v="22"/>
    <n v="4"/>
    <n v="2"/>
    <n v="2"/>
    <n v="10"/>
    <n v="3"/>
    <n v="4"/>
    <n v="8"/>
    <n v="7"/>
    <n v="5"/>
    <n v="7"/>
  </r>
  <r>
    <n v="36"/>
    <x v="1"/>
    <s v="Travel_Rarely"/>
    <n v="430"/>
    <x v="1"/>
    <n v="2"/>
    <n v="4"/>
    <s v="Other"/>
    <n v="1847"/>
    <n v="4"/>
    <x v="0"/>
    <n v="73"/>
    <n v="3"/>
    <n v="2"/>
    <s v="Research Scientist"/>
    <n v="2"/>
    <s v="Married"/>
    <n v="6962"/>
    <n v="19573"/>
    <n v="4"/>
    <x v="0"/>
    <n v="22"/>
    <n v="4"/>
    <n v="4"/>
    <n v="1"/>
    <n v="15"/>
    <n v="2"/>
    <n v="3"/>
    <n v="1"/>
    <n v="0"/>
    <n v="0"/>
    <n v="0"/>
  </r>
  <r>
    <n v="43"/>
    <x v="1"/>
    <s v="Travel_Frequently"/>
    <n v="1422"/>
    <x v="0"/>
    <n v="2"/>
    <n v="4"/>
    <s v="Life Sciences"/>
    <n v="1849"/>
    <n v="1"/>
    <x v="1"/>
    <n v="92"/>
    <n v="3"/>
    <n v="2"/>
    <s v="Sales Executive"/>
    <n v="4"/>
    <s v="Married"/>
    <n v="5675"/>
    <n v="19246"/>
    <n v="1"/>
    <x v="1"/>
    <n v="20"/>
    <n v="4"/>
    <n v="3"/>
    <n v="1"/>
    <n v="7"/>
    <n v="5"/>
    <n v="3"/>
    <n v="7"/>
    <n v="7"/>
    <n v="7"/>
    <n v="7"/>
  </r>
  <r>
    <n v="27"/>
    <x v="1"/>
    <s v="Travel_Frequently"/>
    <n v="1297"/>
    <x v="1"/>
    <n v="5"/>
    <n v="2"/>
    <s v="Life Sciences"/>
    <n v="1850"/>
    <n v="4"/>
    <x v="0"/>
    <n v="53"/>
    <n v="3"/>
    <n v="1"/>
    <s v="Laboratory Technician"/>
    <n v="4"/>
    <s v="Single"/>
    <n v="2379"/>
    <n v="19826"/>
    <n v="0"/>
    <x v="0"/>
    <n v="14"/>
    <n v="3"/>
    <n v="3"/>
    <n v="0"/>
    <n v="6"/>
    <n v="3"/>
    <n v="2"/>
    <n v="5"/>
    <n v="4"/>
    <n v="0"/>
    <n v="2"/>
  </r>
  <r>
    <n v="29"/>
    <x v="1"/>
    <s v="Travel_Frequently"/>
    <n v="574"/>
    <x v="1"/>
    <n v="20"/>
    <n v="1"/>
    <s v="Medical"/>
    <n v="1852"/>
    <n v="4"/>
    <x v="1"/>
    <n v="40"/>
    <n v="3"/>
    <n v="1"/>
    <s v="Laboratory Technician"/>
    <n v="4"/>
    <s v="Married"/>
    <n v="3812"/>
    <n v="7003"/>
    <n v="1"/>
    <x v="1"/>
    <n v="13"/>
    <n v="3"/>
    <n v="2"/>
    <n v="0"/>
    <n v="11"/>
    <n v="3"/>
    <n v="4"/>
    <n v="11"/>
    <n v="8"/>
    <n v="3"/>
    <n v="10"/>
  </r>
  <r>
    <n v="32"/>
    <x v="1"/>
    <s v="Travel_Frequently"/>
    <n v="1318"/>
    <x v="0"/>
    <n v="10"/>
    <n v="4"/>
    <s v="Marketing"/>
    <n v="1853"/>
    <n v="4"/>
    <x v="1"/>
    <n v="79"/>
    <n v="3"/>
    <n v="2"/>
    <s v="Sales Executive"/>
    <n v="4"/>
    <s v="Single"/>
    <n v="4648"/>
    <n v="26075"/>
    <n v="8"/>
    <x v="1"/>
    <n v="13"/>
    <n v="3"/>
    <n v="3"/>
    <n v="0"/>
    <n v="4"/>
    <n v="2"/>
    <n v="4"/>
    <n v="0"/>
    <n v="0"/>
    <n v="0"/>
    <n v="0"/>
  </r>
  <r>
    <n v="42"/>
    <x v="1"/>
    <s v="Non-Travel"/>
    <n v="355"/>
    <x v="1"/>
    <n v="10"/>
    <n v="4"/>
    <s v="Technical Degree"/>
    <n v="1854"/>
    <n v="3"/>
    <x v="1"/>
    <n v="38"/>
    <n v="3"/>
    <n v="1"/>
    <s v="Research Scientist"/>
    <n v="3"/>
    <s v="Married"/>
    <n v="2936"/>
    <n v="6161"/>
    <n v="3"/>
    <x v="1"/>
    <n v="22"/>
    <n v="4"/>
    <n v="2"/>
    <n v="2"/>
    <n v="10"/>
    <n v="1"/>
    <n v="2"/>
    <n v="6"/>
    <n v="3"/>
    <n v="3"/>
    <n v="3"/>
  </r>
  <r>
    <n v="47"/>
    <x v="1"/>
    <s v="Travel_Rarely"/>
    <n v="207"/>
    <x v="1"/>
    <n v="9"/>
    <n v="4"/>
    <s v="Life Sciences"/>
    <n v="1856"/>
    <n v="2"/>
    <x v="0"/>
    <n v="64"/>
    <n v="3"/>
    <n v="1"/>
    <s v="Laboratory Technician"/>
    <n v="3"/>
    <s v="Single"/>
    <n v="2105"/>
    <n v="5411"/>
    <n v="4"/>
    <x v="1"/>
    <n v="12"/>
    <n v="3"/>
    <n v="3"/>
    <n v="0"/>
    <n v="7"/>
    <n v="2"/>
    <n v="3"/>
    <n v="2"/>
    <n v="2"/>
    <n v="2"/>
    <n v="0"/>
  </r>
  <r>
    <n v="46"/>
    <x v="1"/>
    <s v="Travel_Rarely"/>
    <n v="706"/>
    <x v="1"/>
    <n v="2"/>
    <n v="2"/>
    <s v="Life Sciences"/>
    <n v="1857"/>
    <n v="4"/>
    <x v="1"/>
    <n v="82"/>
    <n v="3"/>
    <n v="3"/>
    <s v="Manufacturing Director"/>
    <n v="4"/>
    <s v="Divorced"/>
    <n v="8578"/>
    <n v="19989"/>
    <n v="3"/>
    <x v="1"/>
    <n v="14"/>
    <n v="3"/>
    <n v="3"/>
    <n v="1"/>
    <n v="12"/>
    <n v="4"/>
    <n v="2"/>
    <n v="9"/>
    <n v="8"/>
    <n v="4"/>
    <n v="7"/>
  </r>
  <r>
    <n v="28"/>
    <x v="1"/>
    <s v="Non-Travel"/>
    <n v="280"/>
    <x v="2"/>
    <n v="1"/>
    <n v="2"/>
    <s v="Life Sciences"/>
    <n v="1858"/>
    <n v="3"/>
    <x v="1"/>
    <n v="43"/>
    <n v="3"/>
    <n v="1"/>
    <s v="Human Resources"/>
    <n v="4"/>
    <s v="Divorced"/>
    <n v="2706"/>
    <n v="10494"/>
    <n v="1"/>
    <x v="1"/>
    <n v="15"/>
    <n v="3"/>
    <n v="2"/>
    <n v="1"/>
    <n v="3"/>
    <n v="2"/>
    <n v="3"/>
    <n v="3"/>
    <n v="2"/>
    <n v="2"/>
    <n v="2"/>
  </r>
  <r>
    <n v="29"/>
    <x v="1"/>
    <s v="Travel_Rarely"/>
    <n v="726"/>
    <x v="1"/>
    <n v="29"/>
    <n v="1"/>
    <s v="Life Sciences"/>
    <n v="1859"/>
    <n v="4"/>
    <x v="1"/>
    <n v="93"/>
    <n v="1"/>
    <n v="2"/>
    <s v="Healthcare Representative"/>
    <n v="3"/>
    <s v="Divorced"/>
    <n v="6384"/>
    <n v="21143"/>
    <n v="8"/>
    <x v="1"/>
    <n v="17"/>
    <n v="3"/>
    <n v="4"/>
    <n v="2"/>
    <n v="11"/>
    <n v="3"/>
    <n v="3"/>
    <n v="7"/>
    <n v="0"/>
    <n v="1"/>
    <n v="6"/>
  </r>
  <r>
    <n v="42"/>
    <x v="1"/>
    <s v="Travel_Rarely"/>
    <n v="1142"/>
    <x v="1"/>
    <n v="8"/>
    <n v="3"/>
    <s v="Life Sciences"/>
    <n v="1860"/>
    <n v="4"/>
    <x v="1"/>
    <n v="81"/>
    <n v="3"/>
    <n v="1"/>
    <s v="Laboratory Technician"/>
    <n v="3"/>
    <s v="Single"/>
    <n v="3968"/>
    <n v="13624"/>
    <n v="4"/>
    <x v="1"/>
    <n v="13"/>
    <n v="3"/>
    <n v="4"/>
    <n v="0"/>
    <n v="8"/>
    <n v="3"/>
    <n v="3"/>
    <n v="0"/>
    <n v="0"/>
    <n v="0"/>
    <n v="0"/>
  </r>
  <r>
    <n v="32"/>
    <x v="0"/>
    <s v="Travel_Rarely"/>
    <n v="414"/>
    <x v="0"/>
    <n v="2"/>
    <n v="4"/>
    <s v="Marketing"/>
    <n v="1862"/>
    <n v="3"/>
    <x v="1"/>
    <n v="82"/>
    <n v="2"/>
    <n v="2"/>
    <s v="Sales Executive"/>
    <n v="2"/>
    <s v="Single"/>
    <n v="9907"/>
    <n v="26186"/>
    <n v="7"/>
    <x v="0"/>
    <n v="12"/>
    <n v="3"/>
    <n v="3"/>
    <n v="0"/>
    <n v="7"/>
    <n v="3"/>
    <n v="2"/>
    <n v="2"/>
    <n v="2"/>
    <n v="2"/>
    <n v="2"/>
  </r>
  <r>
    <n v="46"/>
    <x v="1"/>
    <s v="Travel_Rarely"/>
    <n v="1319"/>
    <x v="0"/>
    <n v="3"/>
    <n v="3"/>
    <s v="Technical Degree"/>
    <n v="1863"/>
    <n v="1"/>
    <x v="0"/>
    <n v="45"/>
    <n v="4"/>
    <n v="4"/>
    <s v="Sales Executive"/>
    <n v="1"/>
    <s v="Divorced"/>
    <n v="13225"/>
    <n v="7739"/>
    <n v="2"/>
    <x v="1"/>
    <n v="12"/>
    <n v="3"/>
    <n v="4"/>
    <n v="1"/>
    <n v="25"/>
    <n v="5"/>
    <n v="3"/>
    <n v="19"/>
    <n v="17"/>
    <n v="2"/>
    <n v="8"/>
  </r>
  <r>
    <n v="27"/>
    <x v="1"/>
    <s v="Travel_Rarely"/>
    <n v="728"/>
    <x v="0"/>
    <n v="23"/>
    <n v="1"/>
    <s v="Medical"/>
    <n v="1864"/>
    <n v="2"/>
    <x v="0"/>
    <n v="36"/>
    <n v="2"/>
    <n v="2"/>
    <s v="Sales Representative"/>
    <n v="3"/>
    <s v="Married"/>
    <n v="3540"/>
    <n v="7018"/>
    <n v="1"/>
    <x v="1"/>
    <n v="21"/>
    <n v="4"/>
    <n v="4"/>
    <n v="1"/>
    <n v="9"/>
    <n v="5"/>
    <n v="3"/>
    <n v="9"/>
    <n v="8"/>
    <n v="5"/>
    <n v="8"/>
  </r>
  <r>
    <n v="29"/>
    <x v="1"/>
    <s v="Travel_Rarely"/>
    <n v="352"/>
    <x v="2"/>
    <n v="6"/>
    <n v="1"/>
    <s v="Medical"/>
    <n v="1865"/>
    <n v="4"/>
    <x v="1"/>
    <n v="87"/>
    <n v="2"/>
    <n v="1"/>
    <s v="Human Resources"/>
    <n v="2"/>
    <s v="Married"/>
    <n v="2804"/>
    <n v="15434"/>
    <n v="1"/>
    <x v="1"/>
    <n v="11"/>
    <n v="3"/>
    <n v="4"/>
    <n v="0"/>
    <n v="1"/>
    <n v="3"/>
    <n v="3"/>
    <n v="1"/>
    <n v="0"/>
    <n v="0"/>
    <n v="0"/>
  </r>
  <r>
    <n v="43"/>
    <x v="1"/>
    <s v="Travel_Rarely"/>
    <n v="823"/>
    <x v="1"/>
    <n v="6"/>
    <n v="3"/>
    <s v="Medical"/>
    <n v="1866"/>
    <n v="1"/>
    <x v="0"/>
    <n v="81"/>
    <n v="2"/>
    <n v="5"/>
    <s v="Manager"/>
    <n v="3"/>
    <s v="Married"/>
    <n v="19392"/>
    <n v="22539"/>
    <n v="7"/>
    <x v="1"/>
    <n v="13"/>
    <n v="3"/>
    <n v="4"/>
    <n v="0"/>
    <n v="21"/>
    <n v="2"/>
    <n v="3"/>
    <n v="16"/>
    <n v="12"/>
    <n v="6"/>
    <n v="14"/>
  </r>
  <r>
    <n v="48"/>
    <x v="1"/>
    <s v="Travel_Rarely"/>
    <n v="1224"/>
    <x v="1"/>
    <n v="10"/>
    <n v="3"/>
    <s v="Life Sciences"/>
    <n v="1867"/>
    <n v="4"/>
    <x v="1"/>
    <n v="91"/>
    <n v="2"/>
    <n v="5"/>
    <s v="Research Director"/>
    <n v="2"/>
    <s v="Married"/>
    <n v="19665"/>
    <n v="13583"/>
    <n v="4"/>
    <x v="1"/>
    <n v="12"/>
    <n v="3"/>
    <n v="4"/>
    <n v="0"/>
    <n v="29"/>
    <n v="3"/>
    <n v="3"/>
    <n v="22"/>
    <n v="10"/>
    <n v="12"/>
    <n v="9"/>
  </r>
  <r>
    <n v="29"/>
    <x v="0"/>
    <s v="Travel_Frequently"/>
    <n v="459"/>
    <x v="1"/>
    <n v="24"/>
    <n v="2"/>
    <s v="Life Sciences"/>
    <n v="1868"/>
    <n v="4"/>
    <x v="1"/>
    <n v="73"/>
    <n v="2"/>
    <n v="1"/>
    <s v="Research Scientist"/>
    <n v="4"/>
    <s v="Single"/>
    <n v="2439"/>
    <n v="14753"/>
    <n v="1"/>
    <x v="0"/>
    <n v="24"/>
    <n v="4"/>
    <n v="2"/>
    <n v="0"/>
    <n v="1"/>
    <n v="3"/>
    <n v="2"/>
    <n v="1"/>
    <n v="0"/>
    <n v="1"/>
    <n v="0"/>
  </r>
  <r>
    <n v="46"/>
    <x v="0"/>
    <s v="Travel_Rarely"/>
    <n v="1254"/>
    <x v="0"/>
    <n v="10"/>
    <n v="3"/>
    <s v="Life Sciences"/>
    <n v="1869"/>
    <n v="3"/>
    <x v="0"/>
    <n v="64"/>
    <n v="3"/>
    <n v="3"/>
    <s v="Sales Executive"/>
    <n v="2"/>
    <s v="Married"/>
    <n v="7314"/>
    <n v="14011"/>
    <n v="5"/>
    <x v="1"/>
    <n v="21"/>
    <n v="4"/>
    <n v="3"/>
    <n v="3"/>
    <n v="14"/>
    <n v="2"/>
    <n v="3"/>
    <n v="8"/>
    <n v="7"/>
    <n v="0"/>
    <n v="7"/>
  </r>
  <r>
    <n v="27"/>
    <x v="1"/>
    <s v="Travel_Frequently"/>
    <n v="1131"/>
    <x v="1"/>
    <n v="15"/>
    <n v="3"/>
    <s v="Life Sciences"/>
    <n v="1870"/>
    <n v="4"/>
    <x v="0"/>
    <n v="77"/>
    <n v="2"/>
    <n v="1"/>
    <s v="Research Scientist"/>
    <n v="1"/>
    <s v="Married"/>
    <n v="4774"/>
    <n v="23844"/>
    <n v="0"/>
    <x v="1"/>
    <n v="19"/>
    <n v="3"/>
    <n v="4"/>
    <n v="1"/>
    <n v="8"/>
    <n v="2"/>
    <n v="2"/>
    <n v="7"/>
    <n v="6"/>
    <n v="7"/>
    <n v="3"/>
  </r>
  <r>
    <n v="39"/>
    <x v="1"/>
    <s v="Travel_Rarely"/>
    <n v="835"/>
    <x v="1"/>
    <n v="19"/>
    <n v="4"/>
    <s v="Other"/>
    <n v="1871"/>
    <n v="4"/>
    <x v="1"/>
    <n v="41"/>
    <n v="3"/>
    <n v="2"/>
    <s v="Research Scientist"/>
    <n v="4"/>
    <s v="Divorced"/>
    <n v="3902"/>
    <n v="5141"/>
    <n v="8"/>
    <x v="1"/>
    <n v="14"/>
    <n v="3"/>
    <n v="2"/>
    <n v="3"/>
    <n v="7"/>
    <n v="2"/>
    <n v="3"/>
    <n v="2"/>
    <n v="2"/>
    <n v="2"/>
    <n v="2"/>
  </r>
  <r>
    <n v="55"/>
    <x v="1"/>
    <s v="Travel_Rarely"/>
    <n v="836"/>
    <x v="1"/>
    <n v="2"/>
    <n v="4"/>
    <s v="Technical Degree"/>
    <n v="1873"/>
    <n v="2"/>
    <x v="1"/>
    <n v="98"/>
    <n v="2"/>
    <n v="1"/>
    <s v="Research Scientist"/>
    <n v="4"/>
    <s v="Married"/>
    <n v="2662"/>
    <n v="7975"/>
    <n v="8"/>
    <x v="1"/>
    <n v="20"/>
    <n v="4"/>
    <n v="2"/>
    <n v="1"/>
    <n v="19"/>
    <n v="2"/>
    <n v="4"/>
    <n v="5"/>
    <n v="2"/>
    <n v="0"/>
    <n v="4"/>
  </r>
  <r>
    <n v="28"/>
    <x v="1"/>
    <s v="Travel_Rarely"/>
    <n v="1172"/>
    <x v="0"/>
    <n v="3"/>
    <n v="3"/>
    <s v="Medical"/>
    <n v="1875"/>
    <n v="2"/>
    <x v="0"/>
    <n v="78"/>
    <n v="3"/>
    <n v="1"/>
    <s v="Sales Representative"/>
    <n v="2"/>
    <s v="Married"/>
    <n v="2856"/>
    <n v="3692"/>
    <n v="1"/>
    <x v="1"/>
    <n v="19"/>
    <n v="3"/>
    <n v="4"/>
    <n v="1"/>
    <n v="1"/>
    <n v="3"/>
    <n v="3"/>
    <n v="1"/>
    <n v="0"/>
    <n v="0"/>
    <n v="0"/>
  </r>
  <r>
    <n v="30"/>
    <x v="0"/>
    <s v="Travel_Rarely"/>
    <n v="945"/>
    <x v="0"/>
    <n v="9"/>
    <n v="3"/>
    <s v="Medical"/>
    <n v="1876"/>
    <n v="2"/>
    <x v="1"/>
    <n v="89"/>
    <n v="3"/>
    <n v="1"/>
    <s v="Sales Representative"/>
    <n v="4"/>
    <s v="Single"/>
    <n v="1081"/>
    <n v="16019"/>
    <n v="1"/>
    <x v="1"/>
    <n v="13"/>
    <n v="3"/>
    <n v="3"/>
    <n v="0"/>
    <n v="1"/>
    <n v="3"/>
    <n v="2"/>
    <n v="1"/>
    <n v="0"/>
    <n v="0"/>
    <n v="0"/>
  </r>
  <r>
    <n v="22"/>
    <x v="0"/>
    <s v="Travel_Rarely"/>
    <n v="391"/>
    <x v="1"/>
    <n v="7"/>
    <n v="1"/>
    <s v="Life Sciences"/>
    <n v="1878"/>
    <n v="4"/>
    <x v="1"/>
    <n v="75"/>
    <n v="3"/>
    <n v="1"/>
    <s v="Research Scientist"/>
    <n v="2"/>
    <s v="Single"/>
    <n v="2472"/>
    <n v="26092"/>
    <n v="1"/>
    <x v="0"/>
    <n v="23"/>
    <n v="4"/>
    <n v="1"/>
    <n v="0"/>
    <n v="1"/>
    <n v="2"/>
    <n v="3"/>
    <n v="1"/>
    <n v="0"/>
    <n v="0"/>
    <n v="0"/>
  </r>
  <r>
    <n v="36"/>
    <x v="1"/>
    <s v="Travel_Rarely"/>
    <n v="1266"/>
    <x v="0"/>
    <n v="10"/>
    <n v="4"/>
    <s v="Technical Degree"/>
    <n v="1880"/>
    <n v="2"/>
    <x v="0"/>
    <n v="63"/>
    <n v="2"/>
    <n v="2"/>
    <s v="Sales Executive"/>
    <n v="3"/>
    <s v="Married"/>
    <n v="5673"/>
    <n v="6060"/>
    <n v="1"/>
    <x v="0"/>
    <n v="13"/>
    <n v="3"/>
    <n v="1"/>
    <n v="1"/>
    <n v="10"/>
    <n v="4"/>
    <n v="3"/>
    <n v="10"/>
    <n v="9"/>
    <n v="1"/>
    <n v="7"/>
  </r>
  <r>
    <n v="31"/>
    <x v="1"/>
    <s v="Travel_Rarely"/>
    <n v="311"/>
    <x v="1"/>
    <n v="20"/>
    <n v="3"/>
    <s v="Life Sciences"/>
    <n v="1881"/>
    <n v="2"/>
    <x v="1"/>
    <n v="89"/>
    <n v="3"/>
    <n v="2"/>
    <s v="Laboratory Technician"/>
    <n v="3"/>
    <s v="Divorced"/>
    <n v="4197"/>
    <n v="18624"/>
    <n v="1"/>
    <x v="1"/>
    <n v="11"/>
    <n v="3"/>
    <n v="1"/>
    <n v="1"/>
    <n v="10"/>
    <n v="2"/>
    <n v="3"/>
    <n v="10"/>
    <n v="8"/>
    <n v="0"/>
    <n v="2"/>
  </r>
  <r>
    <n v="34"/>
    <x v="1"/>
    <s v="Travel_Rarely"/>
    <n v="1480"/>
    <x v="0"/>
    <n v="4"/>
    <n v="3"/>
    <s v="Life Sciences"/>
    <n v="1882"/>
    <n v="3"/>
    <x v="1"/>
    <n v="64"/>
    <n v="3"/>
    <n v="3"/>
    <s v="Sales Executive"/>
    <n v="4"/>
    <s v="Married"/>
    <n v="9713"/>
    <n v="24444"/>
    <n v="2"/>
    <x v="0"/>
    <n v="13"/>
    <n v="3"/>
    <n v="4"/>
    <n v="3"/>
    <n v="9"/>
    <n v="3"/>
    <n v="3"/>
    <n v="5"/>
    <n v="3"/>
    <n v="1"/>
    <n v="0"/>
  </r>
  <r>
    <n v="29"/>
    <x v="1"/>
    <s v="Travel_Rarely"/>
    <n v="592"/>
    <x v="1"/>
    <n v="7"/>
    <n v="3"/>
    <s v="Life Sciences"/>
    <n v="1883"/>
    <n v="4"/>
    <x v="1"/>
    <n v="59"/>
    <n v="3"/>
    <n v="1"/>
    <s v="Laboratory Technician"/>
    <n v="1"/>
    <s v="Single"/>
    <n v="2062"/>
    <n v="19384"/>
    <n v="3"/>
    <x v="1"/>
    <n v="14"/>
    <n v="3"/>
    <n v="2"/>
    <n v="0"/>
    <n v="11"/>
    <n v="2"/>
    <n v="3"/>
    <n v="3"/>
    <n v="2"/>
    <n v="1"/>
    <n v="2"/>
  </r>
  <r>
    <n v="37"/>
    <x v="1"/>
    <s v="Travel_Rarely"/>
    <n v="783"/>
    <x v="1"/>
    <n v="7"/>
    <n v="4"/>
    <s v="Medical"/>
    <n v="1885"/>
    <n v="4"/>
    <x v="1"/>
    <n v="78"/>
    <n v="3"/>
    <n v="2"/>
    <s v="Research Scientist"/>
    <n v="1"/>
    <s v="Married"/>
    <n v="4284"/>
    <n v="13588"/>
    <n v="5"/>
    <x v="0"/>
    <n v="22"/>
    <n v="4"/>
    <n v="3"/>
    <n v="1"/>
    <n v="16"/>
    <n v="2"/>
    <n v="3"/>
    <n v="5"/>
    <n v="3"/>
    <n v="0"/>
    <n v="4"/>
  </r>
  <r>
    <n v="35"/>
    <x v="1"/>
    <s v="Travel_Rarely"/>
    <n v="219"/>
    <x v="1"/>
    <n v="16"/>
    <n v="2"/>
    <s v="Other"/>
    <n v="1886"/>
    <n v="4"/>
    <x v="0"/>
    <n v="44"/>
    <n v="2"/>
    <n v="2"/>
    <s v="Manufacturing Director"/>
    <n v="2"/>
    <s v="Married"/>
    <n v="4788"/>
    <n v="25388"/>
    <n v="0"/>
    <x v="0"/>
    <n v="11"/>
    <n v="3"/>
    <n v="4"/>
    <n v="0"/>
    <n v="4"/>
    <n v="2"/>
    <n v="3"/>
    <n v="3"/>
    <n v="2"/>
    <n v="0"/>
    <n v="2"/>
  </r>
  <r>
    <n v="45"/>
    <x v="1"/>
    <s v="Travel_Rarely"/>
    <n v="556"/>
    <x v="1"/>
    <n v="25"/>
    <n v="2"/>
    <s v="Life Sciences"/>
    <n v="1888"/>
    <n v="2"/>
    <x v="0"/>
    <n v="93"/>
    <n v="2"/>
    <n v="2"/>
    <s v="Manufacturing Director"/>
    <n v="4"/>
    <s v="Married"/>
    <n v="5906"/>
    <n v="23888"/>
    <n v="0"/>
    <x v="1"/>
    <n v="13"/>
    <n v="3"/>
    <n v="4"/>
    <n v="2"/>
    <n v="10"/>
    <n v="2"/>
    <n v="2"/>
    <n v="9"/>
    <n v="8"/>
    <n v="3"/>
    <n v="8"/>
  </r>
  <r>
    <n v="36"/>
    <x v="1"/>
    <s v="Travel_Frequently"/>
    <n v="1213"/>
    <x v="2"/>
    <n v="2"/>
    <n v="1"/>
    <s v="Human Resources"/>
    <n v="1890"/>
    <n v="2"/>
    <x v="1"/>
    <n v="94"/>
    <n v="2"/>
    <n v="2"/>
    <s v="Human Resources"/>
    <n v="4"/>
    <s v="Single"/>
    <n v="3886"/>
    <n v="4223"/>
    <n v="1"/>
    <x v="1"/>
    <n v="21"/>
    <n v="4"/>
    <n v="4"/>
    <n v="0"/>
    <n v="10"/>
    <n v="2"/>
    <n v="2"/>
    <n v="10"/>
    <n v="1"/>
    <n v="0"/>
    <n v="8"/>
  </r>
  <r>
    <n v="40"/>
    <x v="1"/>
    <s v="Travel_Rarely"/>
    <n v="1137"/>
    <x v="1"/>
    <n v="1"/>
    <n v="4"/>
    <s v="Life Sciences"/>
    <n v="1892"/>
    <n v="1"/>
    <x v="1"/>
    <n v="98"/>
    <n v="3"/>
    <n v="4"/>
    <s v="Manager"/>
    <n v="1"/>
    <s v="Divorced"/>
    <n v="16823"/>
    <n v="18991"/>
    <n v="2"/>
    <x v="1"/>
    <n v="11"/>
    <n v="3"/>
    <n v="1"/>
    <n v="1"/>
    <n v="22"/>
    <n v="3"/>
    <n v="3"/>
    <n v="19"/>
    <n v="7"/>
    <n v="11"/>
    <n v="16"/>
  </r>
  <r>
    <n v="26"/>
    <x v="1"/>
    <s v="Travel_Rarely"/>
    <n v="482"/>
    <x v="1"/>
    <n v="1"/>
    <n v="2"/>
    <s v="Life Sciences"/>
    <n v="1893"/>
    <n v="2"/>
    <x v="0"/>
    <n v="90"/>
    <n v="2"/>
    <n v="1"/>
    <s v="Research Scientist"/>
    <n v="3"/>
    <s v="Married"/>
    <n v="2933"/>
    <n v="14908"/>
    <n v="1"/>
    <x v="0"/>
    <n v="13"/>
    <n v="3"/>
    <n v="3"/>
    <n v="1"/>
    <n v="1"/>
    <n v="3"/>
    <n v="2"/>
    <n v="1"/>
    <n v="0"/>
    <n v="1"/>
    <n v="0"/>
  </r>
  <r>
    <n v="27"/>
    <x v="1"/>
    <s v="Travel_Rarely"/>
    <n v="511"/>
    <x v="0"/>
    <n v="2"/>
    <n v="2"/>
    <s v="Medical"/>
    <n v="1898"/>
    <n v="1"/>
    <x v="0"/>
    <n v="89"/>
    <n v="4"/>
    <n v="2"/>
    <s v="Sales Executive"/>
    <n v="3"/>
    <s v="Single"/>
    <n v="6500"/>
    <n v="26997"/>
    <n v="0"/>
    <x v="1"/>
    <n v="14"/>
    <n v="3"/>
    <n v="2"/>
    <n v="0"/>
    <n v="9"/>
    <n v="5"/>
    <n v="2"/>
    <n v="8"/>
    <n v="7"/>
    <n v="0"/>
    <n v="7"/>
  </r>
  <r>
    <n v="48"/>
    <x v="1"/>
    <s v="Travel_Frequently"/>
    <n v="117"/>
    <x v="1"/>
    <n v="22"/>
    <n v="3"/>
    <s v="Medical"/>
    <n v="1900"/>
    <n v="4"/>
    <x v="0"/>
    <n v="58"/>
    <n v="3"/>
    <n v="4"/>
    <s v="Manager"/>
    <n v="4"/>
    <s v="Divorced"/>
    <n v="17174"/>
    <n v="2437"/>
    <n v="3"/>
    <x v="1"/>
    <n v="11"/>
    <n v="3"/>
    <n v="2"/>
    <n v="1"/>
    <n v="24"/>
    <n v="3"/>
    <n v="3"/>
    <n v="22"/>
    <n v="17"/>
    <n v="4"/>
    <n v="7"/>
  </r>
  <r>
    <n v="44"/>
    <x v="1"/>
    <s v="Travel_Rarely"/>
    <n v="170"/>
    <x v="1"/>
    <n v="1"/>
    <n v="4"/>
    <s v="Life Sciences"/>
    <n v="1903"/>
    <n v="2"/>
    <x v="1"/>
    <n v="78"/>
    <n v="4"/>
    <n v="2"/>
    <s v="Healthcare Representative"/>
    <n v="1"/>
    <s v="Married"/>
    <n v="5033"/>
    <n v="9364"/>
    <n v="2"/>
    <x v="1"/>
    <n v="15"/>
    <n v="3"/>
    <n v="4"/>
    <n v="1"/>
    <n v="10"/>
    <n v="5"/>
    <n v="3"/>
    <n v="2"/>
    <n v="0"/>
    <n v="2"/>
    <n v="2"/>
  </r>
  <r>
    <n v="34"/>
    <x v="0"/>
    <s v="Non-Travel"/>
    <n v="967"/>
    <x v="1"/>
    <n v="16"/>
    <n v="4"/>
    <s v="Technical Degree"/>
    <n v="1905"/>
    <n v="4"/>
    <x v="1"/>
    <n v="85"/>
    <n v="1"/>
    <n v="1"/>
    <s v="Research Scientist"/>
    <n v="1"/>
    <s v="Married"/>
    <n v="2307"/>
    <n v="14460"/>
    <n v="1"/>
    <x v="0"/>
    <n v="23"/>
    <n v="4"/>
    <n v="2"/>
    <n v="1"/>
    <n v="5"/>
    <n v="2"/>
    <n v="3"/>
    <n v="5"/>
    <n v="2"/>
    <n v="3"/>
    <n v="0"/>
  </r>
  <r>
    <n v="56"/>
    <x v="0"/>
    <s v="Travel_Rarely"/>
    <n v="1162"/>
    <x v="1"/>
    <n v="24"/>
    <n v="2"/>
    <s v="Life Sciences"/>
    <n v="1907"/>
    <n v="1"/>
    <x v="1"/>
    <n v="97"/>
    <n v="3"/>
    <n v="1"/>
    <s v="Laboratory Technician"/>
    <n v="4"/>
    <s v="Single"/>
    <n v="2587"/>
    <n v="10261"/>
    <n v="1"/>
    <x v="1"/>
    <n v="16"/>
    <n v="3"/>
    <n v="4"/>
    <n v="0"/>
    <n v="5"/>
    <n v="3"/>
    <n v="3"/>
    <n v="4"/>
    <n v="2"/>
    <n v="1"/>
    <n v="0"/>
  </r>
  <r>
    <n v="36"/>
    <x v="1"/>
    <s v="Travel_Rarely"/>
    <n v="335"/>
    <x v="0"/>
    <n v="17"/>
    <n v="2"/>
    <s v="Marketing"/>
    <n v="1908"/>
    <n v="3"/>
    <x v="1"/>
    <n v="33"/>
    <n v="2"/>
    <n v="2"/>
    <s v="Sales Executive"/>
    <n v="2"/>
    <s v="Married"/>
    <n v="5507"/>
    <n v="16822"/>
    <n v="2"/>
    <x v="1"/>
    <n v="16"/>
    <n v="3"/>
    <n v="3"/>
    <n v="2"/>
    <n v="12"/>
    <n v="1"/>
    <n v="1"/>
    <n v="4"/>
    <n v="2"/>
    <n v="1"/>
    <n v="3"/>
  </r>
  <r>
    <n v="41"/>
    <x v="1"/>
    <s v="Travel_Rarely"/>
    <n v="337"/>
    <x v="0"/>
    <n v="8"/>
    <n v="3"/>
    <s v="Marketing"/>
    <n v="1909"/>
    <n v="3"/>
    <x v="0"/>
    <n v="54"/>
    <n v="3"/>
    <n v="2"/>
    <s v="Sales Executive"/>
    <n v="2"/>
    <s v="Married"/>
    <n v="4393"/>
    <n v="26841"/>
    <n v="5"/>
    <x v="1"/>
    <n v="21"/>
    <n v="4"/>
    <n v="3"/>
    <n v="1"/>
    <n v="14"/>
    <n v="3"/>
    <n v="3"/>
    <n v="5"/>
    <n v="4"/>
    <n v="1"/>
    <n v="4"/>
  </r>
  <r>
    <n v="42"/>
    <x v="1"/>
    <s v="Travel_Rarely"/>
    <n v="1396"/>
    <x v="1"/>
    <n v="6"/>
    <n v="3"/>
    <s v="Medical"/>
    <n v="1911"/>
    <n v="3"/>
    <x v="1"/>
    <n v="83"/>
    <n v="3"/>
    <n v="3"/>
    <s v="Research Director"/>
    <n v="1"/>
    <s v="Married"/>
    <n v="13348"/>
    <n v="14842"/>
    <n v="9"/>
    <x v="1"/>
    <n v="13"/>
    <n v="3"/>
    <n v="2"/>
    <n v="1"/>
    <n v="18"/>
    <n v="3"/>
    <n v="4"/>
    <n v="13"/>
    <n v="7"/>
    <n v="5"/>
    <n v="7"/>
  </r>
  <r>
    <n v="31"/>
    <x v="1"/>
    <s v="Travel_Rarely"/>
    <n v="1079"/>
    <x v="0"/>
    <n v="10"/>
    <n v="2"/>
    <s v="Medical"/>
    <n v="1912"/>
    <n v="3"/>
    <x v="0"/>
    <n v="86"/>
    <n v="3"/>
    <n v="2"/>
    <s v="Sales Executive"/>
    <n v="4"/>
    <s v="Divorced"/>
    <n v="6583"/>
    <n v="20115"/>
    <n v="2"/>
    <x v="0"/>
    <n v="11"/>
    <n v="3"/>
    <n v="4"/>
    <n v="1"/>
    <n v="8"/>
    <n v="2"/>
    <n v="3"/>
    <n v="5"/>
    <n v="2"/>
    <n v="1"/>
    <n v="4"/>
  </r>
  <r>
    <n v="34"/>
    <x v="1"/>
    <s v="Travel_Rarely"/>
    <n v="735"/>
    <x v="0"/>
    <n v="3"/>
    <n v="1"/>
    <s v="Medical"/>
    <n v="1915"/>
    <n v="4"/>
    <x v="0"/>
    <n v="75"/>
    <n v="2"/>
    <n v="2"/>
    <s v="Sales Executive"/>
    <n v="4"/>
    <s v="Married"/>
    <n v="8103"/>
    <n v="16495"/>
    <n v="3"/>
    <x v="0"/>
    <n v="12"/>
    <n v="3"/>
    <n v="3"/>
    <n v="0"/>
    <n v="9"/>
    <n v="3"/>
    <n v="2"/>
    <n v="4"/>
    <n v="2"/>
    <n v="0"/>
    <n v="1"/>
  </r>
  <r>
    <n v="31"/>
    <x v="1"/>
    <s v="Travel_Rarely"/>
    <n v="471"/>
    <x v="1"/>
    <n v="4"/>
    <n v="3"/>
    <s v="Medical"/>
    <n v="1916"/>
    <n v="1"/>
    <x v="0"/>
    <n v="62"/>
    <n v="4"/>
    <n v="1"/>
    <s v="Laboratory Technician"/>
    <n v="3"/>
    <s v="Divorced"/>
    <n v="3978"/>
    <n v="16031"/>
    <n v="8"/>
    <x v="1"/>
    <n v="12"/>
    <n v="3"/>
    <n v="2"/>
    <n v="1"/>
    <n v="4"/>
    <n v="0"/>
    <n v="2"/>
    <n v="2"/>
    <n v="2"/>
    <n v="2"/>
    <n v="2"/>
  </r>
  <r>
    <n v="26"/>
    <x v="1"/>
    <s v="Travel_Frequently"/>
    <n v="1096"/>
    <x v="1"/>
    <n v="6"/>
    <n v="3"/>
    <s v="Other"/>
    <n v="1918"/>
    <n v="3"/>
    <x v="1"/>
    <n v="61"/>
    <n v="4"/>
    <n v="1"/>
    <s v="Laboratory Technician"/>
    <n v="4"/>
    <s v="Married"/>
    <n v="2544"/>
    <n v="7102"/>
    <n v="0"/>
    <x v="1"/>
    <n v="18"/>
    <n v="3"/>
    <n v="1"/>
    <n v="1"/>
    <n v="8"/>
    <n v="3"/>
    <n v="3"/>
    <n v="7"/>
    <n v="7"/>
    <n v="7"/>
    <n v="7"/>
  </r>
  <r>
    <n v="45"/>
    <x v="1"/>
    <s v="Travel_Frequently"/>
    <n v="1297"/>
    <x v="1"/>
    <n v="1"/>
    <n v="4"/>
    <s v="Medical"/>
    <n v="1922"/>
    <n v="2"/>
    <x v="1"/>
    <n v="44"/>
    <n v="3"/>
    <n v="2"/>
    <s v="Healthcare Representative"/>
    <n v="3"/>
    <s v="Single"/>
    <n v="5399"/>
    <n v="14511"/>
    <n v="4"/>
    <x v="1"/>
    <n v="12"/>
    <n v="3"/>
    <n v="3"/>
    <n v="0"/>
    <n v="12"/>
    <n v="3"/>
    <n v="3"/>
    <n v="4"/>
    <n v="2"/>
    <n v="0"/>
    <n v="3"/>
  </r>
  <r>
    <n v="33"/>
    <x v="1"/>
    <s v="Travel_Rarely"/>
    <n v="217"/>
    <x v="0"/>
    <n v="10"/>
    <n v="4"/>
    <s v="Marketing"/>
    <n v="1924"/>
    <n v="2"/>
    <x v="1"/>
    <n v="43"/>
    <n v="3"/>
    <n v="2"/>
    <s v="Sales Executive"/>
    <n v="3"/>
    <s v="Single"/>
    <n v="5487"/>
    <n v="10410"/>
    <n v="1"/>
    <x v="1"/>
    <n v="14"/>
    <n v="3"/>
    <n v="2"/>
    <n v="0"/>
    <n v="10"/>
    <n v="2"/>
    <n v="2"/>
    <n v="10"/>
    <n v="4"/>
    <n v="0"/>
    <n v="9"/>
  </r>
  <r>
    <n v="28"/>
    <x v="1"/>
    <s v="Travel_Frequently"/>
    <n v="783"/>
    <x v="0"/>
    <n v="1"/>
    <n v="2"/>
    <s v="Life Sciences"/>
    <n v="1927"/>
    <n v="3"/>
    <x v="1"/>
    <n v="42"/>
    <n v="2"/>
    <n v="2"/>
    <s v="Sales Executive"/>
    <n v="4"/>
    <s v="Married"/>
    <n v="6834"/>
    <n v="19255"/>
    <n v="1"/>
    <x v="0"/>
    <n v="12"/>
    <n v="3"/>
    <n v="3"/>
    <n v="1"/>
    <n v="7"/>
    <n v="2"/>
    <n v="3"/>
    <n v="7"/>
    <n v="7"/>
    <n v="0"/>
    <n v="7"/>
  </r>
  <r>
    <n v="29"/>
    <x v="0"/>
    <s v="Travel_Frequently"/>
    <n v="746"/>
    <x v="0"/>
    <n v="24"/>
    <n v="3"/>
    <s v="Technical Degree"/>
    <n v="1928"/>
    <n v="3"/>
    <x v="1"/>
    <n v="45"/>
    <n v="4"/>
    <n v="1"/>
    <s v="Sales Representative"/>
    <n v="1"/>
    <s v="Single"/>
    <n v="1091"/>
    <n v="10642"/>
    <n v="1"/>
    <x v="1"/>
    <n v="17"/>
    <n v="3"/>
    <n v="4"/>
    <n v="0"/>
    <n v="1"/>
    <n v="3"/>
    <n v="3"/>
    <n v="1"/>
    <n v="0"/>
    <n v="0"/>
    <n v="0"/>
  </r>
  <r>
    <n v="39"/>
    <x v="1"/>
    <s v="Non-Travel"/>
    <n v="1251"/>
    <x v="0"/>
    <n v="21"/>
    <n v="4"/>
    <s v="Life Sciences"/>
    <n v="1929"/>
    <n v="1"/>
    <x v="0"/>
    <n v="32"/>
    <n v="1"/>
    <n v="2"/>
    <s v="Sales Executive"/>
    <n v="3"/>
    <s v="Married"/>
    <n v="5736"/>
    <n v="3987"/>
    <n v="6"/>
    <x v="1"/>
    <n v="19"/>
    <n v="3"/>
    <n v="3"/>
    <n v="1"/>
    <n v="10"/>
    <n v="1"/>
    <n v="3"/>
    <n v="3"/>
    <n v="2"/>
    <n v="1"/>
    <n v="2"/>
  </r>
  <r>
    <n v="27"/>
    <x v="1"/>
    <s v="Travel_Rarely"/>
    <n v="1354"/>
    <x v="1"/>
    <n v="2"/>
    <n v="4"/>
    <s v="Technical Degree"/>
    <n v="1931"/>
    <n v="2"/>
    <x v="1"/>
    <n v="41"/>
    <n v="3"/>
    <n v="1"/>
    <s v="Research Scientist"/>
    <n v="2"/>
    <s v="Married"/>
    <n v="2226"/>
    <n v="6073"/>
    <n v="1"/>
    <x v="1"/>
    <n v="11"/>
    <n v="3"/>
    <n v="3"/>
    <n v="1"/>
    <n v="6"/>
    <n v="3"/>
    <n v="2"/>
    <n v="5"/>
    <n v="3"/>
    <n v="1"/>
    <n v="2"/>
  </r>
  <r>
    <n v="34"/>
    <x v="1"/>
    <s v="Travel_Frequently"/>
    <n v="735"/>
    <x v="1"/>
    <n v="22"/>
    <n v="4"/>
    <s v="Other"/>
    <n v="1932"/>
    <n v="3"/>
    <x v="1"/>
    <n v="86"/>
    <n v="2"/>
    <n v="2"/>
    <s v="Research Scientist"/>
    <n v="4"/>
    <s v="Married"/>
    <n v="5747"/>
    <n v="26496"/>
    <n v="1"/>
    <x v="0"/>
    <n v="15"/>
    <n v="3"/>
    <n v="2"/>
    <n v="0"/>
    <n v="16"/>
    <n v="3"/>
    <n v="3"/>
    <n v="15"/>
    <n v="10"/>
    <n v="6"/>
    <n v="11"/>
  </r>
  <r>
    <n v="28"/>
    <x v="0"/>
    <s v="Travel_Rarely"/>
    <n v="1475"/>
    <x v="0"/>
    <n v="13"/>
    <n v="2"/>
    <s v="Marketing"/>
    <n v="1933"/>
    <n v="4"/>
    <x v="0"/>
    <n v="84"/>
    <n v="3"/>
    <n v="2"/>
    <s v="Sales Executive"/>
    <n v="3"/>
    <s v="Single"/>
    <n v="9854"/>
    <n v="23352"/>
    <n v="3"/>
    <x v="0"/>
    <n v="11"/>
    <n v="3"/>
    <n v="4"/>
    <n v="0"/>
    <n v="6"/>
    <n v="0"/>
    <n v="3"/>
    <n v="2"/>
    <n v="0"/>
    <n v="2"/>
    <n v="2"/>
  </r>
  <r>
    <n v="47"/>
    <x v="1"/>
    <s v="Non-Travel"/>
    <n v="1169"/>
    <x v="1"/>
    <n v="14"/>
    <n v="4"/>
    <s v="Technical Degree"/>
    <n v="1934"/>
    <n v="3"/>
    <x v="1"/>
    <n v="64"/>
    <n v="3"/>
    <n v="2"/>
    <s v="Research Scientist"/>
    <n v="2"/>
    <s v="Married"/>
    <n v="5467"/>
    <n v="2125"/>
    <n v="8"/>
    <x v="1"/>
    <n v="18"/>
    <n v="3"/>
    <n v="3"/>
    <n v="1"/>
    <n v="16"/>
    <n v="4"/>
    <n v="4"/>
    <n v="8"/>
    <n v="7"/>
    <n v="1"/>
    <n v="7"/>
  </r>
  <r>
    <n v="56"/>
    <x v="1"/>
    <s v="Travel_Rarely"/>
    <n v="1443"/>
    <x v="0"/>
    <n v="11"/>
    <n v="5"/>
    <s v="Marketing"/>
    <n v="1935"/>
    <n v="4"/>
    <x v="0"/>
    <n v="89"/>
    <n v="2"/>
    <n v="2"/>
    <s v="Sales Executive"/>
    <n v="1"/>
    <s v="Married"/>
    <n v="5380"/>
    <n v="20328"/>
    <n v="4"/>
    <x v="1"/>
    <n v="16"/>
    <n v="3"/>
    <n v="3"/>
    <n v="1"/>
    <n v="6"/>
    <n v="3"/>
    <n v="3"/>
    <n v="0"/>
    <n v="0"/>
    <n v="0"/>
    <n v="0"/>
  </r>
  <r>
    <n v="39"/>
    <x v="1"/>
    <s v="Travel_Rarely"/>
    <n v="867"/>
    <x v="1"/>
    <n v="9"/>
    <n v="2"/>
    <s v="Medical"/>
    <n v="1936"/>
    <n v="1"/>
    <x v="1"/>
    <n v="87"/>
    <n v="3"/>
    <n v="2"/>
    <s v="Manufacturing Director"/>
    <n v="1"/>
    <s v="Married"/>
    <n v="5151"/>
    <n v="12315"/>
    <n v="1"/>
    <x v="1"/>
    <n v="25"/>
    <n v="4"/>
    <n v="4"/>
    <n v="1"/>
    <n v="10"/>
    <n v="3"/>
    <n v="3"/>
    <n v="10"/>
    <n v="0"/>
    <n v="7"/>
    <n v="9"/>
  </r>
  <r>
    <n v="38"/>
    <x v="1"/>
    <s v="Travel_Frequently"/>
    <n v="1394"/>
    <x v="1"/>
    <n v="8"/>
    <n v="3"/>
    <s v="Medical"/>
    <n v="1937"/>
    <n v="4"/>
    <x v="0"/>
    <n v="58"/>
    <n v="2"/>
    <n v="2"/>
    <s v="Research Scientist"/>
    <n v="2"/>
    <s v="Divorced"/>
    <n v="2133"/>
    <n v="18115"/>
    <n v="1"/>
    <x v="0"/>
    <n v="16"/>
    <n v="3"/>
    <n v="3"/>
    <n v="1"/>
    <n v="20"/>
    <n v="3"/>
    <n v="3"/>
    <n v="20"/>
    <n v="11"/>
    <n v="0"/>
    <n v="7"/>
  </r>
  <r>
    <n v="58"/>
    <x v="1"/>
    <s v="Travel_Rarely"/>
    <n v="605"/>
    <x v="0"/>
    <n v="21"/>
    <n v="3"/>
    <s v="Life Sciences"/>
    <n v="1938"/>
    <n v="4"/>
    <x v="0"/>
    <n v="72"/>
    <n v="3"/>
    <n v="4"/>
    <s v="Manager"/>
    <n v="4"/>
    <s v="Married"/>
    <n v="17875"/>
    <n v="11761"/>
    <n v="4"/>
    <x v="0"/>
    <n v="13"/>
    <n v="3"/>
    <n v="3"/>
    <n v="1"/>
    <n v="29"/>
    <n v="2"/>
    <n v="2"/>
    <n v="1"/>
    <n v="0"/>
    <n v="0"/>
    <n v="0"/>
  </r>
  <r>
    <n v="32"/>
    <x v="0"/>
    <s v="Travel_Frequently"/>
    <n v="238"/>
    <x v="1"/>
    <n v="5"/>
    <n v="2"/>
    <s v="Life Sciences"/>
    <n v="1939"/>
    <n v="1"/>
    <x v="0"/>
    <n v="47"/>
    <n v="4"/>
    <n v="1"/>
    <s v="Research Scientist"/>
    <n v="3"/>
    <s v="Single"/>
    <n v="2432"/>
    <n v="15318"/>
    <n v="3"/>
    <x v="0"/>
    <n v="14"/>
    <n v="3"/>
    <n v="1"/>
    <n v="0"/>
    <n v="8"/>
    <n v="2"/>
    <n v="3"/>
    <n v="4"/>
    <n v="1"/>
    <n v="0"/>
    <n v="3"/>
  </r>
  <r>
    <n v="38"/>
    <x v="1"/>
    <s v="Travel_Rarely"/>
    <n v="1206"/>
    <x v="1"/>
    <n v="9"/>
    <n v="2"/>
    <s v="Life Sciences"/>
    <n v="1940"/>
    <n v="2"/>
    <x v="1"/>
    <n v="71"/>
    <n v="3"/>
    <n v="1"/>
    <s v="Research Scientist"/>
    <n v="4"/>
    <s v="Divorced"/>
    <n v="4771"/>
    <n v="14293"/>
    <n v="2"/>
    <x v="1"/>
    <n v="19"/>
    <n v="3"/>
    <n v="4"/>
    <n v="2"/>
    <n v="10"/>
    <n v="0"/>
    <n v="4"/>
    <n v="5"/>
    <n v="2"/>
    <n v="0"/>
    <n v="3"/>
  </r>
  <r>
    <n v="49"/>
    <x v="1"/>
    <s v="Travel_Frequently"/>
    <n v="1064"/>
    <x v="1"/>
    <n v="2"/>
    <n v="1"/>
    <s v="Life Sciences"/>
    <n v="1941"/>
    <n v="2"/>
    <x v="1"/>
    <n v="42"/>
    <n v="3"/>
    <n v="5"/>
    <s v="Research Director"/>
    <n v="4"/>
    <s v="Married"/>
    <n v="19161"/>
    <n v="13738"/>
    <n v="3"/>
    <x v="1"/>
    <n v="15"/>
    <n v="3"/>
    <n v="4"/>
    <n v="0"/>
    <n v="28"/>
    <n v="3"/>
    <n v="3"/>
    <n v="5"/>
    <n v="4"/>
    <n v="4"/>
    <n v="3"/>
  </r>
  <r>
    <n v="42"/>
    <x v="1"/>
    <s v="Travel_Rarely"/>
    <n v="419"/>
    <x v="0"/>
    <n v="12"/>
    <n v="4"/>
    <s v="Marketing"/>
    <n v="1943"/>
    <n v="2"/>
    <x v="1"/>
    <n v="77"/>
    <n v="3"/>
    <n v="2"/>
    <s v="Sales Executive"/>
    <n v="4"/>
    <s v="Divorced"/>
    <n v="5087"/>
    <n v="2900"/>
    <n v="3"/>
    <x v="0"/>
    <n v="12"/>
    <n v="3"/>
    <n v="3"/>
    <n v="2"/>
    <n v="14"/>
    <n v="4"/>
    <n v="3"/>
    <n v="0"/>
    <n v="0"/>
    <n v="0"/>
    <n v="0"/>
  </r>
  <r>
    <n v="27"/>
    <x v="0"/>
    <s v="Travel_Frequently"/>
    <n v="1337"/>
    <x v="2"/>
    <n v="22"/>
    <n v="3"/>
    <s v="Human Resources"/>
    <n v="1944"/>
    <n v="1"/>
    <x v="0"/>
    <n v="58"/>
    <n v="2"/>
    <n v="1"/>
    <s v="Human Resources"/>
    <n v="2"/>
    <s v="Married"/>
    <n v="2863"/>
    <n v="19555"/>
    <n v="1"/>
    <x v="1"/>
    <n v="12"/>
    <n v="3"/>
    <n v="1"/>
    <n v="0"/>
    <n v="1"/>
    <n v="2"/>
    <n v="3"/>
    <n v="1"/>
    <n v="0"/>
    <n v="0"/>
    <n v="0"/>
  </r>
  <r>
    <n v="35"/>
    <x v="1"/>
    <s v="Travel_Rarely"/>
    <n v="682"/>
    <x v="0"/>
    <n v="18"/>
    <n v="4"/>
    <s v="Medical"/>
    <n v="1945"/>
    <n v="2"/>
    <x v="1"/>
    <n v="71"/>
    <n v="3"/>
    <n v="2"/>
    <s v="Sales Executive"/>
    <n v="1"/>
    <s v="Married"/>
    <n v="5561"/>
    <n v="15975"/>
    <n v="0"/>
    <x v="1"/>
    <n v="16"/>
    <n v="3"/>
    <n v="4"/>
    <n v="1"/>
    <n v="6"/>
    <n v="2"/>
    <n v="1"/>
    <n v="5"/>
    <n v="3"/>
    <n v="0"/>
    <n v="4"/>
  </r>
  <r>
    <n v="28"/>
    <x v="1"/>
    <s v="Non-Travel"/>
    <n v="1103"/>
    <x v="1"/>
    <n v="16"/>
    <n v="3"/>
    <s v="Medical"/>
    <n v="1947"/>
    <n v="3"/>
    <x v="1"/>
    <n v="49"/>
    <n v="3"/>
    <n v="1"/>
    <s v="Research Scientist"/>
    <n v="3"/>
    <s v="Single"/>
    <n v="2144"/>
    <n v="2122"/>
    <n v="1"/>
    <x v="1"/>
    <n v="14"/>
    <n v="3"/>
    <n v="3"/>
    <n v="0"/>
    <n v="5"/>
    <n v="3"/>
    <n v="2"/>
    <n v="5"/>
    <n v="3"/>
    <n v="1"/>
    <n v="4"/>
  </r>
  <r>
    <n v="31"/>
    <x v="1"/>
    <s v="Non-Travel"/>
    <n v="976"/>
    <x v="1"/>
    <n v="3"/>
    <n v="2"/>
    <s v="Medical"/>
    <n v="1948"/>
    <n v="3"/>
    <x v="1"/>
    <n v="48"/>
    <n v="3"/>
    <n v="1"/>
    <s v="Research Scientist"/>
    <n v="1"/>
    <s v="Divorced"/>
    <n v="3065"/>
    <n v="3995"/>
    <n v="1"/>
    <x v="0"/>
    <n v="13"/>
    <n v="3"/>
    <n v="4"/>
    <n v="1"/>
    <n v="4"/>
    <n v="3"/>
    <n v="4"/>
    <n v="4"/>
    <n v="2"/>
    <n v="2"/>
    <n v="3"/>
  </r>
  <r>
    <n v="36"/>
    <x v="1"/>
    <s v="Non-Travel"/>
    <n v="1351"/>
    <x v="1"/>
    <n v="9"/>
    <n v="4"/>
    <s v="Life Sciences"/>
    <n v="1949"/>
    <n v="1"/>
    <x v="1"/>
    <n v="66"/>
    <n v="4"/>
    <n v="1"/>
    <s v="Laboratory Technician"/>
    <n v="2"/>
    <s v="Married"/>
    <n v="2810"/>
    <n v="9238"/>
    <n v="1"/>
    <x v="1"/>
    <n v="22"/>
    <n v="4"/>
    <n v="2"/>
    <n v="0"/>
    <n v="5"/>
    <n v="3"/>
    <n v="3"/>
    <n v="5"/>
    <n v="4"/>
    <n v="0"/>
    <n v="2"/>
  </r>
  <r>
    <n v="34"/>
    <x v="1"/>
    <s v="Travel_Rarely"/>
    <n v="937"/>
    <x v="0"/>
    <n v="1"/>
    <n v="3"/>
    <s v="Marketing"/>
    <n v="1950"/>
    <n v="1"/>
    <x v="1"/>
    <n v="32"/>
    <n v="3"/>
    <n v="3"/>
    <s v="Sales Executive"/>
    <n v="4"/>
    <s v="Single"/>
    <n v="9888"/>
    <n v="6770"/>
    <n v="1"/>
    <x v="1"/>
    <n v="21"/>
    <n v="4"/>
    <n v="1"/>
    <n v="0"/>
    <n v="14"/>
    <n v="3"/>
    <n v="2"/>
    <n v="14"/>
    <n v="8"/>
    <n v="2"/>
    <n v="1"/>
  </r>
  <r>
    <n v="34"/>
    <x v="1"/>
    <s v="Travel_Rarely"/>
    <n v="1239"/>
    <x v="0"/>
    <n v="13"/>
    <n v="4"/>
    <s v="Medical"/>
    <n v="1951"/>
    <n v="4"/>
    <x v="1"/>
    <n v="39"/>
    <n v="3"/>
    <n v="3"/>
    <s v="Sales Executive"/>
    <n v="3"/>
    <s v="Divorced"/>
    <n v="8628"/>
    <n v="22914"/>
    <n v="1"/>
    <x v="1"/>
    <n v="18"/>
    <n v="3"/>
    <n v="3"/>
    <n v="1"/>
    <n v="9"/>
    <n v="2"/>
    <n v="2"/>
    <n v="8"/>
    <n v="7"/>
    <n v="1"/>
    <n v="1"/>
  </r>
  <r>
    <n v="26"/>
    <x v="1"/>
    <s v="Travel_Rarely"/>
    <n v="157"/>
    <x v="1"/>
    <n v="1"/>
    <n v="3"/>
    <s v="Medical"/>
    <n v="1952"/>
    <n v="3"/>
    <x v="1"/>
    <n v="95"/>
    <n v="3"/>
    <n v="1"/>
    <s v="Laboratory Technician"/>
    <n v="1"/>
    <s v="Single"/>
    <n v="2867"/>
    <n v="20006"/>
    <n v="0"/>
    <x v="1"/>
    <n v="13"/>
    <n v="3"/>
    <n v="4"/>
    <n v="0"/>
    <n v="8"/>
    <n v="6"/>
    <n v="2"/>
    <n v="7"/>
    <n v="7"/>
    <n v="7"/>
    <n v="6"/>
  </r>
  <r>
    <n v="29"/>
    <x v="1"/>
    <s v="Travel_Rarely"/>
    <n v="136"/>
    <x v="1"/>
    <n v="1"/>
    <n v="3"/>
    <s v="Life Sciences"/>
    <n v="1954"/>
    <n v="1"/>
    <x v="1"/>
    <n v="89"/>
    <n v="3"/>
    <n v="2"/>
    <s v="Healthcare Representative"/>
    <n v="1"/>
    <s v="Married"/>
    <n v="5373"/>
    <n v="6225"/>
    <n v="0"/>
    <x v="1"/>
    <n v="12"/>
    <n v="3"/>
    <n v="1"/>
    <n v="1"/>
    <n v="6"/>
    <n v="5"/>
    <n v="2"/>
    <n v="5"/>
    <n v="3"/>
    <n v="0"/>
    <n v="2"/>
  </r>
  <r>
    <n v="32"/>
    <x v="1"/>
    <s v="Non-Travel"/>
    <n v="1146"/>
    <x v="1"/>
    <n v="15"/>
    <n v="4"/>
    <s v="Medical"/>
    <n v="1955"/>
    <n v="3"/>
    <x v="0"/>
    <n v="34"/>
    <n v="3"/>
    <n v="2"/>
    <s v="Healthcare Representative"/>
    <n v="4"/>
    <s v="Divorced"/>
    <n v="6667"/>
    <n v="16542"/>
    <n v="5"/>
    <x v="1"/>
    <n v="18"/>
    <n v="3"/>
    <n v="2"/>
    <n v="1"/>
    <n v="9"/>
    <n v="6"/>
    <n v="3"/>
    <n v="5"/>
    <n v="1"/>
    <n v="1"/>
    <n v="2"/>
  </r>
  <r>
    <n v="31"/>
    <x v="1"/>
    <s v="Travel_Frequently"/>
    <n v="1125"/>
    <x v="1"/>
    <n v="1"/>
    <n v="3"/>
    <s v="Life Sciences"/>
    <n v="1956"/>
    <n v="4"/>
    <x v="1"/>
    <n v="48"/>
    <n v="1"/>
    <n v="2"/>
    <s v="Research Scientist"/>
    <n v="1"/>
    <s v="Married"/>
    <n v="5003"/>
    <n v="5771"/>
    <n v="1"/>
    <x v="1"/>
    <n v="21"/>
    <n v="4"/>
    <n v="2"/>
    <n v="0"/>
    <n v="10"/>
    <n v="6"/>
    <n v="3"/>
    <n v="10"/>
    <n v="8"/>
    <n v="8"/>
    <n v="7"/>
  </r>
  <r>
    <n v="28"/>
    <x v="0"/>
    <s v="Travel_Rarely"/>
    <n v="1404"/>
    <x v="1"/>
    <n v="17"/>
    <n v="3"/>
    <s v="Technical Degree"/>
    <n v="1960"/>
    <n v="3"/>
    <x v="1"/>
    <n v="32"/>
    <n v="2"/>
    <n v="1"/>
    <s v="Laboratory Technician"/>
    <n v="4"/>
    <s v="Divorced"/>
    <n v="2367"/>
    <n v="18779"/>
    <n v="5"/>
    <x v="1"/>
    <n v="12"/>
    <n v="3"/>
    <n v="1"/>
    <n v="1"/>
    <n v="6"/>
    <n v="2"/>
    <n v="2"/>
    <n v="4"/>
    <n v="1"/>
    <n v="0"/>
    <n v="3"/>
  </r>
  <r>
    <n v="38"/>
    <x v="1"/>
    <s v="Travel_Rarely"/>
    <n v="1404"/>
    <x v="0"/>
    <n v="1"/>
    <n v="3"/>
    <s v="Life Sciences"/>
    <n v="1961"/>
    <n v="1"/>
    <x v="1"/>
    <n v="59"/>
    <n v="2"/>
    <n v="1"/>
    <s v="Sales Representative"/>
    <n v="1"/>
    <s v="Single"/>
    <n v="2858"/>
    <n v="11473"/>
    <n v="4"/>
    <x v="1"/>
    <n v="14"/>
    <n v="3"/>
    <n v="1"/>
    <n v="0"/>
    <n v="20"/>
    <n v="3"/>
    <n v="2"/>
    <n v="1"/>
    <n v="0"/>
    <n v="0"/>
    <n v="0"/>
  </r>
  <r>
    <n v="35"/>
    <x v="1"/>
    <s v="Travel_Rarely"/>
    <n v="1224"/>
    <x v="0"/>
    <n v="7"/>
    <n v="4"/>
    <s v="Life Sciences"/>
    <n v="1962"/>
    <n v="3"/>
    <x v="0"/>
    <n v="55"/>
    <n v="3"/>
    <n v="2"/>
    <s v="Sales Executive"/>
    <n v="4"/>
    <s v="Married"/>
    <n v="5204"/>
    <n v="13586"/>
    <n v="1"/>
    <x v="0"/>
    <n v="11"/>
    <n v="3"/>
    <n v="4"/>
    <n v="0"/>
    <n v="10"/>
    <n v="2"/>
    <n v="3"/>
    <n v="10"/>
    <n v="8"/>
    <n v="0"/>
    <n v="9"/>
  </r>
  <r>
    <n v="27"/>
    <x v="1"/>
    <s v="Travel_Rarely"/>
    <n v="954"/>
    <x v="0"/>
    <n v="9"/>
    <n v="3"/>
    <s v="Marketing"/>
    <n v="1965"/>
    <n v="4"/>
    <x v="1"/>
    <n v="44"/>
    <n v="3"/>
    <n v="2"/>
    <s v="Sales Executive"/>
    <n v="4"/>
    <s v="Single"/>
    <n v="4105"/>
    <n v="5099"/>
    <n v="1"/>
    <x v="1"/>
    <n v="14"/>
    <n v="3"/>
    <n v="1"/>
    <n v="0"/>
    <n v="7"/>
    <n v="5"/>
    <n v="3"/>
    <n v="7"/>
    <n v="7"/>
    <n v="0"/>
    <n v="7"/>
  </r>
  <r>
    <n v="32"/>
    <x v="1"/>
    <s v="Travel_Rarely"/>
    <n v="1373"/>
    <x v="1"/>
    <n v="5"/>
    <n v="4"/>
    <s v="Life Sciences"/>
    <n v="1966"/>
    <n v="4"/>
    <x v="1"/>
    <n v="56"/>
    <n v="2"/>
    <n v="2"/>
    <s v="Manufacturing Director"/>
    <n v="4"/>
    <s v="Single"/>
    <n v="9679"/>
    <n v="10138"/>
    <n v="8"/>
    <x v="1"/>
    <n v="24"/>
    <n v="4"/>
    <n v="2"/>
    <n v="0"/>
    <n v="8"/>
    <n v="1"/>
    <n v="3"/>
    <n v="1"/>
    <n v="0"/>
    <n v="0"/>
    <n v="0"/>
  </r>
  <r>
    <n v="31"/>
    <x v="0"/>
    <s v="Travel_Frequently"/>
    <n v="754"/>
    <x v="0"/>
    <n v="26"/>
    <n v="4"/>
    <s v="Marketing"/>
    <n v="1967"/>
    <n v="1"/>
    <x v="1"/>
    <n v="63"/>
    <n v="3"/>
    <n v="2"/>
    <s v="Sales Executive"/>
    <n v="4"/>
    <s v="Married"/>
    <n v="5617"/>
    <n v="21075"/>
    <n v="1"/>
    <x v="0"/>
    <n v="11"/>
    <n v="3"/>
    <n v="3"/>
    <n v="0"/>
    <n v="10"/>
    <n v="4"/>
    <n v="3"/>
    <n v="10"/>
    <n v="7"/>
    <n v="0"/>
    <n v="8"/>
  </r>
  <r>
    <n v="53"/>
    <x v="0"/>
    <s v="Travel_Rarely"/>
    <n v="1168"/>
    <x v="0"/>
    <n v="24"/>
    <n v="4"/>
    <s v="Life Sciences"/>
    <n v="1968"/>
    <n v="1"/>
    <x v="1"/>
    <n v="66"/>
    <n v="3"/>
    <n v="3"/>
    <s v="Sales Executive"/>
    <n v="1"/>
    <s v="Single"/>
    <n v="10448"/>
    <n v="5843"/>
    <n v="6"/>
    <x v="0"/>
    <n v="13"/>
    <n v="3"/>
    <n v="2"/>
    <n v="0"/>
    <n v="15"/>
    <n v="2"/>
    <n v="2"/>
    <n v="2"/>
    <n v="2"/>
    <n v="2"/>
    <n v="2"/>
  </r>
  <r>
    <n v="54"/>
    <x v="1"/>
    <s v="Travel_Rarely"/>
    <n v="155"/>
    <x v="1"/>
    <n v="9"/>
    <n v="2"/>
    <s v="Life Sciences"/>
    <n v="1969"/>
    <n v="1"/>
    <x v="0"/>
    <n v="67"/>
    <n v="3"/>
    <n v="2"/>
    <s v="Research Scientist"/>
    <n v="3"/>
    <s v="Married"/>
    <n v="2897"/>
    <n v="22474"/>
    <n v="3"/>
    <x v="1"/>
    <n v="11"/>
    <n v="3"/>
    <n v="3"/>
    <n v="2"/>
    <n v="9"/>
    <n v="6"/>
    <n v="2"/>
    <n v="4"/>
    <n v="3"/>
    <n v="2"/>
    <n v="3"/>
  </r>
  <r>
    <n v="33"/>
    <x v="1"/>
    <s v="Travel_Frequently"/>
    <n v="1303"/>
    <x v="1"/>
    <n v="7"/>
    <n v="2"/>
    <s v="Life Sciences"/>
    <n v="1970"/>
    <n v="4"/>
    <x v="1"/>
    <n v="36"/>
    <n v="3"/>
    <n v="2"/>
    <s v="Healthcare Representative"/>
    <n v="3"/>
    <s v="Divorced"/>
    <n v="5968"/>
    <n v="18079"/>
    <n v="1"/>
    <x v="1"/>
    <n v="20"/>
    <n v="4"/>
    <n v="3"/>
    <n v="3"/>
    <n v="9"/>
    <n v="2"/>
    <n v="3"/>
    <n v="9"/>
    <n v="7"/>
    <n v="2"/>
    <n v="8"/>
  </r>
  <r>
    <n v="43"/>
    <x v="1"/>
    <s v="Travel_Rarely"/>
    <n v="574"/>
    <x v="1"/>
    <n v="11"/>
    <n v="3"/>
    <s v="Life Sciences"/>
    <n v="1971"/>
    <n v="1"/>
    <x v="1"/>
    <n v="30"/>
    <n v="3"/>
    <n v="3"/>
    <s v="Healthcare Representative"/>
    <n v="3"/>
    <s v="Married"/>
    <n v="7510"/>
    <n v="16873"/>
    <n v="1"/>
    <x v="1"/>
    <n v="17"/>
    <n v="3"/>
    <n v="2"/>
    <n v="1"/>
    <n v="10"/>
    <n v="1"/>
    <n v="3"/>
    <n v="10"/>
    <n v="9"/>
    <n v="0"/>
    <n v="9"/>
  </r>
  <r>
    <n v="38"/>
    <x v="1"/>
    <s v="Travel_Frequently"/>
    <n v="1444"/>
    <x v="2"/>
    <n v="1"/>
    <n v="4"/>
    <s v="Other"/>
    <n v="1972"/>
    <n v="4"/>
    <x v="1"/>
    <n v="88"/>
    <n v="3"/>
    <n v="1"/>
    <s v="Human Resources"/>
    <n v="2"/>
    <s v="Married"/>
    <n v="2991"/>
    <n v="5224"/>
    <n v="0"/>
    <x v="0"/>
    <n v="11"/>
    <n v="3"/>
    <n v="2"/>
    <n v="1"/>
    <n v="7"/>
    <n v="2"/>
    <n v="3"/>
    <n v="6"/>
    <n v="2"/>
    <n v="1"/>
    <n v="2"/>
  </r>
  <r>
    <n v="55"/>
    <x v="1"/>
    <s v="Travel_Rarely"/>
    <n v="189"/>
    <x v="2"/>
    <n v="26"/>
    <n v="4"/>
    <s v="Human Resources"/>
    <n v="1973"/>
    <n v="3"/>
    <x v="1"/>
    <n v="71"/>
    <n v="4"/>
    <n v="5"/>
    <s v="Manager"/>
    <n v="2"/>
    <s v="Married"/>
    <n v="19636"/>
    <n v="25811"/>
    <n v="4"/>
    <x v="0"/>
    <n v="18"/>
    <n v="3"/>
    <n v="1"/>
    <n v="1"/>
    <n v="35"/>
    <n v="0"/>
    <n v="3"/>
    <n v="10"/>
    <n v="9"/>
    <n v="1"/>
    <n v="4"/>
  </r>
  <r>
    <n v="31"/>
    <x v="1"/>
    <s v="Travel_Rarely"/>
    <n v="1276"/>
    <x v="1"/>
    <n v="2"/>
    <n v="1"/>
    <s v="Medical"/>
    <n v="1974"/>
    <n v="4"/>
    <x v="0"/>
    <n v="59"/>
    <n v="1"/>
    <n v="1"/>
    <s v="Laboratory Technician"/>
    <n v="4"/>
    <s v="Divorced"/>
    <n v="1129"/>
    <n v="17536"/>
    <n v="1"/>
    <x v="0"/>
    <n v="11"/>
    <n v="3"/>
    <n v="3"/>
    <n v="3"/>
    <n v="1"/>
    <n v="4"/>
    <n v="3"/>
    <n v="1"/>
    <n v="0"/>
    <n v="0"/>
    <n v="0"/>
  </r>
  <r>
    <n v="39"/>
    <x v="1"/>
    <s v="Travel_Rarely"/>
    <n v="119"/>
    <x v="0"/>
    <n v="15"/>
    <n v="4"/>
    <s v="Marketing"/>
    <n v="1975"/>
    <n v="2"/>
    <x v="1"/>
    <n v="77"/>
    <n v="3"/>
    <n v="4"/>
    <s v="Sales Executive"/>
    <n v="1"/>
    <s v="Single"/>
    <n v="13341"/>
    <n v="25098"/>
    <n v="0"/>
    <x v="1"/>
    <n v="12"/>
    <n v="3"/>
    <n v="1"/>
    <n v="0"/>
    <n v="21"/>
    <n v="3"/>
    <n v="3"/>
    <n v="20"/>
    <n v="8"/>
    <n v="11"/>
    <n v="10"/>
  </r>
  <r>
    <n v="42"/>
    <x v="1"/>
    <s v="Non-Travel"/>
    <n v="335"/>
    <x v="1"/>
    <n v="23"/>
    <n v="2"/>
    <s v="Life Sciences"/>
    <n v="1976"/>
    <n v="4"/>
    <x v="1"/>
    <n v="37"/>
    <n v="2"/>
    <n v="2"/>
    <s v="Research Scientist"/>
    <n v="3"/>
    <s v="Single"/>
    <n v="4332"/>
    <n v="14811"/>
    <n v="1"/>
    <x v="1"/>
    <n v="12"/>
    <n v="3"/>
    <n v="4"/>
    <n v="0"/>
    <n v="20"/>
    <n v="2"/>
    <n v="3"/>
    <n v="20"/>
    <n v="9"/>
    <n v="3"/>
    <n v="7"/>
  </r>
  <r>
    <n v="31"/>
    <x v="1"/>
    <s v="Non-Travel"/>
    <n v="697"/>
    <x v="1"/>
    <n v="10"/>
    <n v="3"/>
    <s v="Medical"/>
    <n v="1979"/>
    <n v="3"/>
    <x v="0"/>
    <n v="40"/>
    <n v="3"/>
    <n v="3"/>
    <s v="Research Director"/>
    <n v="3"/>
    <s v="Married"/>
    <n v="11031"/>
    <n v="26862"/>
    <n v="4"/>
    <x v="1"/>
    <n v="20"/>
    <n v="4"/>
    <n v="3"/>
    <n v="1"/>
    <n v="13"/>
    <n v="2"/>
    <n v="4"/>
    <n v="11"/>
    <n v="7"/>
    <n v="4"/>
    <n v="8"/>
  </r>
  <r>
    <n v="54"/>
    <x v="1"/>
    <s v="Travel_Rarely"/>
    <n v="157"/>
    <x v="1"/>
    <n v="10"/>
    <n v="3"/>
    <s v="Medical"/>
    <n v="1980"/>
    <n v="3"/>
    <x v="0"/>
    <n v="77"/>
    <n v="3"/>
    <n v="2"/>
    <s v="Manufacturing Director"/>
    <n v="1"/>
    <s v="Single"/>
    <n v="4440"/>
    <n v="25198"/>
    <n v="6"/>
    <x v="0"/>
    <n v="19"/>
    <n v="3"/>
    <n v="4"/>
    <n v="0"/>
    <n v="9"/>
    <n v="3"/>
    <n v="3"/>
    <n v="5"/>
    <n v="2"/>
    <n v="1"/>
    <n v="4"/>
  </r>
  <r>
    <n v="24"/>
    <x v="1"/>
    <s v="Travel_Rarely"/>
    <n v="771"/>
    <x v="1"/>
    <n v="1"/>
    <n v="2"/>
    <s v="Life Sciences"/>
    <n v="1981"/>
    <n v="2"/>
    <x v="1"/>
    <n v="45"/>
    <n v="2"/>
    <n v="2"/>
    <s v="Healthcare Representative"/>
    <n v="3"/>
    <s v="Single"/>
    <n v="4617"/>
    <n v="14120"/>
    <n v="1"/>
    <x v="1"/>
    <n v="12"/>
    <n v="3"/>
    <n v="2"/>
    <n v="0"/>
    <n v="4"/>
    <n v="2"/>
    <n v="2"/>
    <n v="4"/>
    <n v="3"/>
    <n v="1"/>
    <n v="2"/>
  </r>
  <r>
    <n v="23"/>
    <x v="1"/>
    <s v="Travel_Rarely"/>
    <n v="571"/>
    <x v="1"/>
    <n v="12"/>
    <n v="2"/>
    <s v="Other"/>
    <n v="1982"/>
    <n v="4"/>
    <x v="1"/>
    <n v="78"/>
    <n v="3"/>
    <n v="1"/>
    <s v="Laboratory Technician"/>
    <n v="4"/>
    <s v="Single"/>
    <n v="2647"/>
    <n v="13672"/>
    <n v="1"/>
    <x v="1"/>
    <n v="13"/>
    <n v="3"/>
    <n v="3"/>
    <n v="0"/>
    <n v="5"/>
    <n v="6"/>
    <n v="4"/>
    <n v="5"/>
    <n v="2"/>
    <n v="1"/>
    <n v="4"/>
  </r>
  <r>
    <n v="40"/>
    <x v="1"/>
    <s v="Travel_Frequently"/>
    <n v="692"/>
    <x v="1"/>
    <n v="11"/>
    <n v="3"/>
    <s v="Technical Degree"/>
    <n v="1985"/>
    <n v="4"/>
    <x v="0"/>
    <n v="73"/>
    <n v="3"/>
    <n v="2"/>
    <s v="Laboratory Technician"/>
    <n v="3"/>
    <s v="Married"/>
    <n v="6323"/>
    <n v="26849"/>
    <n v="1"/>
    <x v="1"/>
    <n v="11"/>
    <n v="3"/>
    <n v="1"/>
    <n v="1"/>
    <n v="10"/>
    <n v="2"/>
    <n v="4"/>
    <n v="10"/>
    <n v="9"/>
    <n v="9"/>
    <n v="4"/>
  </r>
  <r>
    <n v="40"/>
    <x v="1"/>
    <s v="Travel_Rarely"/>
    <n v="444"/>
    <x v="0"/>
    <n v="2"/>
    <n v="2"/>
    <s v="Marketing"/>
    <n v="1986"/>
    <n v="2"/>
    <x v="0"/>
    <n v="92"/>
    <n v="3"/>
    <n v="2"/>
    <s v="Sales Executive"/>
    <n v="2"/>
    <s v="Married"/>
    <n v="5677"/>
    <n v="4258"/>
    <n v="3"/>
    <x v="1"/>
    <n v="14"/>
    <n v="3"/>
    <n v="3"/>
    <n v="1"/>
    <n v="15"/>
    <n v="4"/>
    <n v="3"/>
    <n v="11"/>
    <n v="8"/>
    <n v="5"/>
    <n v="10"/>
  </r>
  <r>
    <n v="25"/>
    <x v="1"/>
    <s v="Travel_Rarely"/>
    <n v="309"/>
    <x v="2"/>
    <n v="2"/>
    <n v="3"/>
    <s v="Human Resources"/>
    <n v="1987"/>
    <n v="3"/>
    <x v="0"/>
    <n v="82"/>
    <n v="3"/>
    <n v="1"/>
    <s v="Human Resources"/>
    <n v="2"/>
    <s v="Married"/>
    <n v="2187"/>
    <n v="19655"/>
    <n v="4"/>
    <x v="1"/>
    <n v="14"/>
    <n v="3"/>
    <n v="3"/>
    <n v="0"/>
    <n v="6"/>
    <n v="3"/>
    <n v="3"/>
    <n v="2"/>
    <n v="0"/>
    <n v="1"/>
    <n v="2"/>
  </r>
  <r>
    <n v="30"/>
    <x v="1"/>
    <s v="Travel_Rarely"/>
    <n v="911"/>
    <x v="1"/>
    <n v="1"/>
    <n v="2"/>
    <s v="Medical"/>
    <n v="1989"/>
    <n v="4"/>
    <x v="1"/>
    <n v="76"/>
    <n v="3"/>
    <n v="1"/>
    <s v="Laboratory Technician"/>
    <n v="2"/>
    <s v="Married"/>
    <n v="3748"/>
    <n v="4077"/>
    <n v="1"/>
    <x v="1"/>
    <n v="13"/>
    <n v="3"/>
    <n v="3"/>
    <n v="0"/>
    <n v="12"/>
    <n v="6"/>
    <n v="2"/>
    <n v="12"/>
    <n v="8"/>
    <n v="1"/>
    <n v="7"/>
  </r>
  <r>
    <n v="25"/>
    <x v="1"/>
    <s v="Travel_Rarely"/>
    <n v="977"/>
    <x v="1"/>
    <n v="2"/>
    <n v="1"/>
    <s v="Other"/>
    <n v="1992"/>
    <n v="4"/>
    <x v="1"/>
    <n v="57"/>
    <n v="3"/>
    <n v="1"/>
    <s v="Laboratory Technician"/>
    <n v="3"/>
    <s v="Divorced"/>
    <n v="3977"/>
    <n v="7298"/>
    <n v="6"/>
    <x v="0"/>
    <n v="19"/>
    <n v="3"/>
    <n v="3"/>
    <n v="1"/>
    <n v="7"/>
    <n v="2"/>
    <n v="2"/>
    <n v="2"/>
    <n v="2"/>
    <n v="0"/>
    <n v="2"/>
  </r>
  <r>
    <n v="47"/>
    <x v="1"/>
    <s v="Travel_Rarely"/>
    <n v="1180"/>
    <x v="1"/>
    <n v="25"/>
    <n v="3"/>
    <s v="Medical"/>
    <n v="1993"/>
    <n v="1"/>
    <x v="1"/>
    <n v="84"/>
    <n v="3"/>
    <n v="3"/>
    <s v="Healthcare Representative"/>
    <n v="3"/>
    <s v="Single"/>
    <n v="8633"/>
    <n v="13084"/>
    <n v="2"/>
    <x v="1"/>
    <n v="23"/>
    <n v="4"/>
    <n v="2"/>
    <n v="0"/>
    <n v="25"/>
    <n v="3"/>
    <n v="3"/>
    <n v="17"/>
    <n v="14"/>
    <n v="12"/>
    <n v="11"/>
  </r>
  <r>
    <n v="33"/>
    <x v="1"/>
    <s v="Non-Travel"/>
    <n v="1313"/>
    <x v="1"/>
    <n v="1"/>
    <n v="2"/>
    <s v="Medical"/>
    <n v="1994"/>
    <n v="2"/>
    <x v="1"/>
    <n v="59"/>
    <n v="2"/>
    <n v="1"/>
    <s v="Laboratory Technician"/>
    <n v="3"/>
    <s v="Divorced"/>
    <n v="2008"/>
    <n v="20439"/>
    <n v="1"/>
    <x v="1"/>
    <n v="12"/>
    <n v="3"/>
    <n v="3"/>
    <n v="3"/>
    <n v="1"/>
    <n v="2"/>
    <n v="2"/>
    <n v="1"/>
    <n v="1"/>
    <n v="0"/>
    <n v="0"/>
  </r>
  <r>
    <n v="38"/>
    <x v="1"/>
    <s v="Travel_Rarely"/>
    <n v="1321"/>
    <x v="0"/>
    <n v="1"/>
    <n v="4"/>
    <s v="Life Sciences"/>
    <n v="1995"/>
    <n v="4"/>
    <x v="1"/>
    <n v="86"/>
    <n v="3"/>
    <n v="2"/>
    <s v="Sales Executive"/>
    <n v="2"/>
    <s v="Married"/>
    <n v="4440"/>
    <n v="7636"/>
    <n v="0"/>
    <x v="1"/>
    <n v="15"/>
    <n v="3"/>
    <n v="1"/>
    <n v="2"/>
    <n v="16"/>
    <n v="3"/>
    <n v="3"/>
    <n v="15"/>
    <n v="13"/>
    <n v="5"/>
    <n v="8"/>
  </r>
  <r>
    <n v="31"/>
    <x v="1"/>
    <s v="Travel_Rarely"/>
    <n v="1154"/>
    <x v="0"/>
    <n v="2"/>
    <n v="2"/>
    <s v="Life Sciences"/>
    <n v="1996"/>
    <n v="1"/>
    <x v="1"/>
    <n v="54"/>
    <n v="3"/>
    <n v="1"/>
    <s v="Sales Representative"/>
    <n v="3"/>
    <s v="Married"/>
    <n v="3067"/>
    <n v="6393"/>
    <n v="0"/>
    <x v="1"/>
    <n v="19"/>
    <n v="3"/>
    <n v="3"/>
    <n v="1"/>
    <n v="3"/>
    <n v="1"/>
    <n v="3"/>
    <n v="2"/>
    <n v="2"/>
    <n v="1"/>
    <n v="2"/>
  </r>
  <r>
    <n v="38"/>
    <x v="1"/>
    <s v="Travel_Frequently"/>
    <n v="508"/>
    <x v="1"/>
    <n v="6"/>
    <n v="4"/>
    <s v="Life Sciences"/>
    <n v="1997"/>
    <n v="1"/>
    <x v="1"/>
    <n v="72"/>
    <n v="2"/>
    <n v="2"/>
    <s v="Manufacturing Director"/>
    <n v="3"/>
    <s v="Married"/>
    <n v="5321"/>
    <n v="14284"/>
    <n v="2"/>
    <x v="1"/>
    <n v="11"/>
    <n v="3"/>
    <n v="4"/>
    <n v="1"/>
    <n v="10"/>
    <n v="1"/>
    <n v="3"/>
    <n v="8"/>
    <n v="3"/>
    <n v="7"/>
    <n v="7"/>
  </r>
  <r>
    <n v="42"/>
    <x v="1"/>
    <s v="Travel_Rarely"/>
    <n v="557"/>
    <x v="1"/>
    <n v="18"/>
    <n v="4"/>
    <s v="Life Sciences"/>
    <n v="1998"/>
    <n v="4"/>
    <x v="1"/>
    <n v="35"/>
    <n v="3"/>
    <n v="2"/>
    <s v="Research Scientist"/>
    <n v="1"/>
    <s v="Divorced"/>
    <n v="5410"/>
    <n v="11189"/>
    <n v="6"/>
    <x v="0"/>
    <n v="17"/>
    <n v="3"/>
    <n v="3"/>
    <n v="1"/>
    <n v="9"/>
    <n v="3"/>
    <n v="2"/>
    <n v="4"/>
    <n v="3"/>
    <n v="1"/>
    <n v="2"/>
  </r>
  <r>
    <n v="41"/>
    <x v="1"/>
    <s v="Travel_Rarely"/>
    <n v="642"/>
    <x v="1"/>
    <n v="1"/>
    <n v="3"/>
    <s v="Life Sciences"/>
    <n v="1999"/>
    <n v="4"/>
    <x v="1"/>
    <n v="76"/>
    <n v="3"/>
    <n v="1"/>
    <s v="Research Scientist"/>
    <n v="4"/>
    <s v="Married"/>
    <n v="2782"/>
    <n v="21412"/>
    <n v="3"/>
    <x v="1"/>
    <n v="22"/>
    <n v="4"/>
    <n v="1"/>
    <n v="1"/>
    <n v="12"/>
    <n v="3"/>
    <n v="3"/>
    <n v="5"/>
    <n v="3"/>
    <n v="1"/>
    <n v="0"/>
  </r>
  <r>
    <n v="47"/>
    <x v="1"/>
    <s v="Non-Travel"/>
    <n v="1162"/>
    <x v="1"/>
    <n v="1"/>
    <n v="1"/>
    <s v="Medical"/>
    <n v="2000"/>
    <n v="3"/>
    <x v="0"/>
    <n v="98"/>
    <n v="3"/>
    <n v="3"/>
    <s v="Research Director"/>
    <n v="2"/>
    <s v="Married"/>
    <n v="11957"/>
    <n v="17231"/>
    <n v="0"/>
    <x v="1"/>
    <n v="18"/>
    <n v="3"/>
    <n v="1"/>
    <n v="2"/>
    <n v="14"/>
    <n v="3"/>
    <n v="1"/>
    <n v="13"/>
    <n v="8"/>
    <n v="5"/>
    <n v="12"/>
  </r>
  <r>
    <n v="35"/>
    <x v="1"/>
    <s v="Travel_Rarely"/>
    <n v="1490"/>
    <x v="1"/>
    <n v="11"/>
    <n v="4"/>
    <s v="Medical"/>
    <n v="2003"/>
    <n v="4"/>
    <x v="1"/>
    <n v="43"/>
    <n v="3"/>
    <n v="1"/>
    <s v="Laboratory Technician"/>
    <n v="3"/>
    <s v="Married"/>
    <n v="2660"/>
    <n v="20232"/>
    <n v="7"/>
    <x v="0"/>
    <n v="11"/>
    <n v="3"/>
    <n v="3"/>
    <n v="1"/>
    <n v="5"/>
    <n v="3"/>
    <n v="3"/>
    <n v="2"/>
    <n v="2"/>
    <n v="2"/>
    <n v="2"/>
  </r>
  <r>
    <n v="22"/>
    <x v="1"/>
    <s v="Travel_Rarely"/>
    <n v="581"/>
    <x v="1"/>
    <n v="1"/>
    <n v="2"/>
    <s v="Life Sciences"/>
    <n v="2007"/>
    <n v="4"/>
    <x v="1"/>
    <n v="63"/>
    <n v="3"/>
    <n v="1"/>
    <s v="Research Scientist"/>
    <n v="3"/>
    <s v="Single"/>
    <n v="3375"/>
    <n v="17624"/>
    <n v="0"/>
    <x v="1"/>
    <n v="12"/>
    <n v="3"/>
    <n v="4"/>
    <n v="0"/>
    <n v="4"/>
    <n v="2"/>
    <n v="4"/>
    <n v="3"/>
    <n v="2"/>
    <n v="1"/>
    <n v="2"/>
  </r>
  <r>
    <n v="35"/>
    <x v="1"/>
    <s v="Travel_Rarely"/>
    <n v="1395"/>
    <x v="1"/>
    <n v="9"/>
    <n v="4"/>
    <s v="Medical"/>
    <n v="2008"/>
    <n v="2"/>
    <x v="1"/>
    <n v="48"/>
    <n v="3"/>
    <n v="2"/>
    <s v="Research Scientist"/>
    <n v="3"/>
    <s v="Single"/>
    <n v="5098"/>
    <n v="18698"/>
    <n v="1"/>
    <x v="1"/>
    <n v="19"/>
    <n v="3"/>
    <n v="2"/>
    <n v="0"/>
    <n v="10"/>
    <n v="5"/>
    <n v="3"/>
    <n v="10"/>
    <n v="7"/>
    <n v="0"/>
    <n v="8"/>
  </r>
  <r>
    <n v="33"/>
    <x v="1"/>
    <s v="Travel_Rarely"/>
    <n v="501"/>
    <x v="1"/>
    <n v="15"/>
    <n v="2"/>
    <s v="Medical"/>
    <n v="2009"/>
    <n v="2"/>
    <x v="0"/>
    <n v="95"/>
    <n v="3"/>
    <n v="2"/>
    <s v="Healthcare Representative"/>
    <n v="4"/>
    <s v="Married"/>
    <n v="4878"/>
    <n v="21653"/>
    <n v="0"/>
    <x v="0"/>
    <n v="13"/>
    <n v="3"/>
    <n v="1"/>
    <n v="1"/>
    <n v="10"/>
    <n v="6"/>
    <n v="3"/>
    <n v="9"/>
    <n v="7"/>
    <n v="8"/>
    <n v="1"/>
  </r>
  <r>
    <n v="32"/>
    <x v="1"/>
    <s v="Travel_Rarely"/>
    <n v="267"/>
    <x v="1"/>
    <n v="29"/>
    <n v="4"/>
    <s v="Life Sciences"/>
    <n v="2010"/>
    <n v="3"/>
    <x v="0"/>
    <n v="49"/>
    <n v="2"/>
    <n v="1"/>
    <s v="Laboratory Technician"/>
    <n v="2"/>
    <s v="Single"/>
    <n v="2837"/>
    <n v="15919"/>
    <n v="1"/>
    <x v="1"/>
    <n v="13"/>
    <n v="3"/>
    <n v="3"/>
    <n v="0"/>
    <n v="6"/>
    <n v="3"/>
    <n v="3"/>
    <n v="6"/>
    <n v="2"/>
    <n v="4"/>
    <n v="1"/>
  </r>
  <r>
    <n v="40"/>
    <x v="1"/>
    <s v="Travel_Rarely"/>
    <n v="543"/>
    <x v="1"/>
    <n v="1"/>
    <n v="4"/>
    <s v="Life Sciences"/>
    <n v="2012"/>
    <n v="1"/>
    <x v="1"/>
    <n v="83"/>
    <n v="3"/>
    <n v="1"/>
    <s v="Laboratory Technician"/>
    <n v="4"/>
    <s v="Married"/>
    <n v="2406"/>
    <n v="4060"/>
    <n v="8"/>
    <x v="1"/>
    <n v="19"/>
    <n v="3"/>
    <n v="3"/>
    <n v="2"/>
    <n v="8"/>
    <n v="3"/>
    <n v="2"/>
    <n v="1"/>
    <n v="0"/>
    <n v="0"/>
    <n v="0"/>
  </r>
  <r>
    <n v="32"/>
    <x v="1"/>
    <s v="Travel_Rarely"/>
    <n v="234"/>
    <x v="0"/>
    <n v="1"/>
    <n v="4"/>
    <s v="Medical"/>
    <n v="2013"/>
    <n v="2"/>
    <x v="1"/>
    <n v="68"/>
    <n v="2"/>
    <n v="1"/>
    <s v="Sales Representative"/>
    <n v="2"/>
    <s v="Married"/>
    <n v="2269"/>
    <n v="18024"/>
    <n v="0"/>
    <x v="1"/>
    <n v="14"/>
    <n v="3"/>
    <n v="2"/>
    <n v="1"/>
    <n v="3"/>
    <n v="2"/>
    <n v="3"/>
    <n v="2"/>
    <n v="2"/>
    <n v="2"/>
    <n v="2"/>
  </r>
  <r>
    <n v="39"/>
    <x v="1"/>
    <s v="Travel_Rarely"/>
    <n v="116"/>
    <x v="1"/>
    <n v="24"/>
    <n v="1"/>
    <s v="Life Sciences"/>
    <n v="2014"/>
    <n v="1"/>
    <x v="1"/>
    <n v="52"/>
    <n v="3"/>
    <n v="2"/>
    <s v="Research Scientist"/>
    <n v="4"/>
    <s v="Single"/>
    <n v="4108"/>
    <n v="5340"/>
    <n v="7"/>
    <x v="1"/>
    <n v="13"/>
    <n v="3"/>
    <n v="1"/>
    <n v="0"/>
    <n v="18"/>
    <n v="2"/>
    <n v="3"/>
    <n v="7"/>
    <n v="7"/>
    <n v="1"/>
    <n v="7"/>
  </r>
  <r>
    <n v="38"/>
    <x v="1"/>
    <s v="Travel_Rarely"/>
    <n v="201"/>
    <x v="1"/>
    <n v="10"/>
    <n v="3"/>
    <s v="Medical"/>
    <n v="2015"/>
    <n v="2"/>
    <x v="0"/>
    <n v="99"/>
    <n v="1"/>
    <n v="3"/>
    <s v="Research Director"/>
    <n v="3"/>
    <s v="Married"/>
    <n v="13206"/>
    <n v="3376"/>
    <n v="3"/>
    <x v="1"/>
    <n v="12"/>
    <n v="3"/>
    <n v="1"/>
    <n v="1"/>
    <n v="20"/>
    <n v="3"/>
    <n v="3"/>
    <n v="18"/>
    <n v="16"/>
    <n v="1"/>
    <n v="11"/>
  </r>
  <r>
    <n v="32"/>
    <x v="1"/>
    <s v="Travel_Rarely"/>
    <n v="801"/>
    <x v="0"/>
    <n v="1"/>
    <n v="4"/>
    <s v="Marketing"/>
    <n v="2016"/>
    <n v="3"/>
    <x v="0"/>
    <n v="48"/>
    <n v="3"/>
    <n v="3"/>
    <s v="Sales Executive"/>
    <n v="4"/>
    <s v="Married"/>
    <n v="10422"/>
    <n v="24032"/>
    <n v="1"/>
    <x v="1"/>
    <n v="19"/>
    <n v="3"/>
    <n v="3"/>
    <n v="2"/>
    <n v="14"/>
    <n v="3"/>
    <n v="3"/>
    <n v="14"/>
    <n v="10"/>
    <n v="5"/>
    <n v="7"/>
  </r>
  <r>
    <n v="37"/>
    <x v="1"/>
    <s v="Travel_Rarely"/>
    <n v="161"/>
    <x v="1"/>
    <n v="10"/>
    <n v="3"/>
    <s v="Life Sciences"/>
    <n v="2017"/>
    <n v="3"/>
    <x v="0"/>
    <n v="42"/>
    <n v="4"/>
    <n v="3"/>
    <s v="Research Director"/>
    <n v="4"/>
    <s v="Married"/>
    <n v="13744"/>
    <n v="15471"/>
    <n v="1"/>
    <x v="0"/>
    <n v="25"/>
    <n v="4"/>
    <n v="1"/>
    <n v="1"/>
    <n v="16"/>
    <n v="2"/>
    <n v="3"/>
    <n v="16"/>
    <n v="11"/>
    <n v="6"/>
    <n v="8"/>
  </r>
  <r>
    <n v="25"/>
    <x v="1"/>
    <s v="Travel_Rarely"/>
    <n v="1382"/>
    <x v="0"/>
    <n v="8"/>
    <n v="2"/>
    <s v="Other"/>
    <n v="2018"/>
    <n v="1"/>
    <x v="0"/>
    <n v="85"/>
    <n v="3"/>
    <n v="2"/>
    <s v="Sales Executive"/>
    <n v="3"/>
    <s v="Divorced"/>
    <n v="4907"/>
    <n v="13684"/>
    <n v="0"/>
    <x v="0"/>
    <n v="22"/>
    <n v="4"/>
    <n v="2"/>
    <n v="1"/>
    <n v="6"/>
    <n v="3"/>
    <n v="2"/>
    <n v="5"/>
    <n v="3"/>
    <n v="0"/>
    <n v="4"/>
  </r>
  <r>
    <n v="52"/>
    <x v="1"/>
    <s v="Non-Travel"/>
    <n v="585"/>
    <x v="0"/>
    <n v="29"/>
    <n v="4"/>
    <s v="Life Sciences"/>
    <n v="2019"/>
    <n v="1"/>
    <x v="1"/>
    <n v="40"/>
    <n v="3"/>
    <n v="1"/>
    <s v="Sales Representative"/>
    <n v="4"/>
    <s v="Divorced"/>
    <n v="3482"/>
    <n v="19788"/>
    <n v="2"/>
    <x v="1"/>
    <n v="15"/>
    <n v="3"/>
    <n v="2"/>
    <n v="2"/>
    <n v="16"/>
    <n v="3"/>
    <n v="2"/>
    <n v="9"/>
    <n v="8"/>
    <n v="0"/>
    <n v="0"/>
  </r>
  <r>
    <n v="44"/>
    <x v="1"/>
    <s v="Travel_Rarely"/>
    <n v="1037"/>
    <x v="1"/>
    <n v="1"/>
    <n v="3"/>
    <s v="Medical"/>
    <n v="2020"/>
    <n v="2"/>
    <x v="1"/>
    <n v="42"/>
    <n v="3"/>
    <n v="1"/>
    <s v="Research Scientist"/>
    <n v="4"/>
    <s v="Single"/>
    <n v="2436"/>
    <n v="13422"/>
    <n v="6"/>
    <x v="0"/>
    <n v="12"/>
    <n v="3"/>
    <n v="3"/>
    <n v="0"/>
    <n v="6"/>
    <n v="2"/>
    <n v="3"/>
    <n v="4"/>
    <n v="3"/>
    <n v="1"/>
    <n v="2"/>
  </r>
  <r>
    <n v="21"/>
    <x v="1"/>
    <s v="Travel_Rarely"/>
    <n v="501"/>
    <x v="0"/>
    <n v="5"/>
    <n v="1"/>
    <s v="Medical"/>
    <n v="2021"/>
    <n v="3"/>
    <x v="1"/>
    <n v="58"/>
    <n v="3"/>
    <n v="1"/>
    <s v="Sales Representative"/>
    <n v="1"/>
    <s v="Single"/>
    <n v="2380"/>
    <n v="25479"/>
    <n v="1"/>
    <x v="0"/>
    <n v="11"/>
    <n v="3"/>
    <n v="4"/>
    <n v="0"/>
    <n v="2"/>
    <n v="6"/>
    <n v="3"/>
    <n v="2"/>
    <n v="2"/>
    <n v="1"/>
    <n v="2"/>
  </r>
  <r>
    <n v="39"/>
    <x v="1"/>
    <s v="Non-Travel"/>
    <n v="105"/>
    <x v="1"/>
    <n v="9"/>
    <n v="3"/>
    <s v="Life Sciences"/>
    <n v="2022"/>
    <n v="4"/>
    <x v="1"/>
    <n v="87"/>
    <n v="3"/>
    <n v="5"/>
    <s v="Manager"/>
    <n v="4"/>
    <s v="Single"/>
    <n v="19431"/>
    <n v="15302"/>
    <n v="2"/>
    <x v="1"/>
    <n v="13"/>
    <n v="3"/>
    <n v="3"/>
    <n v="0"/>
    <n v="21"/>
    <n v="3"/>
    <n v="2"/>
    <n v="6"/>
    <n v="0"/>
    <n v="1"/>
    <n v="3"/>
  </r>
  <r>
    <n v="23"/>
    <x v="0"/>
    <s v="Travel_Frequently"/>
    <n v="638"/>
    <x v="0"/>
    <n v="9"/>
    <n v="3"/>
    <s v="Marketing"/>
    <n v="2023"/>
    <n v="4"/>
    <x v="1"/>
    <n v="33"/>
    <n v="3"/>
    <n v="1"/>
    <s v="Sales Representative"/>
    <n v="1"/>
    <s v="Married"/>
    <n v="1790"/>
    <n v="26956"/>
    <n v="1"/>
    <x v="1"/>
    <n v="19"/>
    <n v="3"/>
    <n v="1"/>
    <n v="1"/>
    <n v="1"/>
    <n v="3"/>
    <n v="2"/>
    <n v="1"/>
    <n v="0"/>
    <n v="1"/>
    <n v="0"/>
  </r>
  <r>
    <n v="36"/>
    <x v="1"/>
    <s v="Travel_Rarely"/>
    <n v="557"/>
    <x v="0"/>
    <n v="3"/>
    <n v="3"/>
    <s v="Medical"/>
    <n v="2024"/>
    <n v="1"/>
    <x v="0"/>
    <n v="94"/>
    <n v="2"/>
    <n v="3"/>
    <s v="Sales Executive"/>
    <n v="4"/>
    <s v="Married"/>
    <n v="7644"/>
    <n v="12695"/>
    <n v="0"/>
    <x v="1"/>
    <n v="19"/>
    <n v="3"/>
    <n v="3"/>
    <n v="2"/>
    <n v="10"/>
    <n v="2"/>
    <n v="3"/>
    <n v="9"/>
    <n v="7"/>
    <n v="3"/>
    <n v="4"/>
  </r>
  <r>
    <n v="36"/>
    <x v="1"/>
    <s v="Travel_Frequently"/>
    <n v="688"/>
    <x v="1"/>
    <n v="4"/>
    <n v="2"/>
    <s v="Life Sciences"/>
    <n v="2025"/>
    <n v="4"/>
    <x v="0"/>
    <n v="97"/>
    <n v="3"/>
    <n v="2"/>
    <s v="Manufacturing Director"/>
    <n v="2"/>
    <s v="Divorced"/>
    <n v="5131"/>
    <n v="9192"/>
    <n v="7"/>
    <x v="1"/>
    <n v="13"/>
    <n v="3"/>
    <n v="2"/>
    <n v="3"/>
    <n v="18"/>
    <n v="3"/>
    <n v="3"/>
    <n v="4"/>
    <n v="2"/>
    <n v="0"/>
    <n v="2"/>
  </r>
  <r>
    <n v="56"/>
    <x v="1"/>
    <s v="Non-Travel"/>
    <n v="667"/>
    <x v="1"/>
    <n v="1"/>
    <n v="4"/>
    <s v="Life Sciences"/>
    <n v="2026"/>
    <n v="3"/>
    <x v="1"/>
    <n v="57"/>
    <n v="3"/>
    <n v="2"/>
    <s v="Healthcare Representative"/>
    <n v="3"/>
    <s v="Divorced"/>
    <n v="6306"/>
    <n v="26236"/>
    <n v="1"/>
    <x v="1"/>
    <n v="21"/>
    <n v="4"/>
    <n v="1"/>
    <n v="1"/>
    <n v="13"/>
    <n v="2"/>
    <n v="2"/>
    <n v="13"/>
    <n v="12"/>
    <n v="1"/>
    <n v="9"/>
  </r>
  <r>
    <n v="29"/>
    <x v="0"/>
    <s v="Travel_Rarely"/>
    <n v="1092"/>
    <x v="1"/>
    <n v="1"/>
    <n v="4"/>
    <s v="Medical"/>
    <n v="2027"/>
    <n v="1"/>
    <x v="1"/>
    <n v="36"/>
    <n v="3"/>
    <n v="1"/>
    <s v="Research Scientist"/>
    <n v="4"/>
    <s v="Married"/>
    <n v="4787"/>
    <n v="26124"/>
    <n v="9"/>
    <x v="0"/>
    <n v="14"/>
    <n v="3"/>
    <n v="2"/>
    <n v="3"/>
    <n v="4"/>
    <n v="3"/>
    <n v="4"/>
    <n v="2"/>
    <n v="2"/>
    <n v="2"/>
    <n v="2"/>
  </r>
  <r>
    <n v="42"/>
    <x v="1"/>
    <s v="Travel_Rarely"/>
    <n v="300"/>
    <x v="1"/>
    <n v="2"/>
    <n v="3"/>
    <s v="Life Sciences"/>
    <n v="2031"/>
    <n v="1"/>
    <x v="1"/>
    <n v="56"/>
    <n v="3"/>
    <n v="5"/>
    <s v="Manager"/>
    <n v="3"/>
    <s v="Married"/>
    <n v="18880"/>
    <n v="17312"/>
    <n v="5"/>
    <x v="1"/>
    <n v="11"/>
    <n v="3"/>
    <n v="1"/>
    <n v="0"/>
    <n v="24"/>
    <n v="2"/>
    <n v="2"/>
    <n v="22"/>
    <n v="6"/>
    <n v="4"/>
    <n v="14"/>
  </r>
  <r>
    <n v="56"/>
    <x v="0"/>
    <s v="Travel_Rarely"/>
    <n v="310"/>
    <x v="1"/>
    <n v="7"/>
    <n v="2"/>
    <s v="Technical Degree"/>
    <n v="2032"/>
    <n v="4"/>
    <x v="1"/>
    <n v="72"/>
    <n v="3"/>
    <n v="1"/>
    <s v="Laboratory Technician"/>
    <n v="3"/>
    <s v="Married"/>
    <n v="2339"/>
    <n v="3666"/>
    <n v="8"/>
    <x v="1"/>
    <n v="11"/>
    <n v="3"/>
    <n v="4"/>
    <n v="1"/>
    <n v="14"/>
    <n v="4"/>
    <n v="1"/>
    <n v="10"/>
    <n v="9"/>
    <n v="9"/>
    <n v="8"/>
  </r>
  <r>
    <n v="41"/>
    <x v="1"/>
    <s v="Travel_Rarely"/>
    <n v="582"/>
    <x v="1"/>
    <n v="28"/>
    <n v="4"/>
    <s v="Life Sciences"/>
    <n v="2034"/>
    <n v="1"/>
    <x v="0"/>
    <n v="60"/>
    <n v="2"/>
    <n v="4"/>
    <s v="Manufacturing Director"/>
    <n v="2"/>
    <s v="Married"/>
    <n v="13570"/>
    <n v="5640"/>
    <n v="0"/>
    <x v="1"/>
    <n v="23"/>
    <n v="4"/>
    <n v="3"/>
    <n v="1"/>
    <n v="21"/>
    <n v="3"/>
    <n v="3"/>
    <n v="20"/>
    <n v="7"/>
    <n v="0"/>
    <n v="10"/>
  </r>
  <r>
    <n v="34"/>
    <x v="1"/>
    <s v="Travel_Rarely"/>
    <n v="704"/>
    <x v="0"/>
    <n v="28"/>
    <n v="3"/>
    <s v="Marketing"/>
    <n v="2035"/>
    <n v="4"/>
    <x v="0"/>
    <n v="95"/>
    <n v="2"/>
    <n v="2"/>
    <s v="Sales Executive"/>
    <n v="3"/>
    <s v="Married"/>
    <n v="6712"/>
    <n v="8978"/>
    <n v="1"/>
    <x v="1"/>
    <n v="21"/>
    <n v="4"/>
    <n v="4"/>
    <n v="2"/>
    <n v="8"/>
    <n v="2"/>
    <n v="3"/>
    <n v="8"/>
    <n v="7"/>
    <n v="1"/>
    <n v="7"/>
  </r>
  <r>
    <n v="36"/>
    <x v="1"/>
    <s v="Non-Travel"/>
    <n v="301"/>
    <x v="0"/>
    <n v="15"/>
    <n v="4"/>
    <s v="Marketing"/>
    <n v="2036"/>
    <n v="4"/>
    <x v="1"/>
    <n v="88"/>
    <n v="1"/>
    <n v="2"/>
    <s v="Sales Executive"/>
    <n v="4"/>
    <s v="Divorced"/>
    <n v="5406"/>
    <n v="10436"/>
    <n v="1"/>
    <x v="1"/>
    <n v="24"/>
    <n v="4"/>
    <n v="1"/>
    <n v="1"/>
    <n v="15"/>
    <n v="4"/>
    <n v="2"/>
    <n v="15"/>
    <n v="12"/>
    <n v="11"/>
    <n v="11"/>
  </r>
  <r>
    <n v="41"/>
    <x v="1"/>
    <s v="Travel_Rarely"/>
    <n v="930"/>
    <x v="0"/>
    <n v="3"/>
    <n v="3"/>
    <s v="Life Sciences"/>
    <n v="2037"/>
    <n v="3"/>
    <x v="1"/>
    <n v="57"/>
    <n v="2"/>
    <n v="2"/>
    <s v="Sales Executive"/>
    <n v="2"/>
    <s v="Divorced"/>
    <n v="8938"/>
    <n v="12227"/>
    <n v="2"/>
    <x v="1"/>
    <n v="11"/>
    <n v="3"/>
    <n v="3"/>
    <n v="1"/>
    <n v="14"/>
    <n v="5"/>
    <n v="3"/>
    <n v="5"/>
    <n v="4"/>
    <n v="0"/>
    <n v="4"/>
  </r>
  <r>
    <n v="32"/>
    <x v="1"/>
    <s v="Travel_Rarely"/>
    <n v="529"/>
    <x v="1"/>
    <n v="2"/>
    <n v="3"/>
    <s v="Technical Degree"/>
    <n v="2038"/>
    <n v="4"/>
    <x v="1"/>
    <n v="78"/>
    <n v="3"/>
    <n v="1"/>
    <s v="Research Scientist"/>
    <n v="1"/>
    <s v="Single"/>
    <n v="2439"/>
    <n v="11288"/>
    <n v="1"/>
    <x v="1"/>
    <n v="14"/>
    <n v="3"/>
    <n v="4"/>
    <n v="0"/>
    <n v="4"/>
    <n v="4"/>
    <n v="3"/>
    <n v="4"/>
    <n v="2"/>
    <n v="1"/>
    <n v="2"/>
  </r>
  <r>
    <n v="35"/>
    <x v="1"/>
    <s v="Travel_Rarely"/>
    <n v="1146"/>
    <x v="2"/>
    <n v="26"/>
    <n v="4"/>
    <s v="Life Sciences"/>
    <n v="2040"/>
    <n v="3"/>
    <x v="0"/>
    <n v="31"/>
    <n v="3"/>
    <n v="3"/>
    <s v="Human Resources"/>
    <n v="4"/>
    <s v="Single"/>
    <n v="8837"/>
    <n v="16642"/>
    <n v="1"/>
    <x v="0"/>
    <n v="16"/>
    <n v="3"/>
    <n v="3"/>
    <n v="0"/>
    <n v="9"/>
    <n v="2"/>
    <n v="3"/>
    <n v="9"/>
    <n v="0"/>
    <n v="1"/>
    <n v="7"/>
  </r>
  <r>
    <n v="38"/>
    <x v="1"/>
    <s v="Travel_Rarely"/>
    <n v="345"/>
    <x v="0"/>
    <n v="10"/>
    <n v="2"/>
    <s v="Life Sciences"/>
    <n v="2041"/>
    <n v="1"/>
    <x v="0"/>
    <n v="100"/>
    <n v="3"/>
    <n v="2"/>
    <s v="Sales Executive"/>
    <n v="4"/>
    <s v="Married"/>
    <n v="5343"/>
    <n v="5982"/>
    <n v="1"/>
    <x v="1"/>
    <n v="11"/>
    <n v="3"/>
    <n v="3"/>
    <n v="1"/>
    <n v="10"/>
    <n v="1"/>
    <n v="3"/>
    <n v="10"/>
    <n v="7"/>
    <n v="1"/>
    <n v="9"/>
  </r>
  <r>
    <n v="50"/>
    <x v="0"/>
    <s v="Travel_Frequently"/>
    <n v="878"/>
    <x v="0"/>
    <n v="1"/>
    <n v="4"/>
    <s v="Life Sciences"/>
    <n v="2044"/>
    <n v="2"/>
    <x v="1"/>
    <n v="94"/>
    <n v="3"/>
    <n v="2"/>
    <s v="Sales Executive"/>
    <n v="3"/>
    <s v="Divorced"/>
    <n v="6728"/>
    <n v="14255"/>
    <n v="7"/>
    <x v="1"/>
    <n v="12"/>
    <n v="3"/>
    <n v="4"/>
    <n v="2"/>
    <n v="12"/>
    <n v="3"/>
    <n v="3"/>
    <n v="6"/>
    <n v="3"/>
    <n v="0"/>
    <n v="1"/>
  </r>
  <r>
    <n v="36"/>
    <x v="1"/>
    <s v="Travel_Rarely"/>
    <n v="1120"/>
    <x v="0"/>
    <n v="11"/>
    <n v="4"/>
    <s v="Marketing"/>
    <n v="2045"/>
    <n v="2"/>
    <x v="0"/>
    <n v="100"/>
    <n v="2"/>
    <n v="2"/>
    <s v="Sales Executive"/>
    <n v="4"/>
    <s v="Married"/>
    <n v="6652"/>
    <n v="14369"/>
    <n v="4"/>
    <x v="1"/>
    <n v="13"/>
    <n v="3"/>
    <n v="1"/>
    <n v="1"/>
    <n v="8"/>
    <n v="2"/>
    <n v="2"/>
    <n v="6"/>
    <n v="3"/>
    <n v="0"/>
    <n v="0"/>
  </r>
  <r>
    <n v="45"/>
    <x v="1"/>
    <s v="Travel_Rarely"/>
    <n v="374"/>
    <x v="0"/>
    <n v="20"/>
    <n v="3"/>
    <s v="Life Sciences"/>
    <n v="2046"/>
    <n v="4"/>
    <x v="0"/>
    <n v="50"/>
    <n v="3"/>
    <n v="2"/>
    <s v="Sales Executive"/>
    <n v="3"/>
    <s v="Single"/>
    <n v="4850"/>
    <n v="23333"/>
    <n v="8"/>
    <x v="1"/>
    <n v="15"/>
    <n v="3"/>
    <n v="3"/>
    <n v="0"/>
    <n v="8"/>
    <n v="3"/>
    <n v="3"/>
    <n v="5"/>
    <n v="3"/>
    <n v="0"/>
    <n v="1"/>
  </r>
  <r>
    <n v="40"/>
    <x v="1"/>
    <s v="Travel_Rarely"/>
    <n v="1322"/>
    <x v="1"/>
    <n v="2"/>
    <n v="4"/>
    <s v="Life Sciences"/>
    <n v="2048"/>
    <n v="3"/>
    <x v="1"/>
    <n v="52"/>
    <n v="2"/>
    <n v="1"/>
    <s v="Research Scientist"/>
    <n v="3"/>
    <s v="Single"/>
    <n v="2809"/>
    <n v="2725"/>
    <n v="2"/>
    <x v="1"/>
    <n v="14"/>
    <n v="3"/>
    <n v="4"/>
    <n v="0"/>
    <n v="8"/>
    <n v="2"/>
    <n v="3"/>
    <n v="2"/>
    <n v="2"/>
    <n v="2"/>
    <n v="2"/>
  </r>
  <r>
    <n v="35"/>
    <x v="1"/>
    <s v="Travel_Frequently"/>
    <n v="1199"/>
    <x v="1"/>
    <n v="18"/>
    <n v="4"/>
    <s v="Life Sciences"/>
    <n v="2049"/>
    <n v="3"/>
    <x v="1"/>
    <n v="80"/>
    <n v="3"/>
    <n v="2"/>
    <s v="Healthcare Representative"/>
    <n v="3"/>
    <s v="Married"/>
    <n v="5689"/>
    <n v="24594"/>
    <n v="1"/>
    <x v="0"/>
    <n v="14"/>
    <n v="3"/>
    <n v="4"/>
    <n v="2"/>
    <n v="10"/>
    <n v="2"/>
    <n v="4"/>
    <n v="10"/>
    <n v="2"/>
    <n v="0"/>
    <n v="2"/>
  </r>
  <r>
    <n v="40"/>
    <x v="1"/>
    <s v="Travel_Rarely"/>
    <n v="1194"/>
    <x v="1"/>
    <n v="2"/>
    <n v="4"/>
    <s v="Medical"/>
    <n v="2051"/>
    <n v="3"/>
    <x v="0"/>
    <n v="98"/>
    <n v="3"/>
    <n v="1"/>
    <s v="Research Scientist"/>
    <n v="3"/>
    <s v="Married"/>
    <n v="2001"/>
    <n v="12549"/>
    <n v="2"/>
    <x v="1"/>
    <n v="14"/>
    <n v="3"/>
    <n v="2"/>
    <n v="3"/>
    <n v="20"/>
    <n v="2"/>
    <n v="3"/>
    <n v="5"/>
    <n v="3"/>
    <n v="0"/>
    <n v="2"/>
  </r>
  <r>
    <n v="35"/>
    <x v="1"/>
    <s v="Travel_Rarely"/>
    <n v="287"/>
    <x v="1"/>
    <n v="1"/>
    <n v="4"/>
    <s v="Life Sciences"/>
    <n v="2052"/>
    <n v="3"/>
    <x v="0"/>
    <n v="62"/>
    <n v="1"/>
    <n v="1"/>
    <s v="Research Scientist"/>
    <n v="4"/>
    <s v="Married"/>
    <n v="2977"/>
    <n v="8952"/>
    <n v="1"/>
    <x v="1"/>
    <n v="12"/>
    <n v="3"/>
    <n v="4"/>
    <n v="1"/>
    <n v="4"/>
    <n v="5"/>
    <n v="3"/>
    <n v="4"/>
    <n v="3"/>
    <n v="1"/>
    <n v="1"/>
  </r>
  <r>
    <n v="29"/>
    <x v="1"/>
    <s v="Travel_Rarely"/>
    <n v="1378"/>
    <x v="1"/>
    <n v="13"/>
    <n v="2"/>
    <s v="Other"/>
    <n v="2053"/>
    <n v="4"/>
    <x v="1"/>
    <n v="46"/>
    <n v="2"/>
    <n v="2"/>
    <s v="Laboratory Technician"/>
    <n v="2"/>
    <s v="Married"/>
    <n v="4025"/>
    <n v="23679"/>
    <n v="4"/>
    <x v="0"/>
    <n v="13"/>
    <n v="3"/>
    <n v="1"/>
    <n v="1"/>
    <n v="10"/>
    <n v="2"/>
    <n v="3"/>
    <n v="4"/>
    <n v="3"/>
    <n v="0"/>
    <n v="3"/>
  </r>
  <r>
    <n v="29"/>
    <x v="1"/>
    <s v="Travel_Rarely"/>
    <n v="468"/>
    <x v="1"/>
    <n v="28"/>
    <n v="4"/>
    <s v="Medical"/>
    <n v="2054"/>
    <n v="4"/>
    <x v="0"/>
    <n v="73"/>
    <n v="2"/>
    <n v="1"/>
    <s v="Research Scientist"/>
    <n v="1"/>
    <s v="Single"/>
    <n v="3785"/>
    <n v="8489"/>
    <n v="1"/>
    <x v="1"/>
    <n v="14"/>
    <n v="3"/>
    <n v="2"/>
    <n v="0"/>
    <n v="5"/>
    <n v="3"/>
    <n v="1"/>
    <n v="5"/>
    <n v="4"/>
    <n v="0"/>
    <n v="4"/>
  </r>
  <r>
    <n v="50"/>
    <x v="0"/>
    <s v="Travel_Rarely"/>
    <n v="410"/>
    <x v="0"/>
    <n v="28"/>
    <n v="3"/>
    <s v="Marketing"/>
    <n v="2055"/>
    <n v="4"/>
    <x v="1"/>
    <n v="39"/>
    <n v="2"/>
    <n v="3"/>
    <s v="Sales Executive"/>
    <n v="1"/>
    <s v="Divorced"/>
    <n v="10854"/>
    <n v="16586"/>
    <n v="4"/>
    <x v="0"/>
    <n v="13"/>
    <n v="3"/>
    <n v="2"/>
    <n v="1"/>
    <n v="20"/>
    <n v="3"/>
    <n v="3"/>
    <n v="3"/>
    <n v="2"/>
    <n v="2"/>
    <n v="0"/>
  </r>
  <r>
    <n v="39"/>
    <x v="1"/>
    <s v="Travel_Rarely"/>
    <n v="722"/>
    <x v="0"/>
    <n v="24"/>
    <n v="1"/>
    <s v="Marketing"/>
    <n v="2056"/>
    <n v="2"/>
    <x v="0"/>
    <n v="60"/>
    <n v="2"/>
    <n v="4"/>
    <s v="Sales Executive"/>
    <n v="4"/>
    <s v="Married"/>
    <n v="12031"/>
    <n v="8828"/>
    <n v="0"/>
    <x v="1"/>
    <n v="11"/>
    <n v="3"/>
    <n v="1"/>
    <n v="1"/>
    <n v="21"/>
    <n v="2"/>
    <n v="2"/>
    <n v="20"/>
    <n v="9"/>
    <n v="9"/>
    <n v="6"/>
  </r>
  <r>
    <n v="31"/>
    <x v="1"/>
    <s v="Non-Travel"/>
    <n v="325"/>
    <x v="1"/>
    <n v="5"/>
    <n v="3"/>
    <s v="Medical"/>
    <n v="2057"/>
    <n v="2"/>
    <x v="1"/>
    <n v="74"/>
    <n v="3"/>
    <n v="2"/>
    <s v="Manufacturing Director"/>
    <n v="1"/>
    <s v="Single"/>
    <n v="9936"/>
    <n v="3787"/>
    <n v="0"/>
    <x v="1"/>
    <n v="19"/>
    <n v="3"/>
    <n v="2"/>
    <n v="0"/>
    <n v="10"/>
    <n v="2"/>
    <n v="3"/>
    <n v="9"/>
    <n v="4"/>
    <n v="1"/>
    <n v="7"/>
  </r>
  <r>
    <n v="26"/>
    <x v="1"/>
    <s v="Travel_Rarely"/>
    <n v="1167"/>
    <x v="0"/>
    <n v="5"/>
    <n v="3"/>
    <s v="Other"/>
    <n v="2060"/>
    <n v="4"/>
    <x v="0"/>
    <n v="30"/>
    <n v="2"/>
    <n v="1"/>
    <s v="Sales Representative"/>
    <n v="3"/>
    <s v="Single"/>
    <n v="2966"/>
    <n v="21378"/>
    <n v="0"/>
    <x v="1"/>
    <n v="18"/>
    <n v="3"/>
    <n v="4"/>
    <n v="0"/>
    <n v="5"/>
    <n v="2"/>
    <n v="3"/>
    <n v="4"/>
    <n v="2"/>
    <n v="0"/>
    <n v="0"/>
  </r>
  <r>
    <n v="36"/>
    <x v="1"/>
    <s v="Travel_Frequently"/>
    <n v="884"/>
    <x v="1"/>
    <n v="23"/>
    <n v="2"/>
    <s v="Medical"/>
    <n v="2061"/>
    <n v="3"/>
    <x v="1"/>
    <n v="41"/>
    <n v="4"/>
    <n v="2"/>
    <s v="Laboratory Technician"/>
    <n v="4"/>
    <s v="Married"/>
    <n v="2571"/>
    <n v="12290"/>
    <n v="4"/>
    <x v="1"/>
    <n v="17"/>
    <n v="3"/>
    <n v="3"/>
    <n v="1"/>
    <n v="17"/>
    <n v="3"/>
    <n v="3"/>
    <n v="5"/>
    <n v="2"/>
    <n v="0"/>
    <n v="3"/>
  </r>
  <r>
    <n v="39"/>
    <x v="1"/>
    <s v="Travel_Rarely"/>
    <n v="613"/>
    <x v="1"/>
    <n v="6"/>
    <n v="1"/>
    <s v="Medical"/>
    <n v="2062"/>
    <n v="4"/>
    <x v="1"/>
    <n v="42"/>
    <n v="2"/>
    <n v="3"/>
    <s v="Healthcare Representative"/>
    <n v="1"/>
    <s v="Married"/>
    <n v="9991"/>
    <n v="21457"/>
    <n v="4"/>
    <x v="1"/>
    <n v="15"/>
    <n v="3"/>
    <n v="1"/>
    <n v="1"/>
    <n v="9"/>
    <n v="5"/>
    <n v="3"/>
    <n v="7"/>
    <n v="7"/>
    <n v="1"/>
    <n v="7"/>
  </r>
  <r>
    <n v="27"/>
    <x v="1"/>
    <s v="Travel_Rarely"/>
    <n v="155"/>
    <x v="1"/>
    <n v="4"/>
    <n v="3"/>
    <s v="Life Sciences"/>
    <n v="2064"/>
    <n v="2"/>
    <x v="1"/>
    <n v="87"/>
    <n v="4"/>
    <n v="2"/>
    <s v="Manufacturing Director"/>
    <n v="2"/>
    <s v="Married"/>
    <n v="6142"/>
    <n v="5174"/>
    <n v="1"/>
    <x v="0"/>
    <n v="20"/>
    <n v="4"/>
    <n v="2"/>
    <n v="1"/>
    <n v="6"/>
    <n v="0"/>
    <n v="3"/>
    <n v="6"/>
    <n v="2"/>
    <n v="0"/>
    <n v="3"/>
  </r>
  <r>
    <n v="49"/>
    <x v="1"/>
    <s v="Travel_Frequently"/>
    <n v="1023"/>
    <x v="0"/>
    <n v="2"/>
    <n v="3"/>
    <s v="Medical"/>
    <n v="2065"/>
    <n v="4"/>
    <x v="1"/>
    <n v="63"/>
    <n v="2"/>
    <n v="2"/>
    <s v="Sales Executive"/>
    <n v="2"/>
    <s v="Married"/>
    <n v="5390"/>
    <n v="13243"/>
    <n v="2"/>
    <x v="1"/>
    <n v="14"/>
    <n v="3"/>
    <n v="4"/>
    <n v="0"/>
    <n v="17"/>
    <n v="3"/>
    <n v="2"/>
    <n v="9"/>
    <n v="6"/>
    <n v="0"/>
    <n v="8"/>
  </r>
  <r>
    <n v="34"/>
    <x v="1"/>
    <s v="Travel_Rarely"/>
    <n v="628"/>
    <x v="1"/>
    <n v="8"/>
    <n v="3"/>
    <s v="Medical"/>
    <n v="2068"/>
    <n v="2"/>
    <x v="1"/>
    <n v="82"/>
    <n v="4"/>
    <n v="2"/>
    <s v="Laboratory Technician"/>
    <n v="3"/>
    <s v="Married"/>
    <n v="4404"/>
    <n v="10228"/>
    <n v="2"/>
    <x v="1"/>
    <n v="12"/>
    <n v="3"/>
    <n v="1"/>
    <n v="0"/>
    <n v="6"/>
    <n v="3"/>
    <n v="4"/>
    <n v="4"/>
    <n v="3"/>
    <n v="1"/>
    <n v="2"/>
  </r>
</pivotCacheRecords>
</file>

<file path=xl/pivotCache/pivotCacheRecords3.xml><?xml version="1.0" encoding="utf-8"?>
<pivotCacheRecords xmlns="http://schemas.openxmlformats.org/spreadsheetml/2006/main" xmlns:r="http://schemas.openxmlformats.org/officeDocument/2006/relationships" count="1471">
  <r>
    <n v="41"/>
    <x v="0"/>
    <s v="Travel_Rarely"/>
    <n v="1102"/>
    <s v="Sales"/>
    <n v="1"/>
    <n v="2"/>
    <s v="Life Sciences"/>
    <n v="1"/>
    <n v="2"/>
    <s v="Female"/>
    <n v="94"/>
    <n v="3"/>
    <n v="2"/>
    <s v="Sales Executive"/>
    <n v="4"/>
    <s v="Single"/>
    <n v="5993"/>
    <n v="19479"/>
    <n v="8"/>
    <s v="Yes"/>
    <n v="11"/>
    <n v="3"/>
    <n v="1"/>
    <n v="0"/>
    <n v="8"/>
    <n v="0"/>
    <n v="1"/>
    <n v="6"/>
    <n v="4"/>
    <n v="0"/>
    <n v="5"/>
    <x v="0"/>
  </r>
  <r>
    <n v="49"/>
    <x v="1"/>
    <s v="Travel_Frequently"/>
    <n v="279"/>
    <s v="Research &amp; Development"/>
    <n v="8"/>
    <n v="1"/>
    <s v="Life Sciences"/>
    <n v="2"/>
    <n v="3"/>
    <s v="Male"/>
    <n v="61"/>
    <n v="2"/>
    <n v="2"/>
    <s v="Research Scientist"/>
    <n v="2"/>
    <s v="Married"/>
    <n v="5130"/>
    <n v="24907"/>
    <n v="1"/>
    <s v="No"/>
    <n v="23"/>
    <n v="4"/>
    <n v="4"/>
    <n v="1"/>
    <n v="10"/>
    <n v="3"/>
    <n v="3"/>
    <n v="10"/>
    <n v="7"/>
    <n v="1"/>
    <n v="7"/>
    <x v="1"/>
  </r>
  <r>
    <n v="37"/>
    <x v="0"/>
    <s v="Travel_Rarely"/>
    <n v="1373"/>
    <s v="Research &amp; Development"/>
    <n v="2"/>
    <n v="2"/>
    <s v="Other"/>
    <n v="4"/>
    <n v="4"/>
    <s v="Male"/>
    <n v="92"/>
    <n v="2"/>
    <n v="1"/>
    <s v="Laboratory Technician"/>
    <n v="3"/>
    <s v="Single"/>
    <n v="2090"/>
    <n v="2396"/>
    <n v="6"/>
    <s v="Yes"/>
    <n v="15"/>
    <n v="3"/>
    <n v="2"/>
    <n v="0"/>
    <n v="7"/>
    <n v="3"/>
    <n v="3"/>
    <n v="0"/>
    <n v="0"/>
    <n v="0"/>
    <n v="0"/>
    <x v="0"/>
  </r>
  <r>
    <n v="33"/>
    <x v="1"/>
    <s v="Travel_Frequently"/>
    <n v="1392"/>
    <s v="Research &amp; Development"/>
    <n v="3"/>
    <n v="4"/>
    <s v="Life Sciences"/>
    <n v="5"/>
    <n v="4"/>
    <s v="Female"/>
    <n v="56"/>
    <n v="3"/>
    <n v="1"/>
    <s v="Research Scientist"/>
    <n v="3"/>
    <s v="Married"/>
    <n v="2909"/>
    <n v="23159"/>
    <n v="1"/>
    <s v="Yes"/>
    <n v="11"/>
    <n v="3"/>
    <n v="3"/>
    <n v="0"/>
    <n v="8"/>
    <n v="3"/>
    <n v="3"/>
    <n v="8"/>
    <n v="7"/>
    <n v="3"/>
    <n v="0"/>
    <x v="2"/>
  </r>
  <r>
    <n v="27"/>
    <x v="1"/>
    <s v="Travel_Rarely"/>
    <n v="591"/>
    <s v="Research &amp; Development"/>
    <n v="2"/>
    <n v="1"/>
    <s v="Medical"/>
    <n v="7"/>
    <n v="1"/>
    <s v="Male"/>
    <n v="40"/>
    <n v="3"/>
    <n v="1"/>
    <s v="Laboratory Technician"/>
    <n v="2"/>
    <s v="Married"/>
    <n v="3468"/>
    <n v="16632"/>
    <n v="9"/>
    <s v="No"/>
    <n v="12"/>
    <n v="3"/>
    <n v="4"/>
    <n v="1"/>
    <n v="6"/>
    <n v="3"/>
    <n v="3"/>
    <n v="2"/>
    <n v="2"/>
    <n v="2"/>
    <n v="2"/>
    <x v="2"/>
  </r>
  <r>
    <n v="32"/>
    <x v="1"/>
    <s v="Travel_Frequently"/>
    <n v="1005"/>
    <s v="Research &amp; Development"/>
    <n v="2"/>
    <n v="2"/>
    <s v="Life Sciences"/>
    <n v="8"/>
    <n v="4"/>
    <s v="Male"/>
    <n v="79"/>
    <n v="3"/>
    <n v="1"/>
    <s v="Laboratory Technician"/>
    <n v="4"/>
    <s v="Single"/>
    <n v="3068"/>
    <n v="11864"/>
    <n v="0"/>
    <s v="No"/>
    <n v="13"/>
    <n v="3"/>
    <n v="3"/>
    <n v="0"/>
    <n v="8"/>
    <n v="2"/>
    <n v="2"/>
    <n v="7"/>
    <n v="7"/>
    <n v="3"/>
    <n v="6"/>
    <x v="2"/>
  </r>
  <r>
    <n v="59"/>
    <x v="1"/>
    <s v="Travel_Rarely"/>
    <n v="1324"/>
    <s v="Research &amp; Development"/>
    <n v="3"/>
    <n v="3"/>
    <s v="Medical"/>
    <n v="10"/>
    <n v="3"/>
    <s v="Female"/>
    <n v="81"/>
    <n v="4"/>
    <n v="1"/>
    <s v="Laboratory Technician"/>
    <n v="1"/>
    <s v="Married"/>
    <n v="2670"/>
    <n v="9964"/>
    <n v="4"/>
    <s v="Yes"/>
    <n v="20"/>
    <n v="4"/>
    <n v="1"/>
    <n v="3"/>
    <n v="12"/>
    <n v="3"/>
    <n v="2"/>
    <n v="1"/>
    <n v="0"/>
    <n v="0"/>
    <n v="0"/>
    <x v="3"/>
  </r>
  <r>
    <n v="30"/>
    <x v="1"/>
    <s v="Travel_Rarely"/>
    <n v="1358"/>
    <s v="Research &amp; Development"/>
    <n v="24"/>
    <n v="1"/>
    <s v="Life Sciences"/>
    <n v="11"/>
    <n v="4"/>
    <s v="Male"/>
    <n v="67"/>
    <n v="3"/>
    <n v="1"/>
    <s v="Laboratory Technician"/>
    <n v="3"/>
    <s v="Divorced"/>
    <n v="2693"/>
    <n v="13335"/>
    <n v="1"/>
    <s v="No"/>
    <n v="22"/>
    <n v="4"/>
    <n v="2"/>
    <n v="1"/>
    <n v="1"/>
    <n v="2"/>
    <n v="3"/>
    <n v="1"/>
    <n v="0"/>
    <n v="0"/>
    <n v="0"/>
    <x v="2"/>
  </r>
  <r>
    <n v="38"/>
    <x v="1"/>
    <s v="Travel_Frequently"/>
    <n v="216"/>
    <s v="Research &amp; Development"/>
    <n v="23"/>
    <n v="3"/>
    <s v="Life Sciences"/>
    <n v="12"/>
    <n v="4"/>
    <s v="Male"/>
    <n v="44"/>
    <n v="2"/>
    <n v="3"/>
    <s v="Manufacturing Director"/>
    <n v="3"/>
    <s v="Single"/>
    <n v="9526"/>
    <n v="8787"/>
    <n v="0"/>
    <s v="No"/>
    <n v="21"/>
    <n v="4"/>
    <n v="2"/>
    <n v="0"/>
    <n v="10"/>
    <n v="2"/>
    <n v="3"/>
    <n v="9"/>
    <n v="7"/>
    <n v="1"/>
    <n v="8"/>
    <x v="0"/>
  </r>
  <r>
    <n v="36"/>
    <x v="1"/>
    <s v="Travel_Rarely"/>
    <n v="1299"/>
    <s v="Research &amp; Development"/>
    <n v="27"/>
    <n v="3"/>
    <s v="Medical"/>
    <n v="13"/>
    <n v="3"/>
    <s v="Male"/>
    <n v="94"/>
    <n v="3"/>
    <n v="2"/>
    <s v="Healthcare Representative"/>
    <n v="3"/>
    <s v="Married"/>
    <n v="5237"/>
    <n v="16577"/>
    <n v="6"/>
    <s v="No"/>
    <n v="13"/>
    <n v="3"/>
    <n v="2"/>
    <n v="2"/>
    <n v="17"/>
    <n v="3"/>
    <n v="2"/>
    <n v="7"/>
    <n v="7"/>
    <n v="7"/>
    <n v="7"/>
    <x v="0"/>
  </r>
  <r>
    <n v="35"/>
    <x v="1"/>
    <s v="Travel_Rarely"/>
    <n v="809"/>
    <s v="Research &amp; Development"/>
    <n v="16"/>
    <n v="3"/>
    <s v="Medical"/>
    <n v="14"/>
    <n v="1"/>
    <s v="Male"/>
    <n v="84"/>
    <n v="4"/>
    <n v="1"/>
    <s v="Laboratory Technician"/>
    <n v="2"/>
    <s v="Married"/>
    <n v="2426"/>
    <n v="16479"/>
    <n v="0"/>
    <s v="No"/>
    <n v="13"/>
    <n v="3"/>
    <n v="3"/>
    <n v="1"/>
    <n v="6"/>
    <n v="5"/>
    <n v="3"/>
    <n v="5"/>
    <n v="4"/>
    <n v="0"/>
    <n v="3"/>
    <x v="0"/>
  </r>
  <r>
    <n v="29"/>
    <x v="1"/>
    <s v="Travel_Rarely"/>
    <n v="153"/>
    <s v="Research &amp; Development"/>
    <n v="15"/>
    <n v="2"/>
    <s v="Life Sciences"/>
    <n v="15"/>
    <n v="4"/>
    <s v="Female"/>
    <n v="49"/>
    <n v="2"/>
    <n v="2"/>
    <s v="Laboratory Technician"/>
    <n v="3"/>
    <s v="Single"/>
    <n v="4193"/>
    <n v="12682"/>
    <n v="0"/>
    <s v="Yes"/>
    <n v="12"/>
    <n v="3"/>
    <n v="4"/>
    <n v="0"/>
    <n v="10"/>
    <n v="3"/>
    <n v="3"/>
    <n v="9"/>
    <n v="5"/>
    <n v="0"/>
    <n v="8"/>
    <x v="2"/>
  </r>
  <r>
    <n v="31"/>
    <x v="1"/>
    <s v="Travel_Rarely"/>
    <n v="670"/>
    <s v="Research &amp; Development"/>
    <n v="26"/>
    <n v="1"/>
    <s v="Life Sciences"/>
    <n v="16"/>
    <n v="1"/>
    <s v="Male"/>
    <n v="31"/>
    <n v="3"/>
    <n v="1"/>
    <s v="Research Scientist"/>
    <n v="3"/>
    <s v="Divorced"/>
    <n v="2911"/>
    <n v="15170"/>
    <n v="1"/>
    <s v="No"/>
    <n v="17"/>
    <n v="3"/>
    <n v="4"/>
    <n v="1"/>
    <n v="5"/>
    <n v="1"/>
    <n v="2"/>
    <n v="5"/>
    <n v="2"/>
    <n v="4"/>
    <n v="3"/>
    <x v="2"/>
  </r>
  <r>
    <n v="34"/>
    <x v="1"/>
    <s v="Travel_Rarely"/>
    <n v="1346"/>
    <s v="Research &amp; Development"/>
    <n v="19"/>
    <n v="2"/>
    <s v="Medical"/>
    <n v="18"/>
    <n v="2"/>
    <s v="Male"/>
    <n v="93"/>
    <n v="3"/>
    <n v="1"/>
    <s v="Laboratory Technician"/>
    <n v="4"/>
    <s v="Divorced"/>
    <n v="2661"/>
    <n v="8758"/>
    <n v="0"/>
    <s v="No"/>
    <n v="11"/>
    <n v="3"/>
    <n v="3"/>
    <n v="1"/>
    <n v="3"/>
    <n v="2"/>
    <n v="3"/>
    <n v="2"/>
    <n v="2"/>
    <n v="1"/>
    <n v="2"/>
    <x v="2"/>
  </r>
  <r>
    <n v="28"/>
    <x v="0"/>
    <s v="Travel_Rarely"/>
    <n v="103"/>
    <s v="Research &amp; Development"/>
    <n v="24"/>
    <n v="3"/>
    <s v="Life Sciences"/>
    <n v="19"/>
    <n v="3"/>
    <s v="Male"/>
    <n v="50"/>
    <n v="2"/>
    <n v="1"/>
    <s v="Laboratory Technician"/>
    <n v="3"/>
    <s v="Single"/>
    <n v="2028"/>
    <n v="12947"/>
    <n v="5"/>
    <s v="Yes"/>
    <n v="14"/>
    <n v="3"/>
    <n v="2"/>
    <n v="0"/>
    <n v="6"/>
    <n v="4"/>
    <n v="3"/>
    <n v="4"/>
    <n v="2"/>
    <n v="0"/>
    <n v="3"/>
    <x v="2"/>
  </r>
  <r>
    <n v="29"/>
    <x v="1"/>
    <s v="Travel_Rarely"/>
    <n v="1389"/>
    <s v="Research &amp; Development"/>
    <n v="21"/>
    <n v="4"/>
    <s v="Life Sciences"/>
    <n v="20"/>
    <n v="2"/>
    <s v="Female"/>
    <n v="51"/>
    <n v="4"/>
    <n v="3"/>
    <s v="Manufacturing Director"/>
    <n v="1"/>
    <s v="Divorced"/>
    <n v="9980"/>
    <n v="10195"/>
    <n v="1"/>
    <s v="No"/>
    <n v="11"/>
    <n v="3"/>
    <n v="3"/>
    <n v="1"/>
    <n v="10"/>
    <n v="1"/>
    <n v="3"/>
    <n v="10"/>
    <n v="9"/>
    <n v="8"/>
    <n v="8"/>
    <x v="2"/>
  </r>
  <r>
    <n v="32"/>
    <x v="1"/>
    <s v="Travel_Rarely"/>
    <n v="334"/>
    <s v="Research &amp; Development"/>
    <n v="5"/>
    <n v="2"/>
    <s v="Life Sciences"/>
    <n v="21"/>
    <n v="1"/>
    <s v="Male"/>
    <n v="80"/>
    <n v="4"/>
    <n v="1"/>
    <s v="Research Scientist"/>
    <n v="2"/>
    <s v="Divorced"/>
    <n v="3298"/>
    <n v="15053"/>
    <n v="0"/>
    <s v="Yes"/>
    <n v="12"/>
    <n v="3"/>
    <n v="4"/>
    <n v="2"/>
    <n v="7"/>
    <n v="5"/>
    <n v="2"/>
    <n v="6"/>
    <n v="2"/>
    <n v="0"/>
    <n v="5"/>
    <x v="2"/>
  </r>
  <r>
    <n v="22"/>
    <x v="1"/>
    <s v="Non-Travel"/>
    <n v="1123"/>
    <s v="Research &amp; Development"/>
    <n v="16"/>
    <n v="2"/>
    <s v="Medical"/>
    <n v="22"/>
    <n v="4"/>
    <s v="Male"/>
    <n v="96"/>
    <n v="4"/>
    <n v="1"/>
    <s v="Laboratory Technician"/>
    <n v="4"/>
    <s v="Divorced"/>
    <n v="2935"/>
    <n v="7324"/>
    <n v="1"/>
    <s v="Yes"/>
    <n v="13"/>
    <n v="3"/>
    <n v="2"/>
    <n v="2"/>
    <n v="1"/>
    <n v="2"/>
    <n v="2"/>
    <n v="1"/>
    <n v="0"/>
    <n v="0"/>
    <n v="0"/>
    <x v="2"/>
  </r>
  <r>
    <n v="53"/>
    <x v="1"/>
    <s v="Travel_Rarely"/>
    <n v="1219"/>
    <s v="Sales"/>
    <n v="2"/>
    <n v="4"/>
    <s v="Life Sciences"/>
    <n v="23"/>
    <n v="1"/>
    <s v="Female"/>
    <n v="78"/>
    <n v="2"/>
    <n v="4"/>
    <s v="Manager"/>
    <n v="4"/>
    <s v="Married"/>
    <n v="15427"/>
    <n v="22021"/>
    <n v="2"/>
    <s v="No"/>
    <n v="16"/>
    <n v="3"/>
    <n v="3"/>
    <n v="0"/>
    <n v="31"/>
    <n v="3"/>
    <n v="3"/>
    <n v="25"/>
    <n v="8"/>
    <n v="3"/>
    <n v="7"/>
    <x v="1"/>
  </r>
  <r>
    <n v="38"/>
    <x v="1"/>
    <s v="Travel_Rarely"/>
    <n v="371"/>
    <s v="Research &amp; Development"/>
    <n v="2"/>
    <n v="3"/>
    <s v="Life Sciences"/>
    <n v="24"/>
    <n v="4"/>
    <s v="Male"/>
    <n v="45"/>
    <n v="3"/>
    <n v="1"/>
    <s v="Research Scientist"/>
    <n v="4"/>
    <s v="Single"/>
    <n v="3944"/>
    <n v="4306"/>
    <n v="5"/>
    <s v="Yes"/>
    <n v="11"/>
    <n v="3"/>
    <n v="3"/>
    <n v="0"/>
    <n v="6"/>
    <n v="3"/>
    <n v="3"/>
    <n v="3"/>
    <n v="2"/>
    <n v="1"/>
    <n v="2"/>
    <x v="0"/>
  </r>
  <r>
    <n v="24"/>
    <x v="1"/>
    <s v="Non-Travel"/>
    <n v="673"/>
    <s v="Research &amp; Development"/>
    <n v="11"/>
    <n v="2"/>
    <s v="Other"/>
    <n v="26"/>
    <n v="1"/>
    <s v="Female"/>
    <n v="96"/>
    <n v="4"/>
    <n v="2"/>
    <s v="Manufacturing Director"/>
    <n v="3"/>
    <s v="Divorced"/>
    <n v="4011"/>
    <n v="8232"/>
    <n v="0"/>
    <s v="No"/>
    <n v="18"/>
    <n v="3"/>
    <n v="4"/>
    <n v="1"/>
    <n v="5"/>
    <n v="5"/>
    <n v="2"/>
    <n v="4"/>
    <n v="2"/>
    <n v="1"/>
    <n v="3"/>
    <x v="2"/>
  </r>
  <r>
    <n v="36"/>
    <x v="0"/>
    <s v="Travel_Rarely"/>
    <n v="1218"/>
    <s v="Sales"/>
    <n v="9"/>
    <n v="4"/>
    <s v="Life Sciences"/>
    <n v="27"/>
    <n v="3"/>
    <s v="Male"/>
    <n v="82"/>
    <n v="2"/>
    <n v="1"/>
    <s v="Sales Representative"/>
    <n v="1"/>
    <s v="Single"/>
    <n v="3407"/>
    <n v="6986"/>
    <n v="7"/>
    <s v="No"/>
    <n v="23"/>
    <n v="4"/>
    <n v="2"/>
    <n v="0"/>
    <n v="10"/>
    <n v="4"/>
    <n v="3"/>
    <n v="5"/>
    <n v="3"/>
    <n v="0"/>
    <n v="3"/>
    <x v="0"/>
  </r>
  <r>
    <n v="34"/>
    <x v="1"/>
    <s v="Travel_Rarely"/>
    <n v="419"/>
    <s v="Research &amp; Development"/>
    <n v="7"/>
    <n v="4"/>
    <s v="Life Sciences"/>
    <n v="28"/>
    <n v="1"/>
    <s v="Female"/>
    <n v="53"/>
    <n v="3"/>
    <n v="3"/>
    <s v="Research Director"/>
    <n v="2"/>
    <s v="Single"/>
    <n v="11994"/>
    <n v="21293"/>
    <n v="0"/>
    <s v="No"/>
    <n v="11"/>
    <n v="3"/>
    <n v="3"/>
    <n v="0"/>
    <n v="13"/>
    <n v="4"/>
    <n v="3"/>
    <n v="12"/>
    <n v="6"/>
    <n v="2"/>
    <n v="11"/>
    <x v="2"/>
  </r>
  <r>
    <n v="21"/>
    <x v="1"/>
    <s v="Travel_Rarely"/>
    <n v="391"/>
    <s v="Research &amp; Development"/>
    <n v="15"/>
    <n v="2"/>
    <s v="Life Sciences"/>
    <n v="30"/>
    <n v="3"/>
    <s v="Male"/>
    <n v="96"/>
    <n v="3"/>
    <n v="1"/>
    <s v="Research Scientist"/>
    <n v="4"/>
    <s v="Single"/>
    <n v="1232"/>
    <n v="19281"/>
    <n v="1"/>
    <s v="No"/>
    <n v="14"/>
    <n v="3"/>
    <n v="4"/>
    <n v="0"/>
    <n v="0"/>
    <n v="6"/>
    <n v="3"/>
    <n v="0"/>
    <n v="0"/>
    <n v="0"/>
    <n v="0"/>
    <x v="2"/>
  </r>
  <r>
    <n v="34"/>
    <x v="0"/>
    <s v="Travel_Rarely"/>
    <n v="699"/>
    <s v="Research &amp; Development"/>
    <n v="6"/>
    <n v="1"/>
    <s v="Medical"/>
    <n v="31"/>
    <n v="2"/>
    <s v="Male"/>
    <n v="83"/>
    <n v="3"/>
    <n v="1"/>
    <s v="Research Scientist"/>
    <n v="1"/>
    <s v="Single"/>
    <n v="2960"/>
    <n v="17102"/>
    <n v="2"/>
    <s v="No"/>
    <n v="11"/>
    <n v="3"/>
    <n v="3"/>
    <n v="0"/>
    <n v="8"/>
    <n v="2"/>
    <n v="3"/>
    <n v="4"/>
    <n v="2"/>
    <n v="1"/>
    <n v="3"/>
    <x v="2"/>
  </r>
  <r>
    <n v="53"/>
    <x v="1"/>
    <s v="Travel_Rarely"/>
    <n v="1282"/>
    <s v="Research &amp; Development"/>
    <n v="5"/>
    <n v="3"/>
    <s v="Other"/>
    <n v="32"/>
    <n v="3"/>
    <s v="Female"/>
    <n v="58"/>
    <n v="3"/>
    <n v="5"/>
    <s v="Manager"/>
    <n v="3"/>
    <s v="Divorced"/>
    <n v="19094"/>
    <n v="10735"/>
    <n v="4"/>
    <s v="No"/>
    <n v="11"/>
    <n v="3"/>
    <n v="4"/>
    <n v="1"/>
    <n v="26"/>
    <n v="3"/>
    <n v="2"/>
    <n v="14"/>
    <n v="13"/>
    <n v="4"/>
    <n v="8"/>
    <x v="1"/>
  </r>
  <r>
    <n v="32"/>
    <x v="0"/>
    <s v="Travel_Frequently"/>
    <n v="1125"/>
    <s v="Research &amp; Development"/>
    <n v="16"/>
    <n v="1"/>
    <s v="Life Sciences"/>
    <n v="33"/>
    <n v="2"/>
    <s v="Female"/>
    <n v="72"/>
    <n v="1"/>
    <n v="1"/>
    <s v="Research Scientist"/>
    <n v="1"/>
    <s v="Single"/>
    <n v="3919"/>
    <n v="4681"/>
    <n v="1"/>
    <s v="Yes"/>
    <n v="22"/>
    <n v="4"/>
    <n v="2"/>
    <n v="0"/>
    <n v="10"/>
    <n v="5"/>
    <n v="3"/>
    <n v="10"/>
    <n v="2"/>
    <n v="6"/>
    <n v="7"/>
    <x v="2"/>
  </r>
  <r>
    <n v="42"/>
    <x v="1"/>
    <s v="Travel_Rarely"/>
    <n v="691"/>
    <s v="Sales"/>
    <n v="8"/>
    <n v="4"/>
    <s v="Marketing"/>
    <n v="35"/>
    <n v="3"/>
    <s v="Male"/>
    <n v="48"/>
    <n v="3"/>
    <n v="2"/>
    <s v="Sales Executive"/>
    <n v="2"/>
    <s v="Married"/>
    <n v="6825"/>
    <n v="21173"/>
    <n v="0"/>
    <s v="No"/>
    <n v="11"/>
    <n v="3"/>
    <n v="4"/>
    <n v="1"/>
    <n v="10"/>
    <n v="2"/>
    <n v="3"/>
    <n v="9"/>
    <n v="7"/>
    <n v="4"/>
    <n v="2"/>
    <x v="0"/>
  </r>
  <r>
    <n v="44"/>
    <x v="1"/>
    <s v="Travel_Rarely"/>
    <n v="477"/>
    <s v="Research &amp; Development"/>
    <n v="7"/>
    <n v="4"/>
    <s v="Medical"/>
    <n v="36"/>
    <n v="1"/>
    <s v="Female"/>
    <n v="42"/>
    <n v="2"/>
    <n v="3"/>
    <s v="Healthcare Representative"/>
    <n v="4"/>
    <s v="Married"/>
    <n v="10248"/>
    <n v="2094"/>
    <n v="3"/>
    <s v="No"/>
    <n v="14"/>
    <n v="3"/>
    <n v="4"/>
    <n v="1"/>
    <n v="24"/>
    <n v="4"/>
    <n v="3"/>
    <n v="22"/>
    <n v="6"/>
    <n v="5"/>
    <n v="17"/>
    <x v="0"/>
  </r>
  <r>
    <n v="46"/>
    <x v="1"/>
    <s v="Travel_Rarely"/>
    <n v="705"/>
    <s v="Sales"/>
    <n v="2"/>
    <n v="4"/>
    <s v="Marketing"/>
    <n v="38"/>
    <n v="2"/>
    <s v="Female"/>
    <n v="83"/>
    <n v="3"/>
    <n v="5"/>
    <s v="Manager"/>
    <n v="1"/>
    <s v="Single"/>
    <n v="18947"/>
    <n v="22822"/>
    <n v="3"/>
    <s v="No"/>
    <n v="12"/>
    <n v="3"/>
    <n v="4"/>
    <n v="0"/>
    <n v="22"/>
    <n v="2"/>
    <n v="2"/>
    <n v="2"/>
    <n v="2"/>
    <n v="2"/>
    <n v="1"/>
    <x v="1"/>
  </r>
  <r>
    <n v="33"/>
    <x v="1"/>
    <s v="Travel_Rarely"/>
    <n v="924"/>
    <s v="Research &amp; Development"/>
    <n v="2"/>
    <n v="3"/>
    <s v="Medical"/>
    <n v="39"/>
    <n v="3"/>
    <s v="Male"/>
    <n v="78"/>
    <n v="3"/>
    <n v="1"/>
    <s v="Laboratory Technician"/>
    <n v="4"/>
    <s v="Single"/>
    <n v="2496"/>
    <n v="6670"/>
    <n v="4"/>
    <s v="No"/>
    <n v="11"/>
    <n v="3"/>
    <n v="4"/>
    <n v="0"/>
    <n v="7"/>
    <n v="3"/>
    <n v="3"/>
    <n v="1"/>
    <n v="1"/>
    <n v="0"/>
    <n v="0"/>
    <x v="2"/>
  </r>
  <r>
    <n v="44"/>
    <x v="1"/>
    <s v="Travel_Rarely"/>
    <n v="1459"/>
    <s v="Research &amp; Development"/>
    <n v="10"/>
    <n v="4"/>
    <s v="Other"/>
    <n v="40"/>
    <n v="4"/>
    <s v="Male"/>
    <n v="41"/>
    <n v="3"/>
    <n v="2"/>
    <s v="Healthcare Representative"/>
    <n v="4"/>
    <s v="Married"/>
    <n v="6465"/>
    <n v="19121"/>
    <n v="2"/>
    <s v="Yes"/>
    <n v="13"/>
    <n v="3"/>
    <n v="4"/>
    <n v="0"/>
    <n v="9"/>
    <n v="5"/>
    <n v="4"/>
    <n v="4"/>
    <n v="2"/>
    <n v="1"/>
    <n v="3"/>
    <x v="0"/>
  </r>
  <r>
    <n v="30"/>
    <x v="1"/>
    <s v="Travel_Rarely"/>
    <n v="125"/>
    <s v="Research &amp; Development"/>
    <n v="9"/>
    <n v="2"/>
    <s v="Medical"/>
    <n v="41"/>
    <n v="4"/>
    <s v="Male"/>
    <n v="83"/>
    <n v="2"/>
    <n v="1"/>
    <s v="Laboratory Technician"/>
    <n v="3"/>
    <s v="Single"/>
    <n v="2206"/>
    <n v="16117"/>
    <n v="1"/>
    <s v="No"/>
    <n v="13"/>
    <n v="3"/>
    <n v="1"/>
    <n v="0"/>
    <n v="10"/>
    <n v="5"/>
    <n v="3"/>
    <n v="10"/>
    <n v="0"/>
    <n v="1"/>
    <n v="8"/>
    <x v="2"/>
  </r>
  <r>
    <n v="39"/>
    <x v="0"/>
    <s v="Travel_Rarely"/>
    <n v="895"/>
    <s v="Sales"/>
    <n v="5"/>
    <n v="3"/>
    <s v="Technical Degree"/>
    <n v="42"/>
    <n v="4"/>
    <s v="Male"/>
    <n v="56"/>
    <n v="3"/>
    <n v="2"/>
    <s v="Sales Representative"/>
    <n v="4"/>
    <s v="Married"/>
    <n v="2086"/>
    <n v="3335"/>
    <n v="3"/>
    <s v="No"/>
    <n v="14"/>
    <n v="3"/>
    <n v="3"/>
    <n v="1"/>
    <n v="19"/>
    <n v="6"/>
    <n v="4"/>
    <n v="1"/>
    <n v="0"/>
    <n v="0"/>
    <n v="0"/>
    <x v="0"/>
  </r>
  <r>
    <n v="24"/>
    <x v="0"/>
    <s v="Travel_Rarely"/>
    <n v="813"/>
    <s v="Research &amp; Development"/>
    <n v="1"/>
    <n v="3"/>
    <s v="Medical"/>
    <n v="45"/>
    <n v="2"/>
    <s v="Male"/>
    <n v="61"/>
    <n v="3"/>
    <n v="1"/>
    <s v="Research Scientist"/>
    <n v="4"/>
    <s v="Married"/>
    <n v="2293"/>
    <n v="3020"/>
    <n v="2"/>
    <s v="Yes"/>
    <n v="16"/>
    <n v="3"/>
    <n v="1"/>
    <n v="1"/>
    <n v="6"/>
    <n v="2"/>
    <n v="2"/>
    <n v="2"/>
    <n v="0"/>
    <n v="2"/>
    <n v="0"/>
    <x v="2"/>
  </r>
  <r>
    <n v="43"/>
    <x v="1"/>
    <s v="Travel_Rarely"/>
    <n v="1273"/>
    <s v="Research &amp; Development"/>
    <n v="2"/>
    <n v="2"/>
    <s v="Medical"/>
    <n v="46"/>
    <n v="4"/>
    <s v="Female"/>
    <n v="72"/>
    <n v="4"/>
    <n v="1"/>
    <s v="Research Scientist"/>
    <n v="3"/>
    <s v="Divorced"/>
    <n v="2645"/>
    <n v="21923"/>
    <n v="1"/>
    <s v="No"/>
    <n v="12"/>
    <n v="3"/>
    <n v="4"/>
    <n v="2"/>
    <n v="6"/>
    <n v="3"/>
    <n v="2"/>
    <n v="5"/>
    <n v="3"/>
    <n v="1"/>
    <n v="4"/>
    <x v="0"/>
  </r>
  <r>
    <n v="50"/>
    <x v="0"/>
    <s v="Travel_Rarely"/>
    <n v="869"/>
    <s v="Sales"/>
    <n v="3"/>
    <n v="2"/>
    <s v="Marketing"/>
    <n v="47"/>
    <n v="1"/>
    <s v="Male"/>
    <n v="86"/>
    <n v="2"/>
    <n v="1"/>
    <s v="Sales Representative"/>
    <n v="3"/>
    <s v="Married"/>
    <n v="2683"/>
    <n v="3810"/>
    <n v="1"/>
    <s v="Yes"/>
    <n v="14"/>
    <n v="3"/>
    <n v="3"/>
    <n v="0"/>
    <n v="3"/>
    <n v="2"/>
    <n v="3"/>
    <n v="3"/>
    <n v="2"/>
    <n v="0"/>
    <n v="2"/>
    <x v="1"/>
  </r>
  <r>
    <n v="35"/>
    <x v="1"/>
    <s v="Travel_Rarely"/>
    <n v="890"/>
    <s v="Sales"/>
    <n v="2"/>
    <n v="3"/>
    <s v="Marketing"/>
    <n v="49"/>
    <n v="4"/>
    <s v="Female"/>
    <n v="97"/>
    <n v="3"/>
    <n v="1"/>
    <s v="Sales Representative"/>
    <n v="4"/>
    <s v="Married"/>
    <n v="2014"/>
    <n v="9687"/>
    <n v="1"/>
    <s v="No"/>
    <n v="13"/>
    <n v="3"/>
    <n v="1"/>
    <n v="0"/>
    <n v="2"/>
    <n v="3"/>
    <n v="3"/>
    <n v="2"/>
    <n v="2"/>
    <n v="2"/>
    <n v="2"/>
    <x v="0"/>
  </r>
  <r>
    <n v="36"/>
    <x v="1"/>
    <s v="Travel_Rarely"/>
    <n v="852"/>
    <s v="Research &amp; Development"/>
    <n v="5"/>
    <n v="4"/>
    <s v="Life Sciences"/>
    <n v="51"/>
    <n v="2"/>
    <s v="Female"/>
    <n v="82"/>
    <n v="2"/>
    <n v="1"/>
    <s v="Research Scientist"/>
    <n v="1"/>
    <s v="Married"/>
    <n v="3419"/>
    <n v="13072"/>
    <n v="9"/>
    <s v="Yes"/>
    <n v="14"/>
    <n v="3"/>
    <n v="4"/>
    <n v="1"/>
    <n v="6"/>
    <n v="3"/>
    <n v="4"/>
    <n v="1"/>
    <n v="1"/>
    <n v="0"/>
    <n v="0"/>
    <x v="0"/>
  </r>
  <r>
    <n v="33"/>
    <x v="1"/>
    <s v="Travel_Frequently"/>
    <n v="1141"/>
    <s v="Sales"/>
    <n v="1"/>
    <n v="3"/>
    <s v="Life Sciences"/>
    <n v="52"/>
    <n v="3"/>
    <s v="Female"/>
    <n v="42"/>
    <n v="4"/>
    <n v="2"/>
    <s v="Sales Executive"/>
    <n v="1"/>
    <s v="Married"/>
    <n v="5376"/>
    <n v="3193"/>
    <n v="2"/>
    <s v="No"/>
    <n v="19"/>
    <n v="3"/>
    <n v="1"/>
    <n v="2"/>
    <n v="10"/>
    <n v="3"/>
    <n v="3"/>
    <n v="5"/>
    <n v="3"/>
    <n v="1"/>
    <n v="3"/>
    <x v="2"/>
  </r>
  <r>
    <n v="35"/>
    <x v="1"/>
    <s v="Travel_Rarely"/>
    <n v="464"/>
    <s v="Research &amp; Development"/>
    <n v="4"/>
    <n v="2"/>
    <s v="Other"/>
    <n v="53"/>
    <n v="3"/>
    <s v="Male"/>
    <n v="75"/>
    <n v="3"/>
    <n v="1"/>
    <s v="Laboratory Technician"/>
    <n v="4"/>
    <s v="Divorced"/>
    <n v="1951"/>
    <n v="10910"/>
    <n v="1"/>
    <s v="No"/>
    <n v="12"/>
    <n v="3"/>
    <n v="3"/>
    <n v="1"/>
    <n v="1"/>
    <n v="3"/>
    <n v="3"/>
    <n v="1"/>
    <n v="0"/>
    <n v="0"/>
    <n v="0"/>
    <x v="0"/>
  </r>
  <r>
    <n v="27"/>
    <x v="1"/>
    <s v="Travel_Rarely"/>
    <n v="1240"/>
    <s v="Research &amp; Development"/>
    <n v="2"/>
    <n v="4"/>
    <s v="Life Sciences"/>
    <n v="54"/>
    <n v="4"/>
    <s v="Female"/>
    <n v="33"/>
    <n v="3"/>
    <n v="1"/>
    <s v="Laboratory Technician"/>
    <n v="1"/>
    <s v="Divorced"/>
    <n v="2341"/>
    <n v="19715"/>
    <n v="1"/>
    <s v="No"/>
    <n v="13"/>
    <n v="3"/>
    <n v="4"/>
    <n v="1"/>
    <n v="1"/>
    <n v="6"/>
    <n v="3"/>
    <n v="1"/>
    <n v="0"/>
    <n v="0"/>
    <n v="0"/>
    <x v="2"/>
  </r>
  <r>
    <n v="26"/>
    <x v="0"/>
    <s v="Travel_Rarely"/>
    <n v="1357"/>
    <s v="Research &amp; Development"/>
    <n v="25"/>
    <n v="3"/>
    <s v="Life Sciences"/>
    <n v="55"/>
    <n v="1"/>
    <s v="Male"/>
    <n v="48"/>
    <n v="1"/>
    <n v="1"/>
    <s v="Laboratory Technician"/>
    <n v="3"/>
    <s v="Single"/>
    <n v="2293"/>
    <n v="10558"/>
    <n v="1"/>
    <s v="No"/>
    <n v="12"/>
    <n v="3"/>
    <n v="3"/>
    <n v="0"/>
    <n v="1"/>
    <n v="2"/>
    <n v="2"/>
    <n v="1"/>
    <n v="0"/>
    <n v="0"/>
    <n v="1"/>
    <x v="2"/>
  </r>
  <r>
    <n v="27"/>
    <x v="1"/>
    <s v="Travel_Frequently"/>
    <n v="994"/>
    <s v="Sales"/>
    <n v="8"/>
    <n v="3"/>
    <s v="Life Sciences"/>
    <n v="56"/>
    <n v="4"/>
    <s v="Male"/>
    <n v="37"/>
    <n v="3"/>
    <n v="3"/>
    <s v="Sales Executive"/>
    <n v="3"/>
    <s v="Single"/>
    <n v="8726"/>
    <n v="2975"/>
    <n v="1"/>
    <s v="No"/>
    <n v="15"/>
    <n v="3"/>
    <n v="4"/>
    <n v="0"/>
    <n v="9"/>
    <n v="0"/>
    <n v="3"/>
    <n v="9"/>
    <n v="8"/>
    <n v="1"/>
    <n v="7"/>
    <x v="2"/>
  </r>
  <r>
    <n v="30"/>
    <x v="1"/>
    <s v="Travel_Frequently"/>
    <n v="721"/>
    <s v="Research &amp; Development"/>
    <n v="1"/>
    <n v="2"/>
    <s v="Medical"/>
    <n v="57"/>
    <n v="3"/>
    <s v="Female"/>
    <n v="58"/>
    <n v="3"/>
    <n v="2"/>
    <s v="Laboratory Technician"/>
    <n v="4"/>
    <s v="Single"/>
    <n v="4011"/>
    <n v="10781"/>
    <n v="1"/>
    <s v="No"/>
    <n v="23"/>
    <n v="4"/>
    <n v="4"/>
    <n v="0"/>
    <n v="12"/>
    <n v="2"/>
    <n v="3"/>
    <n v="12"/>
    <n v="8"/>
    <n v="3"/>
    <n v="7"/>
    <x v="2"/>
  </r>
  <r>
    <n v="41"/>
    <x v="0"/>
    <s v="Travel_Rarely"/>
    <n v="1360"/>
    <s v="Research &amp; Development"/>
    <n v="12"/>
    <n v="3"/>
    <s v="Technical Degree"/>
    <n v="58"/>
    <n v="2"/>
    <s v="Female"/>
    <n v="49"/>
    <n v="3"/>
    <n v="5"/>
    <s v="Research Director"/>
    <n v="3"/>
    <s v="Married"/>
    <n v="19545"/>
    <n v="16280"/>
    <n v="1"/>
    <s v="No"/>
    <n v="12"/>
    <n v="3"/>
    <n v="4"/>
    <n v="0"/>
    <n v="23"/>
    <n v="0"/>
    <n v="3"/>
    <n v="22"/>
    <n v="15"/>
    <n v="15"/>
    <n v="8"/>
    <x v="0"/>
  </r>
  <r>
    <n v="34"/>
    <x v="1"/>
    <s v="Non-Travel"/>
    <n v="1065"/>
    <s v="Sales"/>
    <n v="23"/>
    <n v="4"/>
    <s v="Marketing"/>
    <n v="60"/>
    <n v="2"/>
    <s v="Male"/>
    <n v="72"/>
    <n v="3"/>
    <n v="2"/>
    <s v="Sales Executive"/>
    <n v="3"/>
    <s v="Single"/>
    <n v="4568"/>
    <n v="10034"/>
    <n v="0"/>
    <s v="No"/>
    <n v="20"/>
    <n v="4"/>
    <n v="3"/>
    <n v="0"/>
    <n v="10"/>
    <n v="2"/>
    <n v="3"/>
    <n v="9"/>
    <n v="5"/>
    <n v="8"/>
    <n v="7"/>
    <x v="2"/>
  </r>
  <r>
    <n v="37"/>
    <x v="1"/>
    <s v="Travel_Rarely"/>
    <n v="408"/>
    <s v="Research &amp; Development"/>
    <n v="19"/>
    <n v="2"/>
    <s v="Life Sciences"/>
    <n v="61"/>
    <n v="2"/>
    <s v="Male"/>
    <n v="73"/>
    <n v="3"/>
    <n v="1"/>
    <s v="Research Scientist"/>
    <n v="2"/>
    <s v="Married"/>
    <n v="3022"/>
    <n v="10227"/>
    <n v="4"/>
    <s v="No"/>
    <n v="21"/>
    <n v="4"/>
    <n v="1"/>
    <n v="0"/>
    <n v="8"/>
    <n v="1"/>
    <n v="3"/>
    <n v="1"/>
    <n v="0"/>
    <n v="0"/>
    <n v="0"/>
    <x v="0"/>
  </r>
  <r>
    <n v="46"/>
    <x v="1"/>
    <s v="Travel_Frequently"/>
    <n v="1211"/>
    <s v="Sales"/>
    <n v="5"/>
    <n v="4"/>
    <s v="Marketing"/>
    <n v="62"/>
    <n v="1"/>
    <s v="Male"/>
    <n v="98"/>
    <n v="3"/>
    <n v="2"/>
    <s v="Sales Executive"/>
    <n v="4"/>
    <s v="Single"/>
    <n v="5772"/>
    <n v="20445"/>
    <n v="4"/>
    <s v="Yes"/>
    <n v="21"/>
    <n v="4"/>
    <n v="3"/>
    <n v="0"/>
    <n v="14"/>
    <n v="4"/>
    <n v="3"/>
    <n v="9"/>
    <n v="6"/>
    <n v="0"/>
    <n v="8"/>
    <x v="1"/>
  </r>
  <r>
    <n v="35"/>
    <x v="1"/>
    <s v="Travel_Rarely"/>
    <n v="1229"/>
    <s v="Research &amp; Development"/>
    <n v="8"/>
    <n v="1"/>
    <s v="Life Sciences"/>
    <n v="63"/>
    <n v="4"/>
    <s v="Male"/>
    <n v="36"/>
    <n v="4"/>
    <n v="1"/>
    <s v="Laboratory Technician"/>
    <n v="4"/>
    <s v="Married"/>
    <n v="2269"/>
    <n v="4892"/>
    <n v="1"/>
    <s v="No"/>
    <n v="19"/>
    <n v="3"/>
    <n v="4"/>
    <n v="0"/>
    <n v="1"/>
    <n v="2"/>
    <n v="3"/>
    <n v="1"/>
    <n v="0"/>
    <n v="0"/>
    <n v="1"/>
    <x v="0"/>
  </r>
  <r>
    <n v="48"/>
    <x v="0"/>
    <s v="Travel_Rarely"/>
    <n v="626"/>
    <s v="Research &amp; Development"/>
    <n v="1"/>
    <n v="2"/>
    <s v="Life Sciences"/>
    <n v="64"/>
    <n v="1"/>
    <s v="Male"/>
    <n v="98"/>
    <n v="2"/>
    <n v="3"/>
    <s v="Laboratory Technician"/>
    <n v="3"/>
    <s v="Single"/>
    <n v="5381"/>
    <n v="19294"/>
    <n v="9"/>
    <s v="Yes"/>
    <n v="13"/>
    <n v="3"/>
    <n v="4"/>
    <n v="0"/>
    <n v="23"/>
    <n v="2"/>
    <n v="3"/>
    <n v="1"/>
    <n v="0"/>
    <n v="0"/>
    <n v="0"/>
    <x v="1"/>
  </r>
  <r>
    <n v="28"/>
    <x v="0"/>
    <s v="Travel_Rarely"/>
    <n v="1434"/>
    <s v="Research &amp; Development"/>
    <n v="5"/>
    <n v="4"/>
    <s v="Technical Degree"/>
    <n v="65"/>
    <n v="3"/>
    <s v="Male"/>
    <n v="50"/>
    <n v="3"/>
    <n v="1"/>
    <s v="Laboratory Technician"/>
    <n v="3"/>
    <s v="Single"/>
    <n v="3441"/>
    <n v="11179"/>
    <n v="1"/>
    <s v="Yes"/>
    <n v="13"/>
    <n v="3"/>
    <n v="3"/>
    <n v="0"/>
    <n v="2"/>
    <n v="3"/>
    <n v="2"/>
    <n v="2"/>
    <n v="2"/>
    <n v="2"/>
    <n v="2"/>
    <x v="2"/>
  </r>
  <r>
    <n v="44"/>
    <x v="1"/>
    <s v="Travel_Rarely"/>
    <n v="1488"/>
    <s v="Sales"/>
    <n v="1"/>
    <n v="5"/>
    <s v="Marketing"/>
    <n v="68"/>
    <n v="2"/>
    <s v="Female"/>
    <n v="75"/>
    <n v="3"/>
    <n v="2"/>
    <s v="Sales Executive"/>
    <n v="1"/>
    <s v="Divorced"/>
    <n v="5454"/>
    <n v="4009"/>
    <n v="5"/>
    <s v="Yes"/>
    <n v="21"/>
    <n v="4"/>
    <n v="3"/>
    <n v="1"/>
    <n v="9"/>
    <n v="2"/>
    <n v="2"/>
    <n v="4"/>
    <n v="3"/>
    <n v="1"/>
    <n v="3"/>
    <x v="0"/>
  </r>
  <r>
    <n v="35"/>
    <x v="1"/>
    <s v="Non-Travel"/>
    <n v="1097"/>
    <s v="Research &amp; Development"/>
    <n v="11"/>
    <n v="2"/>
    <s v="Medical"/>
    <n v="70"/>
    <n v="3"/>
    <s v="Male"/>
    <n v="79"/>
    <n v="2"/>
    <n v="3"/>
    <s v="Healthcare Representative"/>
    <n v="1"/>
    <s v="Married"/>
    <n v="9884"/>
    <n v="8302"/>
    <n v="2"/>
    <s v="Yes"/>
    <n v="13"/>
    <n v="3"/>
    <n v="3"/>
    <n v="1"/>
    <n v="10"/>
    <n v="3"/>
    <n v="3"/>
    <n v="4"/>
    <n v="0"/>
    <n v="2"/>
    <n v="3"/>
    <x v="0"/>
  </r>
  <r>
    <n v="26"/>
    <x v="1"/>
    <s v="Travel_Rarely"/>
    <n v="1443"/>
    <s v="Sales"/>
    <n v="23"/>
    <n v="3"/>
    <s v="Marketing"/>
    <n v="72"/>
    <n v="3"/>
    <s v="Female"/>
    <n v="47"/>
    <n v="2"/>
    <n v="2"/>
    <s v="Sales Executive"/>
    <n v="4"/>
    <s v="Married"/>
    <n v="4157"/>
    <n v="21436"/>
    <n v="7"/>
    <s v="Yes"/>
    <n v="19"/>
    <n v="3"/>
    <n v="3"/>
    <n v="1"/>
    <n v="5"/>
    <n v="2"/>
    <n v="2"/>
    <n v="2"/>
    <n v="2"/>
    <n v="0"/>
    <n v="0"/>
    <x v="2"/>
  </r>
  <r>
    <n v="33"/>
    <x v="1"/>
    <s v="Travel_Frequently"/>
    <n v="515"/>
    <s v="Research &amp; Development"/>
    <n v="1"/>
    <n v="2"/>
    <s v="Life Sciences"/>
    <n v="73"/>
    <n v="1"/>
    <s v="Female"/>
    <n v="98"/>
    <n v="3"/>
    <n v="3"/>
    <s v="Research Director"/>
    <n v="4"/>
    <s v="Single"/>
    <n v="13458"/>
    <n v="15146"/>
    <n v="1"/>
    <s v="Yes"/>
    <n v="12"/>
    <n v="3"/>
    <n v="3"/>
    <n v="0"/>
    <n v="15"/>
    <n v="1"/>
    <n v="3"/>
    <n v="15"/>
    <n v="14"/>
    <n v="8"/>
    <n v="12"/>
    <x v="2"/>
  </r>
  <r>
    <n v="35"/>
    <x v="1"/>
    <s v="Travel_Frequently"/>
    <n v="853"/>
    <s v="Sales"/>
    <n v="18"/>
    <n v="5"/>
    <s v="Life Sciences"/>
    <n v="74"/>
    <n v="2"/>
    <s v="Male"/>
    <n v="71"/>
    <n v="3"/>
    <n v="3"/>
    <s v="Sales Executive"/>
    <n v="1"/>
    <s v="Married"/>
    <n v="9069"/>
    <n v="11031"/>
    <n v="1"/>
    <s v="No"/>
    <n v="22"/>
    <n v="4"/>
    <n v="4"/>
    <n v="1"/>
    <n v="9"/>
    <n v="3"/>
    <n v="2"/>
    <n v="9"/>
    <n v="8"/>
    <n v="1"/>
    <n v="8"/>
    <x v="0"/>
  </r>
  <r>
    <n v="35"/>
    <x v="1"/>
    <s v="Travel_Rarely"/>
    <n v="1142"/>
    <s v="Research &amp; Development"/>
    <n v="23"/>
    <n v="4"/>
    <s v="Medical"/>
    <n v="75"/>
    <n v="3"/>
    <s v="Female"/>
    <n v="30"/>
    <n v="3"/>
    <n v="1"/>
    <s v="Laboratory Technician"/>
    <n v="1"/>
    <s v="Married"/>
    <n v="4014"/>
    <n v="16002"/>
    <n v="3"/>
    <s v="Yes"/>
    <n v="15"/>
    <n v="3"/>
    <n v="3"/>
    <n v="1"/>
    <n v="4"/>
    <n v="3"/>
    <n v="3"/>
    <n v="2"/>
    <n v="2"/>
    <n v="2"/>
    <n v="2"/>
    <x v="0"/>
  </r>
  <r>
    <n v="31"/>
    <x v="1"/>
    <s v="Travel_Rarely"/>
    <n v="655"/>
    <s v="Research &amp; Development"/>
    <n v="7"/>
    <n v="4"/>
    <s v="Life Sciences"/>
    <n v="76"/>
    <n v="4"/>
    <s v="Male"/>
    <n v="48"/>
    <n v="3"/>
    <n v="2"/>
    <s v="Laboratory Technician"/>
    <n v="4"/>
    <s v="Divorced"/>
    <n v="5915"/>
    <n v="9528"/>
    <n v="3"/>
    <s v="No"/>
    <n v="22"/>
    <n v="4"/>
    <n v="4"/>
    <n v="1"/>
    <n v="10"/>
    <n v="3"/>
    <n v="2"/>
    <n v="7"/>
    <n v="7"/>
    <n v="1"/>
    <n v="7"/>
    <x v="2"/>
  </r>
  <r>
    <n v="37"/>
    <x v="1"/>
    <s v="Travel_Rarely"/>
    <n v="1115"/>
    <s v="Research &amp; Development"/>
    <n v="1"/>
    <n v="4"/>
    <s v="Life Sciences"/>
    <n v="77"/>
    <n v="1"/>
    <s v="Male"/>
    <n v="51"/>
    <n v="2"/>
    <n v="2"/>
    <s v="Manufacturing Director"/>
    <n v="3"/>
    <s v="Divorced"/>
    <n v="5993"/>
    <n v="2689"/>
    <n v="1"/>
    <s v="No"/>
    <n v="18"/>
    <n v="3"/>
    <n v="3"/>
    <n v="1"/>
    <n v="7"/>
    <n v="2"/>
    <n v="4"/>
    <n v="7"/>
    <n v="5"/>
    <n v="0"/>
    <n v="7"/>
    <x v="0"/>
  </r>
  <r>
    <n v="32"/>
    <x v="1"/>
    <s v="Travel_Rarely"/>
    <n v="427"/>
    <s v="Research &amp; Development"/>
    <n v="1"/>
    <n v="3"/>
    <s v="Medical"/>
    <n v="78"/>
    <n v="1"/>
    <s v="Male"/>
    <n v="33"/>
    <n v="3"/>
    <n v="2"/>
    <s v="Manufacturing Director"/>
    <n v="4"/>
    <s v="Married"/>
    <n v="6162"/>
    <n v="10877"/>
    <n v="1"/>
    <s v="Yes"/>
    <n v="22"/>
    <n v="4"/>
    <n v="2"/>
    <n v="1"/>
    <n v="9"/>
    <n v="3"/>
    <n v="3"/>
    <n v="9"/>
    <n v="8"/>
    <n v="7"/>
    <n v="8"/>
    <x v="2"/>
  </r>
  <r>
    <n v="38"/>
    <x v="1"/>
    <s v="Travel_Frequently"/>
    <n v="653"/>
    <s v="Research &amp; Development"/>
    <n v="29"/>
    <n v="5"/>
    <s v="Life Sciences"/>
    <n v="79"/>
    <n v="4"/>
    <s v="Female"/>
    <n v="50"/>
    <n v="3"/>
    <n v="2"/>
    <s v="Laboratory Technician"/>
    <n v="4"/>
    <s v="Single"/>
    <n v="2406"/>
    <n v="5456"/>
    <n v="1"/>
    <s v="No"/>
    <n v="11"/>
    <n v="3"/>
    <n v="4"/>
    <n v="0"/>
    <n v="10"/>
    <n v="2"/>
    <n v="3"/>
    <n v="10"/>
    <n v="3"/>
    <n v="9"/>
    <n v="9"/>
    <x v="0"/>
  </r>
  <r>
    <n v="50"/>
    <x v="1"/>
    <s v="Travel_Rarely"/>
    <n v="989"/>
    <s v="Research &amp; Development"/>
    <n v="7"/>
    <n v="2"/>
    <s v="Medical"/>
    <n v="80"/>
    <n v="2"/>
    <s v="Female"/>
    <n v="43"/>
    <n v="2"/>
    <n v="5"/>
    <s v="Research Director"/>
    <n v="3"/>
    <s v="Divorced"/>
    <n v="18740"/>
    <n v="16701"/>
    <n v="5"/>
    <s v="Yes"/>
    <n v="12"/>
    <n v="3"/>
    <n v="4"/>
    <n v="1"/>
    <n v="29"/>
    <n v="2"/>
    <n v="2"/>
    <n v="27"/>
    <n v="3"/>
    <n v="13"/>
    <n v="8"/>
    <x v="1"/>
  </r>
  <r>
    <n v="59"/>
    <x v="1"/>
    <s v="Travel_Rarely"/>
    <n v="1435"/>
    <s v="Sales"/>
    <n v="25"/>
    <n v="3"/>
    <s v="Life Sciences"/>
    <n v="81"/>
    <n v="1"/>
    <s v="Female"/>
    <n v="99"/>
    <n v="3"/>
    <n v="3"/>
    <s v="Sales Executive"/>
    <n v="1"/>
    <s v="Single"/>
    <n v="7637"/>
    <n v="2354"/>
    <n v="7"/>
    <s v="No"/>
    <n v="11"/>
    <n v="3"/>
    <n v="4"/>
    <n v="0"/>
    <n v="28"/>
    <n v="3"/>
    <n v="2"/>
    <n v="21"/>
    <n v="16"/>
    <n v="7"/>
    <n v="9"/>
    <x v="3"/>
  </r>
  <r>
    <n v="36"/>
    <x v="1"/>
    <s v="Travel_Rarely"/>
    <n v="1223"/>
    <s v="Research &amp; Development"/>
    <n v="8"/>
    <n v="3"/>
    <s v="Technical Degree"/>
    <n v="83"/>
    <n v="3"/>
    <s v="Female"/>
    <n v="59"/>
    <n v="3"/>
    <n v="3"/>
    <s v="Healthcare Representative"/>
    <n v="3"/>
    <s v="Divorced"/>
    <n v="10096"/>
    <n v="8202"/>
    <n v="1"/>
    <s v="No"/>
    <n v="13"/>
    <n v="3"/>
    <n v="2"/>
    <n v="3"/>
    <n v="17"/>
    <n v="2"/>
    <n v="3"/>
    <n v="17"/>
    <n v="14"/>
    <n v="12"/>
    <n v="8"/>
    <x v="0"/>
  </r>
  <r>
    <n v="55"/>
    <x v="1"/>
    <s v="Travel_Rarely"/>
    <n v="836"/>
    <s v="Research &amp; Development"/>
    <n v="8"/>
    <n v="3"/>
    <s v="Medical"/>
    <n v="84"/>
    <n v="4"/>
    <s v="Female"/>
    <n v="33"/>
    <n v="3"/>
    <n v="4"/>
    <s v="Manager"/>
    <n v="3"/>
    <s v="Divorced"/>
    <n v="14756"/>
    <n v="19730"/>
    <n v="2"/>
    <s v="Yes"/>
    <n v="14"/>
    <n v="3"/>
    <n v="3"/>
    <n v="3"/>
    <n v="21"/>
    <n v="2"/>
    <n v="3"/>
    <n v="5"/>
    <n v="0"/>
    <n v="0"/>
    <n v="2"/>
    <x v="3"/>
  </r>
  <r>
    <n v="36"/>
    <x v="1"/>
    <s v="Travel_Frequently"/>
    <n v="1195"/>
    <s v="Research &amp; Development"/>
    <n v="11"/>
    <n v="3"/>
    <s v="Life Sciences"/>
    <n v="85"/>
    <n v="2"/>
    <s v="Male"/>
    <n v="95"/>
    <n v="2"/>
    <n v="2"/>
    <s v="Manufacturing Director"/>
    <n v="2"/>
    <s v="Single"/>
    <n v="6499"/>
    <n v="22656"/>
    <n v="1"/>
    <s v="No"/>
    <n v="13"/>
    <n v="3"/>
    <n v="3"/>
    <n v="0"/>
    <n v="6"/>
    <n v="3"/>
    <n v="3"/>
    <n v="6"/>
    <n v="5"/>
    <n v="0"/>
    <n v="3"/>
    <x v="0"/>
  </r>
  <r>
    <n v="45"/>
    <x v="1"/>
    <s v="Travel_Rarely"/>
    <n v="1339"/>
    <s v="Research &amp; Development"/>
    <n v="7"/>
    <n v="3"/>
    <s v="Life Sciences"/>
    <n v="86"/>
    <n v="2"/>
    <s v="Male"/>
    <n v="59"/>
    <n v="3"/>
    <n v="3"/>
    <s v="Research Scientist"/>
    <n v="1"/>
    <s v="Divorced"/>
    <n v="9724"/>
    <n v="18787"/>
    <n v="2"/>
    <s v="No"/>
    <n v="17"/>
    <n v="3"/>
    <n v="3"/>
    <n v="1"/>
    <n v="25"/>
    <n v="2"/>
    <n v="3"/>
    <n v="1"/>
    <n v="0"/>
    <n v="0"/>
    <n v="0"/>
    <x v="1"/>
  </r>
  <r>
    <n v="35"/>
    <x v="1"/>
    <s v="Travel_Frequently"/>
    <n v="664"/>
    <s v="Research &amp; Development"/>
    <n v="1"/>
    <n v="3"/>
    <s v="Medical"/>
    <n v="88"/>
    <n v="2"/>
    <s v="Male"/>
    <n v="79"/>
    <n v="3"/>
    <n v="1"/>
    <s v="Research Scientist"/>
    <n v="1"/>
    <s v="Married"/>
    <n v="2194"/>
    <n v="5868"/>
    <n v="4"/>
    <s v="No"/>
    <n v="13"/>
    <n v="3"/>
    <n v="4"/>
    <n v="1"/>
    <n v="5"/>
    <n v="2"/>
    <n v="2"/>
    <n v="3"/>
    <n v="2"/>
    <n v="1"/>
    <n v="2"/>
    <x v="0"/>
  </r>
  <r>
    <n v="36"/>
    <x v="0"/>
    <s v="Travel_Rarely"/>
    <n v="318"/>
    <s v="Research &amp; Development"/>
    <n v="9"/>
    <n v="3"/>
    <s v="Medical"/>
    <n v="90"/>
    <n v="4"/>
    <s v="Male"/>
    <n v="79"/>
    <n v="2"/>
    <n v="1"/>
    <s v="Research Scientist"/>
    <n v="3"/>
    <s v="Married"/>
    <n v="3388"/>
    <n v="21777"/>
    <n v="0"/>
    <s v="Yes"/>
    <n v="17"/>
    <n v="3"/>
    <n v="1"/>
    <n v="1"/>
    <n v="2"/>
    <n v="0"/>
    <n v="2"/>
    <n v="1"/>
    <n v="0"/>
    <n v="0"/>
    <n v="0"/>
    <x v="0"/>
  </r>
  <r>
    <n v="59"/>
    <x v="1"/>
    <s v="Travel_Frequently"/>
    <n v="1225"/>
    <s v="Sales"/>
    <n v="1"/>
    <n v="1"/>
    <s v="Life Sciences"/>
    <n v="91"/>
    <n v="1"/>
    <s v="Female"/>
    <n v="57"/>
    <n v="2"/>
    <n v="2"/>
    <s v="Sales Executive"/>
    <n v="3"/>
    <s v="Single"/>
    <n v="5473"/>
    <n v="24668"/>
    <n v="7"/>
    <s v="No"/>
    <n v="11"/>
    <n v="3"/>
    <n v="4"/>
    <n v="0"/>
    <n v="20"/>
    <n v="2"/>
    <n v="2"/>
    <n v="4"/>
    <n v="3"/>
    <n v="1"/>
    <n v="3"/>
    <x v="3"/>
  </r>
  <r>
    <n v="29"/>
    <x v="1"/>
    <s v="Travel_Rarely"/>
    <n v="1328"/>
    <s v="Research &amp; Development"/>
    <n v="2"/>
    <n v="3"/>
    <s v="Life Sciences"/>
    <n v="94"/>
    <n v="3"/>
    <s v="Male"/>
    <n v="76"/>
    <n v="3"/>
    <n v="1"/>
    <s v="Research Scientist"/>
    <n v="2"/>
    <s v="Married"/>
    <n v="2703"/>
    <n v="4956"/>
    <n v="0"/>
    <s v="No"/>
    <n v="23"/>
    <n v="4"/>
    <n v="4"/>
    <n v="1"/>
    <n v="6"/>
    <n v="3"/>
    <n v="3"/>
    <n v="5"/>
    <n v="4"/>
    <n v="0"/>
    <n v="4"/>
    <x v="2"/>
  </r>
  <r>
    <n v="31"/>
    <x v="1"/>
    <s v="Travel_Rarely"/>
    <n v="1082"/>
    <s v="Research &amp; Development"/>
    <n v="1"/>
    <n v="4"/>
    <s v="Medical"/>
    <n v="95"/>
    <n v="3"/>
    <s v="Male"/>
    <n v="87"/>
    <n v="3"/>
    <n v="1"/>
    <s v="Research Scientist"/>
    <n v="2"/>
    <s v="Single"/>
    <n v="2501"/>
    <n v="18775"/>
    <n v="1"/>
    <s v="No"/>
    <n v="17"/>
    <n v="3"/>
    <n v="2"/>
    <n v="0"/>
    <n v="1"/>
    <n v="4"/>
    <n v="3"/>
    <n v="1"/>
    <n v="1"/>
    <n v="1"/>
    <n v="0"/>
    <x v="2"/>
  </r>
  <r>
    <n v="32"/>
    <x v="1"/>
    <s v="Travel_Rarely"/>
    <n v="548"/>
    <s v="Research &amp; Development"/>
    <n v="1"/>
    <n v="3"/>
    <s v="Life Sciences"/>
    <n v="96"/>
    <n v="2"/>
    <s v="Male"/>
    <n v="66"/>
    <n v="3"/>
    <n v="2"/>
    <s v="Research Scientist"/>
    <n v="2"/>
    <s v="Married"/>
    <n v="6220"/>
    <n v="7346"/>
    <n v="1"/>
    <s v="No"/>
    <n v="17"/>
    <n v="3"/>
    <n v="2"/>
    <n v="2"/>
    <n v="10"/>
    <n v="3"/>
    <n v="3"/>
    <n v="10"/>
    <n v="4"/>
    <n v="0"/>
    <n v="9"/>
    <x v="2"/>
  </r>
  <r>
    <n v="36"/>
    <x v="1"/>
    <s v="Travel_Rarely"/>
    <n v="132"/>
    <s v="Research &amp; Development"/>
    <n v="6"/>
    <n v="3"/>
    <s v="Life Sciences"/>
    <n v="97"/>
    <n v="2"/>
    <s v="Female"/>
    <n v="55"/>
    <n v="4"/>
    <n v="1"/>
    <s v="Laboratory Technician"/>
    <n v="4"/>
    <s v="Married"/>
    <n v="3038"/>
    <n v="22002"/>
    <n v="3"/>
    <s v="No"/>
    <n v="12"/>
    <n v="3"/>
    <n v="2"/>
    <n v="0"/>
    <n v="5"/>
    <n v="3"/>
    <n v="3"/>
    <n v="1"/>
    <n v="0"/>
    <n v="0"/>
    <n v="0"/>
    <x v="0"/>
  </r>
  <r>
    <n v="31"/>
    <x v="1"/>
    <s v="Travel_Rarely"/>
    <n v="746"/>
    <s v="Research &amp; Development"/>
    <n v="8"/>
    <n v="4"/>
    <s v="Life Sciences"/>
    <n v="98"/>
    <n v="3"/>
    <s v="Female"/>
    <n v="61"/>
    <n v="3"/>
    <n v="2"/>
    <s v="Manufacturing Director"/>
    <n v="4"/>
    <s v="Single"/>
    <n v="4424"/>
    <n v="20682"/>
    <n v="1"/>
    <s v="No"/>
    <n v="23"/>
    <n v="4"/>
    <n v="4"/>
    <n v="0"/>
    <n v="11"/>
    <n v="2"/>
    <n v="3"/>
    <n v="11"/>
    <n v="7"/>
    <n v="1"/>
    <n v="8"/>
    <x v="2"/>
  </r>
  <r>
    <n v="35"/>
    <x v="1"/>
    <s v="Travel_Rarely"/>
    <n v="776"/>
    <s v="Sales"/>
    <n v="1"/>
    <n v="4"/>
    <s v="Marketing"/>
    <n v="100"/>
    <n v="3"/>
    <s v="Male"/>
    <n v="32"/>
    <n v="2"/>
    <n v="2"/>
    <s v="Sales Executive"/>
    <n v="1"/>
    <s v="Single"/>
    <n v="4312"/>
    <n v="23016"/>
    <n v="0"/>
    <s v="No"/>
    <n v="14"/>
    <n v="3"/>
    <n v="2"/>
    <n v="0"/>
    <n v="16"/>
    <n v="2"/>
    <n v="3"/>
    <n v="15"/>
    <n v="13"/>
    <n v="2"/>
    <n v="8"/>
    <x v="0"/>
  </r>
  <r>
    <n v="45"/>
    <x v="1"/>
    <s v="Travel_Rarely"/>
    <n v="193"/>
    <s v="Research &amp; Development"/>
    <n v="6"/>
    <n v="4"/>
    <s v="Other"/>
    <n v="101"/>
    <n v="4"/>
    <s v="Male"/>
    <n v="52"/>
    <n v="3"/>
    <n v="3"/>
    <s v="Research Director"/>
    <n v="1"/>
    <s v="Married"/>
    <n v="13245"/>
    <n v="15067"/>
    <n v="4"/>
    <s v="Yes"/>
    <n v="14"/>
    <n v="3"/>
    <n v="2"/>
    <n v="0"/>
    <n v="17"/>
    <n v="3"/>
    <n v="4"/>
    <n v="0"/>
    <n v="0"/>
    <n v="0"/>
    <n v="0"/>
    <x v="1"/>
  </r>
  <r>
    <n v="37"/>
    <x v="1"/>
    <s v="Travel_Rarely"/>
    <n v="397"/>
    <s v="Research &amp; Development"/>
    <n v="7"/>
    <n v="4"/>
    <s v="Medical"/>
    <n v="102"/>
    <n v="1"/>
    <s v="Male"/>
    <n v="30"/>
    <n v="3"/>
    <n v="3"/>
    <s v="Research Director"/>
    <n v="3"/>
    <s v="Single"/>
    <n v="13664"/>
    <n v="25258"/>
    <n v="4"/>
    <s v="No"/>
    <n v="13"/>
    <n v="3"/>
    <n v="1"/>
    <n v="0"/>
    <n v="16"/>
    <n v="3"/>
    <n v="4"/>
    <n v="5"/>
    <n v="2"/>
    <n v="0"/>
    <n v="2"/>
    <x v="0"/>
  </r>
  <r>
    <n v="46"/>
    <x v="1"/>
    <s v="Travel_Rarely"/>
    <n v="945"/>
    <s v="Human Resources"/>
    <n v="5"/>
    <n v="2"/>
    <s v="Medical"/>
    <n v="103"/>
    <n v="2"/>
    <s v="Male"/>
    <n v="80"/>
    <n v="3"/>
    <n v="2"/>
    <s v="Human Resources"/>
    <n v="2"/>
    <s v="Divorced"/>
    <n v="5021"/>
    <n v="10425"/>
    <n v="8"/>
    <s v="Yes"/>
    <n v="22"/>
    <n v="4"/>
    <n v="4"/>
    <n v="1"/>
    <n v="16"/>
    <n v="2"/>
    <n v="3"/>
    <n v="4"/>
    <n v="2"/>
    <n v="0"/>
    <n v="2"/>
    <x v="1"/>
  </r>
  <r>
    <n v="30"/>
    <x v="1"/>
    <s v="Travel_Rarely"/>
    <n v="852"/>
    <s v="Research &amp; Development"/>
    <n v="1"/>
    <n v="1"/>
    <s v="Life Sciences"/>
    <n v="104"/>
    <n v="4"/>
    <s v="Male"/>
    <n v="55"/>
    <n v="2"/>
    <n v="2"/>
    <s v="Laboratory Technician"/>
    <n v="4"/>
    <s v="Married"/>
    <n v="5126"/>
    <n v="15998"/>
    <n v="1"/>
    <s v="Yes"/>
    <n v="12"/>
    <n v="3"/>
    <n v="3"/>
    <n v="2"/>
    <n v="10"/>
    <n v="1"/>
    <n v="2"/>
    <n v="10"/>
    <n v="8"/>
    <n v="3"/>
    <n v="0"/>
    <x v="2"/>
  </r>
  <r>
    <n v="35"/>
    <x v="1"/>
    <s v="Travel_Rarely"/>
    <n v="1214"/>
    <s v="Research &amp; Development"/>
    <n v="1"/>
    <n v="3"/>
    <s v="Medical"/>
    <n v="105"/>
    <n v="2"/>
    <s v="Male"/>
    <n v="30"/>
    <n v="2"/>
    <n v="1"/>
    <s v="Research Scientist"/>
    <n v="3"/>
    <s v="Single"/>
    <n v="2859"/>
    <n v="26278"/>
    <n v="1"/>
    <s v="No"/>
    <n v="18"/>
    <n v="3"/>
    <n v="1"/>
    <n v="0"/>
    <n v="6"/>
    <n v="3"/>
    <n v="3"/>
    <n v="6"/>
    <n v="4"/>
    <n v="0"/>
    <n v="4"/>
    <x v="0"/>
  </r>
  <r>
    <n v="55"/>
    <x v="1"/>
    <s v="Travel_Rarely"/>
    <n v="111"/>
    <s v="Sales"/>
    <n v="1"/>
    <n v="2"/>
    <s v="Life Sciences"/>
    <n v="106"/>
    <n v="1"/>
    <s v="Male"/>
    <n v="70"/>
    <n v="3"/>
    <n v="3"/>
    <s v="Sales Executive"/>
    <n v="4"/>
    <s v="Married"/>
    <n v="10239"/>
    <n v="18092"/>
    <n v="3"/>
    <s v="No"/>
    <n v="14"/>
    <n v="3"/>
    <n v="4"/>
    <n v="1"/>
    <n v="24"/>
    <n v="4"/>
    <n v="3"/>
    <n v="1"/>
    <n v="0"/>
    <n v="1"/>
    <n v="0"/>
    <x v="3"/>
  </r>
  <r>
    <n v="38"/>
    <x v="1"/>
    <s v="Non-Travel"/>
    <n v="573"/>
    <s v="Research &amp; Development"/>
    <n v="6"/>
    <n v="3"/>
    <s v="Medical"/>
    <n v="107"/>
    <n v="2"/>
    <s v="Female"/>
    <n v="79"/>
    <n v="1"/>
    <n v="2"/>
    <s v="Research Scientist"/>
    <n v="4"/>
    <s v="Divorced"/>
    <n v="5329"/>
    <n v="15717"/>
    <n v="7"/>
    <s v="Yes"/>
    <n v="12"/>
    <n v="3"/>
    <n v="4"/>
    <n v="3"/>
    <n v="17"/>
    <n v="3"/>
    <n v="3"/>
    <n v="13"/>
    <n v="11"/>
    <n v="1"/>
    <n v="9"/>
    <x v="0"/>
  </r>
  <r>
    <n v="34"/>
    <x v="1"/>
    <s v="Travel_Rarely"/>
    <n v="1153"/>
    <s v="Research &amp; Development"/>
    <n v="1"/>
    <n v="2"/>
    <s v="Medical"/>
    <n v="110"/>
    <n v="1"/>
    <s v="Male"/>
    <n v="94"/>
    <n v="3"/>
    <n v="2"/>
    <s v="Manufacturing Director"/>
    <n v="2"/>
    <s v="Married"/>
    <n v="4325"/>
    <n v="17736"/>
    <n v="1"/>
    <s v="No"/>
    <n v="15"/>
    <n v="3"/>
    <n v="3"/>
    <n v="0"/>
    <n v="5"/>
    <n v="2"/>
    <n v="3"/>
    <n v="5"/>
    <n v="2"/>
    <n v="1"/>
    <n v="3"/>
    <x v="2"/>
  </r>
  <r>
    <n v="56"/>
    <x v="1"/>
    <s v="Travel_Rarely"/>
    <n v="1400"/>
    <s v="Research &amp; Development"/>
    <n v="7"/>
    <n v="3"/>
    <s v="Life Sciences"/>
    <n v="112"/>
    <n v="4"/>
    <s v="Male"/>
    <n v="49"/>
    <n v="1"/>
    <n v="3"/>
    <s v="Manufacturing Director"/>
    <n v="4"/>
    <s v="Single"/>
    <n v="7260"/>
    <n v="21698"/>
    <n v="4"/>
    <s v="No"/>
    <n v="11"/>
    <n v="3"/>
    <n v="1"/>
    <n v="0"/>
    <n v="37"/>
    <n v="3"/>
    <n v="2"/>
    <n v="6"/>
    <n v="4"/>
    <n v="0"/>
    <n v="2"/>
    <x v="3"/>
  </r>
  <r>
    <n v="23"/>
    <x v="1"/>
    <s v="Travel_Rarely"/>
    <n v="541"/>
    <s v="Sales"/>
    <n v="2"/>
    <n v="1"/>
    <s v="Technical Degree"/>
    <n v="113"/>
    <n v="3"/>
    <s v="Male"/>
    <n v="62"/>
    <n v="3"/>
    <n v="1"/>
    <s v="Sales Representative"/>
    <n v="1"/>
    <s v="Divorced"/>
    <n v="2322"/>
    <n v="9518"/>
    <n v="3"/>
    <s v="No"/>
    <n v="13"/>
    <n v="3"/>
    <n v="3"/>
    <n v="1"/>
    <n v="3"/>
    <n v="3"/>
    <n v="3"/>
    <n v="0"/>
    <n v="0"/>
    <n v="0"/>
    <n v="0"/>
    <x v="2"/>
  </r>
  <r>
    <n v="51"/>
    <x v="1"/>
    <s v="Travel_Rarely"/>
    <n v="432"/>
    <s v="Research &amp; Development"/>
    <n v="9"/>
    <n v="4"/>
    <s v="Life Sciences"/>
    <n v="116"/>
    <n v="4"/>
    <s v="Male"/>
    <n v="96"/>
    <n v="3"/>
    <n v="1"/>
    <s v="Laboratory Technician"/>
    <n v="4"/>
    <s v="Married"/>
    <n v="2075"/>
    <n v="18725"/>
    <n v="3"/>
    <s v="No"/>
    <n v="23"/>
    <n v="4"/>
    <n v="2"/>
    <n v="2"/>
    <n v="10"/>
    <n v="4"/>
    <n v="3"/>
    <n v="4"/>
    <n v="2"/>
    <n v="0"/>
    <n v="3"/>
    <x v="1"/>
  </r>
  <r>
    <n v="30"/>
    <x v="1"/>
    <s v="Travel_Rarely"/>
    <n v="288"/>
    <s v="Research &amp; Development"/>
    <n v="2"/>
    <n v="3"/>
    <s v="Life Sciences"/>
    <n v="117"/>
    <n v="3"/>
    <s v="Male"/>
    <n v="99"/>
    <n v="2"/>
    <n v="2"/>
    <s v="Healthcare Representative"/>
    <n v="4"/>
    <s v="Married"/>
    <n v="4152"/>
    <n v="15830"/>
    <n v="1"/>
    <s v="No"/>
    <n v="19"/>
    <n v="3"/>
    <n v="1"/>
    <n v="3"/>
    <n v="11"/>
    <n v="3"/>
    <n v="3"/>
    <n v="11"/>
    <n v="10"/>
    <n v="10"/>
    <n v="8"/>
    <x v="2"/>
  </r>
  <r>
    <n v="46"/>
    <x v="0"/>
    <s v="Travel_Rarely"/>
    <n v="669"/>
    <s v="Sales"/>
    <n v="9"/>
    <n v="2"/>
    <s v="Medical"/>
    <n v="118"/>
    <n v="3"/>
    <s v="Male"/>
    <n v="64"/>
    <n v="2"/>
    <n v="3"/>
    <s v="Sales Executive"/>
    <n v="4"/>
    <s v="Single"/>
    <n v="9619"/>
    <n v="13596"/>
    <n v="1"/>
    <s v="No"/>
    <n v="16"/>
    <n v="3"/>
    <n v="4"/>
    <n v="0"/>
    <n v="9"/>
    <n v="3"/>
    <n v="3"/>
    <n v="9"/>
    <n v="8"/>
    <n v="4"/>
    <n v="7"/>
    <x v="1"/>
  </r>
  <r>
    <n v="40"/>
    <x v="1"/>
    <s v="Travel_Frequently"/>
    <n v="530"/>
    <s v="Research &amp; Development"/>
    <n v="1"/>
    <n v="4"/>
    <s v="Life Sciences"/>
    <n v="119"/>
    <n v="3"/>
    <s v="Male"/>
    <n v="78"/>
    <n v="2"/>
    <n v="4"/>
    <s v="Healthcare Representative"/>
    <n v="2"/>
    <s v="Married"/>
    <n v="13503"/>
    <n v="14115"/>
    <n v="1"/>
    <s v="No"/>
    <n v="22"/>
    <n v="4"/>
    <n v="4"/>
    <n v="1"/>
    <n v="22"/>
    <n v="3"/>
    <n v="2"/>
    <n v="22"/>
    <n v="3"/>
    <n v="11"/>
    <n v="11"/>
    <x v="0"/>
  </r>
  <r>
    <n v="51"/>
    <x v="1"/>
    <s v="Travel_Rarely"/>
    <n v="632"/>
    <s v="Sales"/>
    <n v="21"/>
    <n v="4"/>
    <s v="Marketing"/>
    <n v="120"/>
    <n v="3"/>
    <s v="Male"/>
    <n v="71"/>
    <n v="3"/>
    <n v="2"/>
    <s v="Sales Executive"/>
    <n v="4"/>
    <s v="Single"/>
    <n v="5441"/>
    <n v="8423"/>
    <n v="0"/>
    <s v="Yes"/>
    <n v="22"/>
    <n v="4"/>
    <n v="4"/>
    <n v="0"/>
    <n v="11"/>
    <n v="2"/>
    <n v="1"/>
    <n v="10"/>
    <n v="7"/>
    <n v="1"/>
    <n v="0"/>
    <x v="1"/>
  </r>
  <r>
    <n v="30"/>
    <x v="1"/>
    <s v="Travel_Rarely"/>
    <n v="1334"/>
    <s v="Sales"/>
    <n v="4"/>
    <n v="2"/>
    <s v="Medical"/>
    <n v="121"/>
    <n v="3"/>
    <s v="Female"/>
    <n v="63"/>
    <n v="2"/>
    <n v="2"/>
    <s v="Sales Executive"/>
    <n v="2"/>
    <s v="Divorced"/>
    <n v="5209"/>
    <n v="19760"/>
    <n v="1"/>
    <s v="Yes"/>
    <n v="12"/>
    <n v="3"/>
    <n v="2"/>
    <n v="3"/>
    <n v="11"/>
    <n v="4"/>
    <n v="2"/>
    <n v="11"/>
    <n v="8"/>
    <n v="2"/>
    <n v="7"/>
    <x v="2"/>
  </r>
  <r>
    <n v="46"/>
    <x v="1"/>
    <s v="Travel_Frequently"/>
    <n v="638"/>
    <s v="Research &amp; Development"/>
    <n v="1"/>
    <n v="3"/>
    <s v="Medical"/>
    <n v="124"/>
    <n v="3"/>
    <s v="Male"/>
    <n v="40"/>
    <n v="2"/>
    <n v="3"/>
    <s v="Healthcare Representative"/>
    <n v="1"/>
    <s v="Married"/>
    <n v="10673"/>
    <n v="3142"/>
    <n v="2"/>
    <s v="Yes"/>
    <n v="13"/>
    <n v="3"/>
    <n v="3"/>
    <n v="1"/>
    <n v="21"/>
    <n v="5"/>
    <n v="2"/>
    <n v="10"/>
    <n v="9"/>
    <n v="9"/>
    <n v="5"/>
    <x v="1"/>
  </r>
  <r>
    <n v="32"/>
    <x v="1"/>
    <s v="Travel_Rarely"/>
    <n v="1093"/>
    <s v="Sales"/>
    <n v="6"/>
    <n v="4"/>
    <s v="Medical"/>
    <n v="125"/>
    <n v="2"/>
    <s v="Male"/>
    <n v="87"/>
    <n v="3"/>
    <n v="2"/>
    <s v="Sales Executive"/>
    <n v="3"/>
    <s v="Single"/>
    <n v="5010"/>
    <n v="24301"/>
    <n v="1"/>
    <s v="No"/>
    <n v="16"/>
    <n v="3"/>
    <n v="1"/>
    <n v="0"/>
    <n v="12"/>
    <n v="0"/>
    <n v="3"/>
    <n v="11"/>
    <n v="8"/>
    <n v="5"/>
    <n v="7"/>
    <x v="2"/>
  </r>
  <r>
    <n v="54"/>
    <x v="1"/>
    <s v="Travel_Rarely"/>
    <n v="1217"/>
    <s v="Research &amp; Development"/>
    <n v="2"/>
    <n v="4"/>
    <s v="Technical Degree"/>
    <n v="126"/>
    <n v="1"/>
    <s v="Female"/>
    <n v="60"/>
    <n v="3"/>
    <n v="3"/>
    <s v="Research Director"/>
    <n v="3"/>
    <s v="Married"/>
    <n v="13549"/>
    <n v="24001"/>
    <n v="9"/>
    <s v="No"/>
    <n v="12"/>
    <n v="3"/>
    <n v="1"/>
    <n v="1"/>
    <n v="16"/>
    <n v="5"/>
    <n v="1"/>
    <n v="4"/>
    <n v="3"/>
    <n v="0"/>
    <n v="3"/>
    <x v="1"/>
  </r>
  <r>
    <n v="24"/>
    <x v="1"/>
    <s v="Travel_Rarely"/>
    <n v="1353"/>
    <s v="Sales"/>
    <n v="3"/>
    <n v="2"/>
    <s v="Other"/>
    <n v="128"/>
    <n v="1"/>
    <s v="Female"/>
    <n v="33"/>
    <n v="3"/>
    <n v="2"/>
    <s v="Sales Executive"/>
    <n v="3"/>
    <s v="Married"/>
    <n v="4999"/>
    <n v="17519"/>
    <n v="0"/>
    <s v="No"/>
    <n v="21"/>
    <n v="4"/>
    <n v="1"/>
    <n v="1"/>
    <n v="4"/>
    <n v="2"/>
    <n v="2"/>
    <n v="3"/>
    <n v="2"/>
    <n v="0"/>
    <n v="2"/>
    <x v="2"/>
  </r>
  <r>
    <n v="28"/>
    <x v="1"/>
    <s v="Non-Travel"/>
    <n v="120"/>
    <s v="Sales"/>
    <n v="4"/>
    <n v="3"/>
    <s v="Medical"/>
    <n v="129"/>
    <n v="2"/>
    <s v="Male"/>
    <n v="43"/>
    <n v="3"/>
    <n v="2"/>
    <s v="Sales Executive"/>
    <n v="3"/>
    <s v="Married"/>
    <n v="4221"/>
    <n v="8863"/>
    <n v="1"/>
    <s v="No"/>
    <n v="15"/>
    <n v="3"/>
    <n v="2"/>
    <n v="0"/>
    <n v="5"/>
    <n v="3"/>
    <n v="4"/>
    <n v="5"/>
    <n v="4"/>
    <n v="0"/>
    <n v="4"/>
    <x v="2"/>
  </r>
  <r>
    <n v="58"/>
    <x v="1"/>
    <s v="Travel_Rarely"/>
    <n v="682"/>
    <s v="Sales"/>
    <n v="10"/>
    <n v="4"/>
    <s v="Medical"/>
    <n v="131"/>
    <n v="4"/>
    <s v="Male"/>
    <n v="37"/>
    <n v="3"/>
    <n v="4"/>
    <s v="Sales Executive"/>
    <n v="3"/>
    <s v="Single"/>
    <n v="13872"/>
    <n v="24409"/>
    <n v="0"/>
    <s v="No"/>
    <n v="13"/>
    <n v="3"/>
    <n v="3"/>
    <n v="0"/>
    <n v="38"/>
    <n v="1"/>
    <n v="2"/>
    <n v="37"/>
    <n v="10"/>
    <n v="1"/>
    <n v="8"/>
    <x v="3"/>
  </r>
  <r>
    <n v="44"/>
    <x v="1"/>
    <s v="Non-Travel"/>
    <n v="489"/>
    <s v="Research &amp; Development"/>
    <n v="23"/>
    <n v="3"/>
    <s v="Medical"/>
    <n v="132"/>
    <n v="2"/>
    <s v="Male"/>
    <n v="67"/>
    <n v="3"/>
    <n v="2"/>
    <s v="Laboratory Technician"/>
    <n v="2"/>
    <s v="Married"/>
    <n v="2042"/>
    <n v="25043"/>
    <n v="4"/>
    <s v="No"/>
    <n v="12"/>
    <n v="3"/>
    <n v="3"/>
    <n v="1"/>
    <n v="17"/>
    <n v="3"/>
    <n v="4"/>
    <n v="3"/>
    <n v="2"/>
    <n v="1"/>
    <n v="2"/>
    <x v="0"/>
  </r>
  <r>
    <n v="37"/>
    <x v="0"/>
    <s v="Travel_Rarely"/>
    <n v="807"/>
    <s v="Human Resources"/>
    <n v="6"/>
    <n v="4"/>
    <s v="Human Resources"/>
    <n v="133"/>
    <n v="3"/>
    <s v="Male"/>
    <n v="63"/>
    <n v="3"/>
    <n v="1"/>
    <s v="Human Resources"/>
    <n v="1"/>
    <s v="Divorced"/>
    <n v="2073"/>
    <n v="23648"/>
    <n v="4"/>
    <s v="Yes"/>
    <n v="22"/>
    <n v="4"/>
    <n v="4"/>
    <n v="0"/>
    <n v="7"/>
    <n v="3"/>
    <n v="3"/>
    <n v="3"/>
    <n v="2"/>
    <n v="0"/>
    <n v="2"/>
    <x v="0"/>
  </r>
  <r>
    <n v="32"/>
    <x v="1"/>
    <s v="Travel_Rarely"/>
    <n v="827"/>
    <s v="Research &amp; Development"/>
    <n v="1"/>
    <n v="1"/>
    <s v="Life Sciences"/>
    <n v="134"/>
    <n v="4"/>
    <s v="Male"/>
    <n v="71"/>
    <n v="3"/>
    <n v="1"/>
    <s v="Research Scientist"/>
    <n v="1"/>
    <s v="Single"/>
    <n v="2956"/>
    <n v="15178"/>
    <n v="1"/>
    <s v="No"/>
    <n v="13"/>
    <n v="3"/>
    <n v="4"/>
    <n v="0"/>
    <n v="1"/>
    <n v="2"/>
    <n v="3"/>
    <n v="1"/>
    <n v="0"/>
    <n v="0"/>
    <n v="0"/>
    <x v="2"/>
  </r>
  <r>
    <n v="20"/>
    <x v="0"/>
    <s v="Travel_Frequently"/>
    <n v="871"/>
    <s v="Research &amp; Development"/>
    <n v="6"/>
    <n v="3"/>
    <s v="Life Sciences"/>
    <n v="137"/>
    <n v="4"/>
    <s v="Female"/>
    <n v="66"/>
    <n v="2"/>
    <n v="1"/>
    <s v="Laboratory Technician"/>
    <n v="4"/>
    <s v="Single"/>
    <n v="2926"/>
    <n v="19783"/>
    <n v="1"/>
    <s v="Yes"/>
    <n v="18"/>
    <n v="3"/>
    <n v="2"/>
    <n v="0"/>
    <n v="1"/>
    <n v="5"/>
    <n v="3"/>
    <n v="1"/>
    <n v="0"/>
    <n v="1"/>
    <n v="0"/>
    <x v="2"/>
  </r>
  <r>
    <n v="34"/>
    <x v="1"/>
    <s v="Travel_Rarely"/>
    <n v="665"/>
    <s v="Research &amp; Development"/>
    <n v="6"/>
    <n v="4"/>
    <s v="Other"/>
    <n v="138"/>
    <n v="1"/>
    <s v="Female"/>
    <n v="41"/>
    <n v="3"/>
    <n v="2"/>
    <s v="Research Scientist"/>
    <n v="3"/>
    <s v="Single"/>
    <n v="4809"/>
    <n v="12482"/>
    <n v="1"/>
    <s v="No"/>
    <n v="14"/>
    <n v="3"/>
    <n v="3"/>
    <n v="0"/>
    <n v="16"/>
    <n v="3"/>
    <n v="3"/>
    <n v="16"/>
    <n v="13"/>
    <n v="2"/>
    <n v="10"/>
    <x v="2"/>
  </r>
  <r>
    <n v="37"/>
    <x v="1"/>
    <s v="Non-Travel"/>
    <n v="1040"/>
    <s v="Research &amp; Development"/>
    <n v="2"/>
    <n v="2"/>
    <s v="Life Sciences"/>
    <n v="139"/>
    <n v="3"/>
    <s v="Male"/>
    <n v="100"/>
    <n v="2"/>
    <n v="2"/>
    <s v="Healthcare Representative"/>
    <n v="4"/>
    <s v="Divorced"/>
    <n v="5163"/>
    <n v="15850"/>
    <n v="5"/>
    <s v="No"/>
    <n v="14"/>
    <n v="3"/>
    <n v="4"/>
    <n v="1"/>
    <n v="17"/>
    <n v="2"/>
    <n v="4"/>
    <n v="1"/>
    <n v="0"/>
    <n v="0"/>
    <n v="0"/>
    <x v="0"/>
  </r>
  <r>
    <n v="59"/>
    <x v="1"/>
    <s v="Non-Travel"/>
    <n v="1420"/>
    <s v="Human Resources"/>
    <n v="2"/>
    <n v="4"/>
    <s v="Human Resources"/>
    <n v="140"/>
    <n v="3"/>
    <s v="Female"/>
    <n v="32"/>
    <n v="2"/>
    <n v="5"/>
    <s v="Manager"/>
    <n v="4"/>
    <s v="Married"/>
    <n v="18844"/>
    <n v="21922"/>
    <n v="9"/>
    <s v="No"/>
    <n v="21"/>
    <n v="4"/>
    <n v="4"/>
    <n v="1"/>
    <n v="30"/>
    <n v="3"/>
    <n v="3"/>
    <n v="3"/>
    <n v="2"/>
    <n v="2"/>
    <n v="2"/>
    <x v="3"/>
  </r>
  <r>
    <n v="50"/>
    <x v="1"/>
    <s v="Travel_Frequently"/>
    <n v="1115"/>
    <s v="Research &amp; Development"/>
    <n v="1"/>
    <n v="3"/>
    <s v="Life Sciences"/>
    <n v="141"/>
    <n v="1"/>
    <s v="Female"/>
    <n v="73"/>
    <n v="3"/>
    <n v="5"/>
    <s v="Research Director"/>
    <n v="2"/>
    <s v="Married"/>
    <n v="18172"/>
    <n v="9755"/>
    <n v="3"/>
    <s v="Yes"/>
    <n v="19"/>
    <n v="3"/>
    <n v="1"/>
    <n v="0"/>
    <n v="28"/>
    <n v="1"/>
    <n v="2"/>
    <n v="8"/>
    <n v="3"/>
    <n v="0"/>
    <n v="7"/>
    <x v="1"/>
  </r>
  <r>
    <n v="25"/>
    <x v="0"/>
    <s v="Travel_Rarely"/>
    <n v="240"/>
    <s v="Sales"/>
    <n v="5"/>
    <n v="3"/>
    <s v="Marketing"/>
    <n v="142"/>
    <n v="3"/>
    <s v="Male"/>
    <n v="46"/>
    <n v="2"/>
    <n v="2"/>
    <s v="Sales Executive"/>
    <n v="3"/>
    <s v="Single"/>
    <n v="5744"/>
    <n v="26959"/>
    <n v="1"/>
    <s v="Yes"/>
    <n v="11"/>
    <n v="3"/>
    <n v="4"/>
    <n v="0"/>
    <n v="6"/>
    <n v="1"/>
    <n v="3"/>
    <n v="6"/>
    <n v="4"/>
    <n v="0"/>
    <n v="3"/>
    <x v="2"/>
  </r>
  <r>
    <n v="25"/>
    <x v="1"/>
    <s v="Travel_Rarely"/>
    <n v="1280"/>
    <s v="Research &amp; Development"/>
    <n v="7"/>
    <n v="1"/>
    <s v="Medical"/>
    <n v="143"/>
    <n v="4"/>
    <s v="Male"/>
    <n v="64"/>
    <n v="2"/>
    <n v="1"/>
    <s v="Research Scientist"/>
    <n v="4"/>
    <s v="Married"/>
    <n v="2889"/>
    <n v="26897"/>
    <n v="1"/>
    <s v="No"/>
    <n v="11"/>
    <n v="3"/>
    <n v="3"/>
    <n v="2"/>
    <n v="2"/>
    <n v="2"/>
    <n v="3"/>
    <n v="2"/>
    <n v="2"/>
    <n v="2"/>
    <n v="1"/>
    <x v="2"/>
  </r>
  <r>
    <n v="22"/>
    <x v="1"/>
    <s v="Travel_Rarely"/>
    <n v="534"/>
    <s v="Research &amp; Development"/>
    <n v="15"/>
    <n v="3"/>
    <s v="Medical"/>
    <n v="144"/>
    <n v="2"/>
    <s v="Female"/>
    <n v="59"/>
    <n v="3"/>
    <n v="1"/>
    <s v="Laboratory Technician"/>
    <n v="4"/>
    <s v="Single"/>
    <n v="2871"/>
    <n v="23785"/>
    <n v="1"/>
    <s v="No"/>
    <n v="15"/>
    <n v="3"/>
    <n v="3"/>
    <n v="0"/>
    <n v="1"/>
    <n v="5"/>
    <n v="3"/>
    <n v="0"/>
    <n v="0"/>
    <n v="0"/>
    <n v="0"/>
    <x v="2"/>
  </r>
  <r>
    <n v="51"/>
    <x v="1"/>
    <s v="Travel_Frequently"/>
    <n v="1456"/>
    <s v="Research &amp; Development"/>
    <n v="1"/>
    <n v="4"/>
    <s v="Medical"/>
    <n v="145"/>
    <n v="1"/>
    <s v="Female"/>
    <n v="30"/>
    <n v="2"/>
    <n v="3"/>
    <s v="Healthcare Representative"/>
    <n v="1"/>
    <s v="Single"/>
    <n v="7484"/>
    <n v="25796"/>
    <n v="3"/>
    <s v="No"/>
    <n v="20"/>
    <n v="4"/>
    <n v="3"/>
    <n v="0"/>
    <n v="23"/>
    <n v="1"/>
    <n v="2"/>
    <n v="13"/>
    <n v="12"/>
    <n v="12"/>
    <n v="8"/>
    <x v="1"/>
  </r>
  <r>
    <n v="34"/>
    <x v="0"/>
    <s v="Travel_Frequently"/>
    <n v="658"/>
    <s v="Research &amp; Development"/>
    <n v="7"/>
    <n v="3"/>
    <s v="Life Sciences"/>
    <n v="147"/>
    <n v="1"/>
    <s v="Male"/>
    <n v="66"/>
    <n v="1"/>
    <n v="2"/>
    <s v="Laboratory Technician"/>
    <n v="3"/>
    <s v="Single"/>
    <n v="6074"/>
    <n v="22887"/>
    <n v="1"/>
    <s v="Yes"/>
    <n v="24"/>
    <n v="4"/>
    <n v="4"/>
    <n v="0"/>
    <n v="9"/>
    <n v="3"/>
    <n v="3"/>
    <n v="9"/>
    <n v="7"/>
    <n v="0"/>
    <n v="6"/>
    <x v="2"/>
  </r>
  <r>
    <n v="54"/>
    <x v="1"/>
    <s v="Non-Travel"/>
    <n v="142"/>
    <s v="Human Resources"/>
    <n v="26"/>
    <n v="3"/>
    <s v="Human Resources"/>
    <n v="148"/>
    <n v="4"/>
    <s v="Female"/>
    <n v="30"/>
    <n v="4"/>
    <n v="4"/>
    <s v="Manager"/>
    <n v="4"/>
    <s v="Single"/>
    <n v="17328"/>
    <n v="13871"/>
    <n v="2"/>
    <s v="Yes"/>
    <n v="12"/>
    <n v="3"/>
    <n v="3"/>
    <n v="0"/>
    <n v="23"/>
    <n v="3"/>
    <n v="3"/>
    <n v="5"/>
    <n v="3"/>
    <n v="4"/>
    <n v="4"/>
    <x v="1"/>
  </r>
  <r>
    <n v="24"/>
    <x v="1"/>
    <s v="Travel_Rarely"/>
    <n v="1127"/>
    <s v="Research &amp; Development"/>
    <n v="18"/>
    <n v="1"/>
    <s v="Life Sciences"/>
    <n v="150"/>
    <n v="2"/>
    <s v="Male"/>
    <n v="52"/>
    <n v="3"/>
    <n v="1"/>
    <s v="Laboratory Technician"/>
    <n v="3"/>
    <s v="Married"/>
    <n v="2774"/>
    <n v="13257"/>
    <n v="0"/>
    <s v="No"/>
    <n v="12"/>
    <n v="3"/>
    <n v="3"/>
    <n v="1"/>
    <n v="6"/>
    <n v="2"/>
    <n v="3"/>
    <n v="5"/>
    <n v="3"/>
    <n v="1"/>
    <n v="2"/>
    <x v="2"/>
  </r>
  <r>
    <n v="34"/>
    <x v="1"/>
    <s v="Travel_Rarely"/>
    <n v="1031"/>
    <s v="Research &amp; Development"/>
    <n v="6"/>
    <n v="4"/>
    <s v="Life Sciences"/>
    <n v="151"/>
    <n v="3"/>
    <s v="Female"/>
    <n v="45"/>
    <n v="2"/>
    <n v="2"/>
    <s v="Research Scientist"/>
    <n v="2"/>
    <s v="Divorced"/>
    <n v="4505"/>
    <n v="15000"/>
    <n v="6"/>
    <s v="No"/>
    <n v="15"/>
    <n v="3"/>
    <n v="3"/>
    <n v="1"/>
    <n v="12"/>
    <n v="3"/>
    <n v="3"/>
    <n v="1"/>
    <n v="0"/>
    <n v="0"/>
    <n v="0"/>
    <x v="2"/>
  </r>
  <r>
    <n v="37"/>
    <x v="1"/>
    <s v="Travel_Rarely"/>
    <n v="1189"/>
    <s v="Sales"/>
    <n v="3"/>
    <n v="3"/>
    <s v="Life Sciences"/>
    <n v="152"/>
    <n v="3"/>
    <s v="Male"/>
    <n v="87"/>
    <n v="3"/>
    <n v="3"/>
    <s v="Sales Executive"/>
    <n v="4"/>
    <s v="Single"/>
    <n v="7428"/>
    <n v="14506"/>
    <n v="2"/>
    <s v="No"/>
    <n v="12"/>
    <n v="3"/>
    <n v="1"/>
    <n v="0"/>
    <n v="12"/>
    <n v="3"/>
    <n v="3"/>
    <n v="5"/>
    <n v="3"/>
    <n v="1"/>
    <n v="3"/>
    <x v="0"/>
  </r>
  <r>
    <n v="34"/>
    <x v="1"/>
    <s v="Travel_Rarely"/>
    <n v="1354"/>
    <s v="Research &amp; Development"/>
    <n v="5"/>
    <n v="3"/>
    <s v="Medical"/>
    <n v="153"/>
    <n v="3"/>
    <s v="Female"/>
    <n v="45"/>
    <n v="2"/>
    <n v="3"/>
    <s v="Manager"/>
    <n v="1"/>
    <s v="Single"/>
    <n v="11631"/>
    <n v="5615"/>
    <n v="2"/>
    <s v="No"/>
    <n v="12"/>
    <n v="3"/>
    <n v="4"/>
    <n v="0"/>
    <n v="14"/>
    <n v="6"/>
    <n v="3"/>
    <n v="11"/>
    <n v="10"/>
    <n v="5"/>
    <n v="8"/>
    <x v="2"/>
  </r>
  <r>
    <n v="36"/>
    <x v="1"/>
    <s v="Travel_Frequently"/>
    <n v="1467"/>
    <s v="Sales"/>
    <n v="11"/>
    <n v="2"/>
    <s v="Technical Degree"/>
    <n v="154"/>
    <n v="2"/>
    <s v="Female"/>
    <n v="92"/>
    <n v="3"/>
    <n v="3"/>
    <s v="Sales Executive"/>
    <n v="4"/>
    <s v="Married"/>
    <n v="9738"/>
    <n v="22952"/>
    <n v="0"/>
    <s v="No"/>
    <n v="14"/>
    <n v="3"/>
    <n v="3"/>
    <n v="1"/>
    <n v="10"/>
    <n v="6"/>
    <n v="3"/>
    <n v="9"/>
    <n v="7"/>
    <n v="2"/>
    <n v="8"/>
    <x v="0"/>
  </r>
  <r>
    <n v="36"/>
    <x v="1"/>
    <s v="Travel_Rarely"/>
    <n v="922"/>
    <s v="Research &amp; Development"/>
    <n v="3"/>
    <n v="2"/>
    <s v="Life Sciences"/>
    <n v="155"/>
    <n v="1"/>
    <s v="Female"/>
    <n v="39"/>
    <n v="3"/>
    <n v="1"/>
    <s v="Laboratory Technician"/>
    <n v="4"/>
    <s v="Divorced"/>
    <n v="2835"/>
    <n v="2561"/>
    <n v="5"/>
    <s v="No"/>
    <n v="22"/>
    <n v="4"/>
    <n v="1"/>
    <n v="1"/>
    <n v="7"/>
    <n v="2"/>
    <n v="3"/>
    <n v="1"/>
    <n v="0"/>
    <n v="0"/>
    <n v="0"/>
    <x v="0"/>
  </r>
  <r>
    <n v="43"/>
    <x v="1"/>
    <s v="Travel_Frequently"/>
    <n v="394"/>
    <s v="Sales"/>
    <n v="26"/>
    <n v="2"/>
    <s v="Life Sciences"/>
    <n v="158"/>
    <n v="3"/>
    <s v="Male"/>
    <n v="92"/>
    <n v="3"/>
    <n v="4"/>
    <s v="Manager"/>
    <n v="4"/>
    <s v="Married"/>
    <n v="16959"/>
    <n v="19494"/>
    <n v="1"/>
    <s v="Yes"/>
    <n v="12"/>
    <n v="3"/>
    <n v="4"/>
    <n v="2"/>
    <n v="25"/>
    <n v="3"/>
    <n v="4"/>
    <n v="25"/>
    <n v="12"/>
    <n v="4"/>
    <n v="12"/>
    <x v="0"/>
  </r>
  <r>
    <n v="30"/>
    <x v="1"/>
    <s v="Travel_Frequently"/>
    <n v="1312"/>
    <s v="Research &amp; Development"/>
    <n v="23"/>
    <n v="3"/>
    <s v="Life Sciences"/>
    <n v="159"/>
    <n v="1"/>
    <s v="Male"/>
    <n v="96"/>
    <n v="1"/>
    <n v="1"/>
    <s v="Research Scientist"/>
    <n v="3"/>
    <s v="Divorced"/>
    <n v="2613"/>
    <n v="22310"/>
    <n v="1"/>
    <s v="No"/>
    <n v="25"/>
    <n v="4"/>
    <n v="3"/>
    <n v="3"/>
    <n v="10"/>
    <n v="2"/>
    <n v="2"/>
    <n v="10"/>
    <n v="7"/>
    <n v="0"/>
    <n v="9"/>
    <x v="2"/>
  </r>
  <r>
    <n v="33"/>
    <x v="1"/>
    <s v="Non-Travel"/>
    <n v="750"/>
    <s v="Sales"/>
    <n v="22"/>
    <n v="2"/>
    <s v="Marketing"/>
    <n v="160"/>
    <n v="3"/>
    <s v="Male"/>
    <n v="95"/>
    <n v="3"/>
    <n v="2"/>
    <s v="Sales Executive"/>
    <n v="2"/>
    <s v="Married"/>
    <n v="6146"/>
    <n v="15480"/>
    <n v="0"/>
    <s v="No"/>
    <n v="13"/>
    <n v="3"/>
    <n v="1"/>
    <n v="1"/>
    <n v="8"/>
    <n v="2"/>
    <n v="4"/>
    <n v="7"/>
    <n v="7"/>
    <n v="0"/>
    <n v="7"/>
    <x v="2"/>
  </r>
  <r>
    <n v="56"/>
    <x v="0"/>
    <s v="Travel_Rarely"/>
    <n v="441"/>
    <s v="Research &amp; Development"/>
    <n v="14"/>
    <n v="4"/>
    <s v="Life Sciences"/>
    <n v="161"/>
    <n v="2"/>
    <s v="Female"/>
    <n v="72"/>
    <n v="3"/>
    <n v="1"/>
    <s v="Research Scientist"/>
    <n v="2"/>
    <s v="Married"/>
    <n v="4963"/>
    <n v="4510"/>
    <n v="9"/>
    <s v="Yes"/>
    <n v="18"/>
    <n v="3"/>
    <n v="1"/>
    <n v="3"/>
    <n v="7"/>
    <n v="2"/>
    <n v="3"/>
    <n v="5"/>
    <n v="4"/>
    <n v="4"/>
    <n v="3"/>
    <x v="3"/>
  </r>
  <r>
    <n v="51"/>
    <x v="1"/>
    <s v="Travel_Rarely"/>
    <n v="684"/>
    <s v="Research &amp; Development"/>
    <n v="6"/>
    <n v="3"/>
    <s v="Life Sciences"/>
    <n v="162"/>
    <n v="1"/>
    <s v="Male"/>
    <n v="51"/>
    <n v="3"/>
    <n v="5"/>
    <s v="Research Director"/>
    <n v="3"/>
    <s v="Single"/>
    <n v="19537"/>
    <n v="6462"/>
    <n v="7"/>
    <s v="No"/>
    <n v="13"/>
    <n v="3"/>
    <n v="3"/>
    <n v="0"/>
    <n v="23"/>
    <n v="5"/>
    <n v="3"/>
    <n v="20"/>
    <n v="18"/>
    <n v="15"/>
    <n v="15"/>
    <x v="1"/>
  </r>
  <r>
    <n v="31"/>
    <x v="0"/>
    <s v="Travel_Rarely"/>
    <n v="249"/>
    <s v="Sales"/>
    <n v="6"/>
    <n v="4"/>
    <s v="Life Sciences"/>
    <n v="163"/>
    <n v="2"/>
    <s v="Male"/>
    <n v="76"/>
    <n v="1"/>
    <n v="2"/>
    <s v="Sales Executive"/>
    <n v="3"/>
    <s v="Married"/>
    <n v="6172"/>
    <n v="20739"/>
    <n v="4"/>
    <s v="Yes"/>
    <n v="18"/>
    <n v="3"/>
    <n v="2"/>
    <n v="0"/>
    <n v="12"/>
    <n v="3"/>
    <n v="2"/>
    <n v="7"/>
    <n v="7"/>
    <n v="7"/>
    <n v="7"/>
    <x v="2"/>
  </r>
  <r>
    <n v="26"/>
    <x v="1"/>
    <s v="Travel_Rarely"/>
    <n v="841"/>
    <s v="Research &amp; Development"/>
    <n v="6"/>
    <n v="3"/>
    <s v="Other"/>
    <n v="164"/>
    <n v="3"/>
    <s v="Female"/>
    <n v="46"/>
    <n v="2"/>
    <n v="1"/>
    <s v="Research Scientist"/>
    <n v="2"/>
    <s v="Married"/>
    <n v="2368"/>
    <n v="23300"/>
    <n v="1"/>
    <s v="No"/>
    <n v="19"/>
    <n v="3"/>
    <n v="3"/>
    <n v="0"/>
    <n v="5"/>
    <n v="3"/>
    <n v="2"/>
    <n v="5"/>
    <n v="4"/>
    <n v="4"/>
    <n v="3"/>
    <x v="2"/>
  </r>
  <r>
    <n v="58"/>
    <x v="0"/>
    <s v="Travel_Rarely"/>
    <n v="147"/>
    <s v="Research &amp; Development"/>
    <n v="23"/>
    <n v="4"/>
    <s v="Medical"/>
    <n v="165"/>
    <n v="4"/>
    <s v="Female"/>
    <n v="94"/>
    <n v="3"/>
    <n v="3"/>
    <s v="Healthcare Representative"/>
    <n v="4"/>
    <s v="Married"/>
    <n v="10312"/>
    <n v="3465"/>
    <n v="1"/>
    <s v="No"/>
    <n v="12"/>
    <n v="3"/>
    <n v="4"/>
    <n v="1"/>
    <n v="40"/>
    <n v="3"/>
    <n v="2"/>
    <n v="40"/>
    <n v="10"/>
    <n v="15"/>
    <n v="6"/>
    <x v="3"/>
  </r>
  <r>
    <n v="19"/>
    <x v="0"/>
    <s v="Travel_Rarely"/>
    <n v="528"/>
    <s v="Sales"/>
    <n v="22"/>
    <n v="1"/>
    <s v="Marketing"/>
    <n v="167"/>
    <n v="4"/>
    <s v="Male"/>
    <n v="50"/>
    <n v="3"/>
    <n v="1"/>
    <s v="Sales Representative"/>
    <n v="3"/>
    <s v="Single"/>
    <n v="1675"/>
    <n v="26820"/>
    <n v="1"/>
    <s v="Yes"/>
    <n v="19"/>
    <n v="3"/>
    <n v="4"/>
    <n v="0"/>
    <n v="0"/>
    <n v="2"/>
    <n v="2"/>
    <n v="0"/>
    <n v="0"/>
    <n v="0"/>
    <n v="0"/>
    <x v="2"/>
  </r>
  <r>
    <n v="22"/>
    <x v="1"/>
    <s v="Travel_Rarely"/>
    <n v="594"/>
    <s v="Research &amp; Development"/>
    <n v="2"/>
    <n v="1"/>
    <s v="Technical Degree"/>
    <n v="169"/>
    <n v="3"/>
    <s v="Male"/>
    <n v="100"/>
    <n v="3"/>
    <n v="1"/>
    <s v="Laboratory Technician"/>
    <n v="4"/>
    <s v="Married"/>
    <n v="2523"/>
    <n v="19299"/>
    <n v="0"/>
    <s v="No"/>
    <n v="14"/>
    <n v="3"/>
    <n v="3"/>
    <n v="1"/>
    <n v="3"/>
    <n v="2"/>
    <n v="3"/>
    <n v="2"/>
    <n v="1"/>
    <n v="2"/>
    <n v="1"/>
    <x v="2"/>
  </r>
  <r>
    <n v="49"/>
    <x v="1"/>
    <s v="Travel_Rarely"/>
    <n v="470"/>
    <s v="Research &amp; Development"/>
    <n v="20"/>
    <n v="4"/>
    <s v="Medical"/>
    <n v="170"/>
    <n v="3"/>
    <s v="Female"/>
    <n v="96"/>
    <n v="3"/>
    <n v="2"/>
    <s v="Manufacturing Director"/>
    <n v="1"/>
    <s v="Married"/>
    <n v="6567"/>
    <n v="5549"/>
    <n v="1"/>
    <s v="No"/>
    <n v="14"/>
    <n v="3"/>
    <n v="3"/>
    <n v="0"/>
    <n v="16"/>
    <n v="2"/>
    <n v="2"/>
    <n v="15"/>
    <n v="11"/>
    <n v="5"/>
    <n v="11"/>
    <x v="1"/>
  </r>
  <r>
    <n v="43"/>
    <x v="1"/>
    <s v="Travel_Frequently"/>
    <n v="957"/>
    <s v="Research &amp; Development"/>
    <n v="28"/>
    <n v="3"/>
    <s v="Medical"/>
    <n v="171"/>
    <n v="2"/>
    <s v="Female"/>
    <n v="72"/>
    <n v="4"/>
    <n v="1"/>
    <s v="Research Scientist"/>
    <n v="3"/>
    <s v="Single"/>
    <n v="4739"/>
    <n v="16090"/>
    <n v="4"/>
    <s v="No"/>
    <n v="12"/>
    <n v="3"/>
    <n v="4"/>
    <n v="0"/>
    <n v="18"/>
    <n v="2"/>
    <n v="3"/>
    <n v="3"/>
    <n v="2"/>
    <n v="1"/>
    <n v="2"/>
    <x v="0"/>
  </r>
  <r>
    <n v="50"/>
    <x v="1"/>
    <s v="Travel_Frequently"/>
    <n v="809"/>
    <s v="Sales"/>
    <n v="12"/>
    <n v="3"/>
    <s v="Marketing"/>
    <n v="174"/>
    <n v="3"/>
    <s v="Female"/>
    <n v="77"/>
    <n v="3"/>
    <n v="3"/>
    <s v="Sales Executive"/>
    <n v="4"/>
    <s v="Single"/>
    <n v="9208"/>
    <n v="6645"/>
    <n v="4"/>
    <s v="No"/>
    <n v="11"/>
    <n v="3"/>
    <n v="4"/>
    <n v="0"/>
    <n v="16"/>
    <n v="3"/>
    <n v="3"/>
    <n v="2"/>
    <n v="2"/>
    <n v="2"/>
    <n v="1"/>
    <x v="1"/>
  </r>
  <r>
    <n v="31"/>
    <x v="0"/>
    <s v="Travel_Rarely"/>
    <n v="542"/>
    <s v="Sales"/>
    <n v="20"/>
    <n v="3"/>
    <s v="Life Sciences"/>
    <n v="175"/>
    <n v="2"/>
    <s v="Female"/>
    <n v="71"/>
    <n v="1"/>
    <n v="2"/>
    <s v="Sales Executive"/>
    <n v="3"/>
    <s v="Married"/>
    <n v="4559"/>
    <n v="24788"/>
    <n v="3"/>
    <s v="Yes"/>
    <n v="11"/>
    <n v="3"/>
    <n v="3"/>
    <n v="1"/>
    <n v="4"/>
    <n v="2"/>
    <n v="3"/>
    <n v="2"/>
    <n v="2"/>
    <n v="2"/>
    <n v="2"/>
    <x v="2"/>
  </r>
  <r>
    <n v="41"/>
    <x v="1"/>
    <s v="Travel_Rarely"/>
    <n v="802"/>
    <s v="Sales"/>
    <n v="9"/>
    <n v="1"/>
    <s v="Life Sciences"/>
    <n v="176"/>
    <n v="3"/>
    <s v="Male"/>
    <n v="96"/>
    <n v="3"/>
    <n v="3"/>
    <s v="Sales Executive"/>
    <n v="3"/>
    <s v="Divorced"/>
    <n v="8189"/>
    <n v="21196"/>
    <n v="3"/>
    <s v="Yes"/>
    <n v="13"/>
    <n v="3"/>
    <n v="3"/>
    <n v="1"/>
    <n v="12"/>
    <n v="2"/>
    <n v="3"/>
    <n v="9"/>
    <n v="7"/>
    <n v="0"/>
    <n v="7"/>
    <x v="0"/>
  </r>
  <r>
    <n v="26"/>
    <x v="1"/>
    <s v="Travel_Rarely"/>
    <n v="1355"/>
    <s v="Human Resources"/>
    <n v="25"/>
    <n v="1"/>
    <s v="Life Sciences"/>
    <n v="177"/>
    <n v="3"/>
    <s v="Female"/>
    <n v="61"/>
    <n v="3"/>
    <n v="1"/>
    <s v="Human Resources"/>
    <n v="3"/>
    <s v="Married"/>
    <n v="2942"/>
    <n v="8916"/>
    <n v="1"/>
    <s v="No"/>
    <n v="23"/>
    <n v="4"/>
    <n v="4"/>
    <n v="1"/>
    <n v="8"/>
    <n v="3"/>
    <n v="3"/>
    <n v="8"/>
    <n v="7"/>
    <n v="5"/>
    <n v="7"/>
    <x v="2"/>
  </r>
  <r>
    <n v="36"/>
    <x v="1"/>
    <s v="Travel_Rarely"/>
    <n v="216"/>
    <s v="Research &amp; Development"/>
    <n v="6"/>
    <n v="2"/>
    <s v="Medical"/>
    <n v="178"/>
    <n v="2"/>
    <s v="Male"/>
    <n v="84"/>
    <n v="3"/>
    <n v="2"/>
    <s v="Manufacturing Director"/>
    <n v="2"/>
    <s v="Divorced"/>
    <n v="4941"/>
    <n v="2819"/>
    <n v="6"/>
    <s v="No"/>
    <n v="20"/>
    <n v="4"/>
    <n v="4"/>
    <n v="2"/>
    <n v="7"/>
    <n v="0"/>
    <n v="3"/>
    <n v="3"/>
    <n v="2"/>
    <n v="0"/>
    <n v="1"/>
    <x v="0"/>
  </r>
  <r>
    <n v="51"/>
    <x v="0"/>
    <s v="Travel_Frequently"/>
    <n v="1150"/>
    <s v="Research &amp; Development"/>
    <n v="8"/>
    <n v="4"/>
    <s v="Life Sciences"/>
    <n v="179"/>
    <n v="1"/>
    <s v="Male"/>
    <n v="53"/>
    <n v="1"/>
    <n v="3"/>
    <s v="Manufacturing Director"/>
    <n v="4"/>
    <s v="Single"/>
    <n v="10650"/>
    <n v="25150"/>
    <n v="2"/>
    <s v="No"/>
    <n v="15"/>
    <n v="3"/>
    <n v="4"/>
    <n v="0"/>
    <n v="18"/>
    <n v="2"/>
    <n v="3"/>
    <n v="4"/>
    <n v="2"/>
    <n v="0"/>
    <n v="3"/>
    <x v="1"/>
  </r>
  <r>
    <n v="39"/>
    <x v="1"/>
    <s v="Travel_Rarely"/>
    <n v="1329"/>
    <s v="Sales"/>
    <n v="4"/>
    <n v="4"/>
    <s v="Life Sciences"/>
    <n v="182"/>
    <n v="4"/>
    <s v="Female"/>
    <n v="47"/>
    <n v="2"/>
    <n v="2"/>
    <s v="Sales Executive"/>
    <n v="3"/>
    <s v="Married"/>
    <n v="5902"/>
    <n v="14590"/>
    <n v="4"/>
    <s v="No"/>
    <n v="14"/>
    <n v="3"/>
    <n v="3"/>
    <n v="1"/>
    <n v="17"/>
    <n v="1"/>
    <n v="4"/>
    <n v="15"/>
    <n v="11"/>
    <n v="5"/>
    <n v="9"/>
    <x v="0"/>
  </r>
  <r>
    <n v="25"/>
    <x v="1"/>
    <s v="Travel_Rarely"/>
    <n v="959"/>
    <s v="Sales"/>
    <n v="28"/>
    <n v="3"/>
    <s v="Life Sciences"/>
    <n v="183"/>
    <n v="1"/>
    <s v="Male"/>
    <n v="41"/>
    <n v="2"/>
    <n v="2"/>
    <s v="Sales Executive"/>
    <n v="3"/>
    <s v="Married"/>
    <n v="8639"/>
    <n v="24835"/>
    <n v="2"/>
    <s v="No"/>
    <n v="18"/>
    <n v="3"/>
    <n v="4"/>
    <n v="0"/>
    <n v="6"/>
    <n v="3"/>
    <n v="3"/>
    <n v="2"/>
    <n v="2"/>
    <n v="2"/>
    <n v="2"/>
    <x v="2"/>
  </r>
  <r>
    <n v="30"/>
    <x v="1"/>
    <s v="Travel_Rarely"/>
    <n v="1240"/>
    <s v="Human Resources"/>
    <n v="9"/>
    <n v="3"/>
    <s v="Human Resources"/>
    <n v="184"/>
    <n v="3"/>
    <s v="Male"/>
    <n v="48"/>
    <n v="3"/>
    <n v="2"/>
    <s v="Human Resources"/>
    <n v="4"/>
    <s v="Married"/>
    <n v="6347"/>
    <n v="13982"/>
    <n v="0"/>
    <s v="Yes"/>
    <n v="19"/>
    <n v="3"/>
    <n v="4"/>
    <n v="0"/>
    <n v="12"/>
    <n v="2"/>
    <n v="1"/>
    <n v="11"/>
    <n v="9"/>
    <n v="4"/>
    <n v="7"/>
    <x v="2"/>
  </r>
  <r>
    <n v="32"/>
    <x v="0"/>
    <s v="Travel_Rarely"/>
    <n v="1033"/>
    <s v="Research &amp; Development"/>
    <n v="9"/>
    <n v="3"/>
    <s v="Medical"/>
    <n v="190"/>
    <n v="1"/>
    <s v="Female"/>
    <n v="41"/>
    <n v="3"/>
    <n v="1"/>
    <s v="Laboratory Technician"/>
    <n v="1"/>
    <s v="Single"/>
    <n v="4200"/>
    <n v="10224"/>
    <n v="7"/>
    <s v="No"/>
    <n v="22"/>
    <n v="4"/>
    <n v="1"/>
    <n v="0"/>
    <n v="10"/>
    <n v="2"/>
    <n v="4"/>
    <n v="5"/>
    <n v="4"/>
    <n v="0"/>
    <n v="4"/>
    <x v="2"/>
  </r>
  <r>
    <n v="45"/>
    <x v="1"/>
    <s v="Travel_Rarely"/>
    <n v="1316"/>
    <s v="Research &amp; Development"/>
    <n v="29"/>
    <n v="3"/>
    <s v="Medical"/>
    <n v="192"/>
    <n v="3"/>
    <s v="Male"/>
    <n v="83"/>
    <n v="3"/>
    <n v="1"/>
    <s v="Research Scientist"/>
    <n v="4"/>
    <s v="Single"/>
    <n v="3452"/>
    <n v="9752"/>
    <n v="5"/>
    <s v="No"/>
    <n v="13"/>
    <n v="3"/>
    <n v="2"/>
    <n v="0"/>
    <n v="9"/>
    <n v="2"/>
    <n v="2"/>
    <n v="6"/>
    <n v="5"/>
    <n v="0"/>
    <n v="3"/>
    <x v="1"/>
  </r>
  <r>
    <n v="38"/>
    <x v="1"/>
    <s v="Travel_Rarely"/>
    <n v="364"/>
    <s v="Research &amp; Development"/>
    <n v="3"/>
    <n v="5"/>
    <s v="Technical Degree"/>
    <n v="193"/>
    <n v="4"/>
    <s v="Female"/>
    <n v="32"/>
    <n v="3"/>
    <n v="2"/>
    <s v="Research Scientist"/>
    <n v="3"/>
    <s v="Single"/>
    <n v="4317"/>
    <n v="2302"/>
    <n v="3"/>
    <s v="Yes"/>
    <n v="20"/>
    <n v="4"/>
    <n v="2"/>
    <n v="0"/>
    <n v="19"/>
    <n v="2"/>
    <n v="3"/>
    <n v="3"/>
    <n v="2"/>
    <n v="2"/>
    <n v="2"/>
    <x v="0"/>
  </r>
  <r>
    <n v="30"/>
    <x v="1"/>
    <s v="Travel_Rarely"/>
    <n v="438"/>
    <s v="Research &amp; Development"/>
    <n v="18"/>
    <n v="3"/>
    <s v="Life Sciences"/>
    <n v="194"/>
    <n v="1"/>
    <s v="Female"/>
    <n v="75"/>
    <n v="3"/>
    <n v="1"/>
    <s v="Research Scientist"/>
    <n v="3"/>
    <s v="Single"/>
    <n v="2632"/>
    <n v="23910"/>
    <n v="1"/>
    <s v="No"/>
    <n v="14"/>
    <n v="3"/>
    <n v="3"/>
    <n v="0"/>
    <n v="5"/>
    <n v="4"/>
    <n v="2"/>
    <n v="5"/>
    <n v="4"/>
    <n v="0"/>
    <n v="4"/>
    <x v="2"/>
  </r>
  <r>
    <n v="32"/>
    <x v="1"/>
    <s v="Travel_Frequently"/>
    <n v="689"/>
    <s v="Sales"/>
    <n v="9"/>
    <n v="2"/>
    <s v="Medical"/>
    <n v="195"/>
    <n v="4"/>
    <s v="Male"/>
    <n v="35"/>
    <n v="1"/>
    <n v="2"/>
    <s v="Sales Executive"/>
    <n v="4"/>
    <s v="Divorced"/>
    <n v="4668"/>
    <n v="22812"/>
    <n v="0"/>
    <s v="No"/>
    <n v="17"/>
    <n v="3"/>
    <n v="4"/>
    <n v="3"/>
    <n v="9"/>
    <n v="2"/>
    <n v="4"/>
    <n v="8"/>
    <n v="7"/>
    <n v="0"/>
    <n v="7"/>
    <x v="2"/>
  </r>
  <r>
    <n v="30"/>
    <x v="1"/>
    <s v="Travel_Rarely"/>
    <n v="201"/>
    <s v="Research &amp; Development"/>
    <n v="5"/>
    <n v="3"/>
    <s v="Technical Degree"/>
    <n v="197"/>
    <n v="4"/>
    <s v="Female"/>
    <n v="84"/>
    <n v="3"/>
    <n v="1"/>
    <s v="Research Scientist"/>
    <n v="1"/>
    <s v="Divorced"/>
    <n v="3204"/>
    <n v="10415"/>
    <n v="5"/>
    <s v="No"/>
    <n v="14"/>
    <n v="3"/>
    <n v="4"/>
    <n v="1"/>
    <n v="8"/>
    <n v="3"/>
    <n v="3"/>
    <n v="3"/>
    <n v="2"/>
    <n v="2"/>
    <n v="2"/>
    <x v="2"/>
  </r>
  <r>
    <n v="30"/>
    <x v="1"/>
    <s v="Travel_Rarely"/>
    <n v="1427"/>
    <s v="Research &amp; Development"/>
    <n v="2"/>
    <n v="1"/>
    <s v="Medical"/>
    <n v="198"/>
    <n v="2"/>
    <s v="Male"/>
    <n v="35"/>
    <n v="2"/>
    <n v="1"/>
    <s v="Laboratory Technician"/>
    <n v="4"/>
    <s v="Single"/>
    <n v="2720"/>
    <n v="11162"/>
    <n v="0"/>
    <s v="No"/>
    <n v="13"/>
    <n v="3"/>
    <n v="4"/>
    <n v="0"/>
    <n v="6"/>
    <n v="3"/>
    <n v="3"/>
    <n v="5"/>
    <n v="3"/>
    <n v="1"/>
    <n v="2"/>
    <x v="2"/>
  </r>
  <r>
    <n v="41"/>
    <x v="1"/>
    <s v="Travel_Frequently"/>
    <n v="857"/>
    <s v="Research &amp; Development"/>
    <n v="10"/>
    <n v="3"/>
    <s v="Life Sciences"/>
    <n v="199"/>
    <n v="4"/>
    <s v="Male"/>
    <n v="91"/>
    <n v="2"/>
    <n v="4"/>
    <s v="Manager"/>
    <n v="1"/>
    <s v="Divorced"/>
    <n v="17181"/>
    <n v="12888"/>
    <n v="4"/>
    <s v="No"/>
    <n v="13"/>
    <n v="3"/>
    <n v="2"/>
    <n v="1"/>
    <n v="21"/>
    <n v="2"/>
    <n v="2"/>
    <n v="7"/>
    <n v="6"/>
    <n v="7"/>
    <n v="7"/>
    <x v="0"/>
  </r>
  <r>
    <n v="41"/>
    <x v="1"/>
    <s v="Travel_Rarely"/>
    <n v="933"/>
    <s v="Research &amp; Development"/>
    <n v="9"/>
    <n v="4"/>
    <s v="Life Sciences"/>
    <n v="200"/>
    <n v="3"/>
    <s v="Male"/>
    <n v="94"/>
    <n v="3"/>
    <n v="1"/>
    <s v="Laboratory Technician"/>
    <n v="1"/>
    <s v="Married"/>
    <n v="2238"/>
    <n v="6961"/>
    <n v="2"/>
    <s v="No"/>
    <n v="21"/>
    <n v="4"/>
    <n v="4"/>
    <n v="1"/>
    <n v="7"/>
    <n v="2"/>
    <n v="3"/>
    <n v="5"/>
    <n v="0"/>
    <n v="1"/>
    <n v="4"/>
    <x v="0"/>
  </r>
  <r>
    <n v="19"/>
    <x v="1"/>
    <s v="Travel_Rarely"/>
    <n v="1181"/>
    <s v="Research &amp; Development"/>
    <n v="3"/>
    <n v="1"/>
    <s v="Medical"/>
    <n v="201"/>
    <n v="2"/>
    <s v="Female"/>
    <n v="79"/>
    <n v="3"/>
    <n v="1"/>
    <s v="Laboratory Technician"/>
    <n v="2"/>
    <s v="Single"/>
    <n v="1483"/>
    <n v="16102"/>
    <n v="1"/>
    <s v="No"/>
    <n v="14"/>
    <n v="3"/>
    <n v="4"/>
    <n v="0"/>
    <n v="1"/>
    <n v="3"/>
    <n v="3"/>
    <n v="1"/>
    <n v="0"/>
    <n v="0"/>
    <n v="0"/>
    <x v="2"/>
  </r>
  <r>
    <n v="40"/>
    <x v="1"/>
    <s v="Travel_Frequently"/>
    <n v="1395"/>
    <s v="Research &amp; Development"/>
    <n v="26"/>
    <n v="3"/>
    <s v="Medical"/>
    <n v="202"/>
    <n v="2"/>
    <s v="Female"/>
    <n v="54"/>
    <n v="3"/>
    <n v="2"/>
    <s v="Research Scientist"/>
    <n v="2"/>
    <s v="Divorced"/>
    <n v="5605"/>
    <n v="8504"/>
    <n v="1"/>
    <s v="No"/>
    <n v="11"/>
    <n v="3"/>
    <n v="1"/>
    <n v="1"/>
    <n v="20"/>
    <n v="2"/>
    <n v="3"/>
    <n v="20"/>
    <n v="7"/>
    <n v="2"/>
    <n v="13"/>
    <x v="0"/>
  </r>
  <r>
    <n v="35"/>
    <x v="1"/>
    <s v="Travel_Rarely"/>
    <n v="662"/>
    <s v="Sales"/>
    <n v="1"/>
    <n v="5"/>
    <s v="Marketing"/>
    <n v="204"/>
    <n v="3"/>
    <s v="Male"/>
    <n v="94"/>
    <n v="3"/>
    <n v="3"/>
    <s v="Sales Executive"/>
    <n v="2"/>
    <s v="Married"/>
    <n v="7295"/>
    <n v="11439"/>
    <n v="1"/>
    <s v="No"/>
    <n v="13"/>
    <n v="3"/>
    <n v="1"/>
    <n v="2"/>
    <n v="10"/>
    <n v="3"/>
    <n v="3"/>
    <n v="10"/>
    <n v="8"/>
    <n v="0"/>
    <n v="6"/>
    <x v="0"/>
  </r>
  <r>
    <n v="53"/>
    <x v="1"/>
    <s v="Travel_Rarely"/>
    <n v="1436"/>
    <s v="Sales"/>
    <n v="6"/>
    <n v="2"/>
    <s v="Marketing"/>
    <n v="205"/>
    <n v="2"/>
    <s v="Male"/>
    <n v="34"/>
    <n v="3"/>
    <n v="2"/>
    <s v="Sales Representative"/>
    <n v="3"/>
    <s v="Married"/>
    <n v="2306"/>
    <n v="16047"/>
    <n v="2"/>
    <s v="Yes"/>
    <n v="20"/>
    <n v="4"/>
    <n v="4"/>
    <n v="1"/>
    <n v="13"/>
    <n v="3"/>
    <n v="1"/>
    <n v="7"/>
    <n v="7"/>
    <n v="4"/>
    <n v="5"/>
    <x v="1"/>
  </r>
  <r>
    <n v="45"/>
    <x v="1"/>
    <s v="Travel_Rarely"/>
    <n v="194"/>
    <s v="Research &amp; Development"/>
    <n v="9"/>
    <n v="3"/>
    <s v="Life Sciences"/>
    <n v="206"/>
    <n v="2"/>
    <s v="Male"/>
    <n v="60"/>
    <n v="3"/>
    <n v="2"/>
    <s v="Laboratory Technician"/>
    <n v="2"/>
    <s v="Divorced"/>
    <n v="2348"/>
    <n v="10901"/>
    <n v="8"/>
    <s v="No"/>
    <n v="18"/>
    <n v="3"/>
    <n v="3"/>
    <n v="1"/>
    <n v="20"/>
    <n v="2"/>
    <n v="1"/>
    <n v="17"/>
    <n v="9"/>
    <n v="0"/>
    <n v="15"/>
    <x v="1"/>
  </r>
  <r>
    <n v="32"/>
    <x v="1"/>
    <s v="Travel_Frequently"/>
    <n v="967"/>
    <s v="Sales"/>
    <n v="8"/>
    <n v="3"/>
    <s v="Marketing"/>
    <n v="207"/>
    <n v="2"/>
    <s v="Female"/>
    <n v="43"/>
    <n v="3"/>
    <n v="3"/>
    <s v="Sales Executive"/>
    <n v="4"/>
    <s v="Single"/>
    <n v="8998"/>
    <n v="15589"/>
    <n v="1"/>
    <s v="No"/>
    <n v="14"/>
    <n v="3"/>
    <n v="4"/>
    <n v="0"/>
    <n v="9"/>
    <n v="2"/>
    <n v="3"/>
    <n v="9"/>
    <n v="8"/>
    <n v="3"/>
    <n v="7"/>
    <x v="2"/>
  </r>
  <r>
    <n v="29"/>
    <x v="1"/>
    <s v="Non-Travel"/>
    <n v="1496"/>
    <s v="Research &amp; Development"/>
    <n v="1"/>
    <n v="1"/>
    <s v="Technical Degree"/>
    <n v="208"/>
    <n v="4"/>
    <s v="Male"/>
    <n v="41"/>
    <n v="3"/>
    <n v="2"/>
    <s v="Manufacturing Director"/>
    <n v="3"/>
    <s v="Married"/>
    <n v="4319"/>
    <n v="26283"/>
    <n v="1"/>
    <s v="No"/>
    <n v="13"/>
    <n v="3"/>
    <n v="1"/>
    <n v="1"/>
    <n v="10"/>
    <n v="1"/>
    <n v="3"/>
    <n v="10"/>
    <n v="7"/>
    <n v="0"/>
    <n v="9"/>
    <x v="2"/>
  </r>
  <r>
    <n v="51"/>
    <x v="1"/>
    <s v="Travel_Rarely"/>
    <n v="1169"/>
    <s v="Research &amp; Development"/>
    <n v="7"/>
    <n v="4"/>
    <s v="Medical"/>
    <n v="211"/>
    <n v="2"/>
    <s v="Male"/>
    <n v="34"/>
    <n v="2"/>
    <n v="2"/>
    <s v="Manufacturing Director"/>
    <n v="3"/>
    <s v="Married"/>
    <n v="6132"/>
    <n v="13983"/>
    <n v="2"/>
    <s v="No"/>
    <n v="17"/>
    <n v="3"/>
    <n v="3"/>
    <n v="0"/>
    <n v="10"/>
    <n v="2"/>
    <n v="3"/>
    <n v="1"/>
    <n v="0"/>
    <n v="0"/>
    <n v="0"/>
    <x v="1"/>
  </r>
  <r>
    <n v="58"/>
    <x v="1"/>
    <s v="Travel_Rarely"/>
    <n v="1145"/>
    <s v="Research &amp; Development"/>
    <n v="9"/>
    <n v="3"/>
    <s v="Medical"/>
    <n v="214"/>
    <n v="2"/>
    <s v="Female"/>
    <n v="75"/>
    <n v="2"/>
    <n v="1"/>
    <s v="Research Scientist"/>
    <n v="2"/>
    <s v="Married"/>
    <n v="3346"/>
    <n v="11873"/>
    <n v="4"/>
    <s v="Yes"/>
    <n v="20"/>
    <n v="4"/>
    <n v="2"/>
    <n v="1"/>
    <n v="9"/>
    <n v="3"/>
    <n v="2"/>
    <n v="1"/>
    <n v="0"/>
    <n v="0"/>
    <n v="0"/>
    <x v="3"/>
  </r>
  <r>
    <n v="40"/>
    <x v="1"/>
    <s v="Travel_Rarely"/>
    <n v="630"/>
    <s v="Sales"/>
    <n v="4"/>
    <n v="4"/>
    <s v="Marketing"/>
    <n v="215"/>
    <n v="3"/>
    <s v="Male"/>
    <n v="67"/>
    <n v="2"/>
    <n v="3"/>
    <s v="Sales Executive"/>
    <n v="4"/>
    <s v="Married"/>
    <n v="10855"/>
    <n v="8552"/>
    <n v="7"/>
    <s v="No"/>
    <n v="11"/>
    <n v="3"/>
    <n v="1"/>
    <n v="1"/>
    <n v="15"/>
    <n v="2"/>
    <n v="2"/>
    <n v="12"/>
    <n v="11"/>
    <n v="2"/>
    <n v="11"/>
    <x v="0"/>
  </r>
  <r>
    <n v="34"/>
    <x v="1"/>
    <s v="Travel_Frequently"/>
    <n v="303"/>
    <s v="Sales"/>
    <n v="2"/>
    <n v="4"/>
    <s v="Marketing"/>
    <n v="216"/>
    <n v="3"/>
    <s v="Female"/>
    <n v="75"/>
    <n v="3"/>
    <n v="1"/>
    <s v="Sales Representative"/>
    <n v="3"/>
    <s v="Married"/>
    <n v="2231"/>
    <n v="11314"/>
    <n v="6"/>
    <s v="No"/>
    <n v="18"/>
    <n v="3"/>
    <n v="4"/>
    <n v="1"/>
    <n v="6"/>
    <n v="3"/>
    <n v="3"/>
    <n v="4"/>
    <n v="3"/>
    <n v="1"/>
    <n v="2"/>
    <x v="2"/>
  </r>
  <r>
    <n v="22"/>
    <x v="1"/>
    <s v="Travel_Rarely"/>
    <n v="1256"/>
    <s v="Research &amp; Development"/>
    <n v="19"/>
    <n v="1"/>
    <s v="Medical"/>
    <n v="217"/>
    <n v="3"/>
    <s v="Male"/>
    <n v="80"/>
    <n v="3"/>
    <n v="1"/>
    <s v="Research Scientist"/>
    <n v="4"/>
    <s v="Married"/>
    <n v="2323"/>
    <n v="11992"/>
    <n v="1"/>
    <s v="No"/>
    <n v="24"/>
    <n v="4"/>
    <n v="1"/>
    <n v="2"/>
    <n v="2"/>
    <n v="6"/>
    <n v="3"/>
    <n v="2"/>
    <n v="2"/>
    <n v="2"/>
    <n v="2"/>
    <x v="2"/>
  </r>
  <r>
    <n v="27"/>
    <x v="1"/>
    <s v="Non-Travel"/>
    <n v="691"/>
    <s v="Research &amp; Development"/>
    <n v="9"/>
    <n v="3"/>
    <s v="Medical"/>
    <n v="218"/>
    <n v="4"/>
    <s v="Male"/>
    <n v="57"/>
    <n v="3"/>
    <n v="1"/>
    <s v="Research Scientist"/>
    <n v="2"/>
    <s v="Divorced"/>
    <n v="2024"/>
    <n v="5970"/>
    <n v="6"/>
    <s v="No"/>
    <n v="18"/>
    <n v="3"/>
    <n v="4"/>
    <n v="1"/>
    <n v="6"/>
    <n v="1"/>
    <n v="1"/>
    <n v="2"/>
    <n v="2"/>
    <n v="2"/>
    <n v="2"/>
    <x v="2"/>
  </r>
  <r>
    <n v="28"/>
    <x v="1"/>
    <s v="Travel_Rarely"/>
    <n v="440"/>
    <s v="Research &amp; Development"/>
    <n v="21"/>
    <n v="3"/>
    <s v="Medical"/>
    <n v="221"/>
    <n v="3"/>
    <s v="Male"/>
    <n v="42"/>
    <n v="3"/>
    <n v="1"/>
    <s v="Research Scientist"/>
    <n v="4"/>
    <s v="Married"/>
    <n v="2713"/>
    <n v="6672"/>
    <n v="1"/>
    <s v="No"/>
    <n v="11"/>
    <n v="3"/>
    <n v="3"/>
    <n v="1"/>
    <n v="5"/>
    <n v="2"/>
    <n v="1"/>
    <n v="5"/>
    <n v="2"/>
    <n v="0"/>
    <n v="2"/>
    <x v="2"/>
  </r>
  <r>
    <n v="57"/>
    <x v="1"/>
    <s v="Travel_Rarely"/>
    <n v="334"/>
    <s v="Research &amp; Development"/>
    <n v="24"/>
    <n v="2"/>
    <s v="Life Sciences"/>
    <n v="223"/>
    <n v="3"/>
    <s v="Male"/>
    <n v="83"/>
    <n v="4"/>
    <n v="3"/>
    <s v="Healthcare Representative"/>
    <n v="4"/>
    <s v="Divorced"/>
    <n v="9439"/>
    <n v="23402"/>
    <n v="3"/>
    <s v="Yes"/>
    <n v="16"/>
    <n v="3"/>
    <n v="2"/>
    <n v="1"/>
    <n v="12"/>
    <n v="2"/>
    <n v="1"/>
    <n v="5"/>
    <n v="3"/>
    <n v="1"/>
    <n v="4"/>
    <x v="3"/>
  </r>
  <r>
    <n v="27"/>
    <x v="1"/>
    <s v="Non-Travel"/>
    <n v="1450"/>
    <s v="Research &amp; Development"/>
    <n v="3"/>
    <n v="3"/>
    <s v="Medical"/>
    <n v="224"/>
    <n v="3"/>
    <s v="Male"/>
    <n v="79"/>
    <n v="2"/>
    <n v="1"/>
    <s v="Research Scientist"/>
    <n v="3"/>
    <s v="Divorced"/>
    <n v="2566"/>
    <n v="25326"/>
    <n v="1"/>
    <s v="Yes"/>
    <n v="15"/>
    <n v="3"/>
    <n v="4"/>
    <n v="1"/>
    <n v="1"/>
    <n v="2"/>
    <n v="2"/>
    <n v="1"/>
    <n v="1"/>
    <n v="0"/>
    <n v="1"/>
    <x v="2"/>
  </r>
  <r>
    <n v="50"/>
    <x v="1"/>
    <s v="Travel_Rarely"/>
    <n v="1452"/>
    <s v="Research &amp; Development"/>
    <n v="11"/>
    <n v="3"/>
    <s v="Life Sciences"/>
    <n v="226"/>
    <n v="3"/>
    <s v="Female"/>
    <n v="53"/>
    <n v="3"/>
    <n v="5"/>
    <s v="Manager"/>
    <n v="2"/>
    <s v="Single"/>
    <n v="19926"/>
    <n v="17053"/>
    <n v="3"/>
    <s v="No"/>
    <n v="15"/>
    <n v="3"/>
    <n v="2"/>
    <n v="0"/>
    <n v="21"/>
    <n v="5"/>
    <n v="3"/>
    <n v="5"/>
    <n v="4"/>
    <n v="4"/>
    <n v="4"/>
    <x v="1"/>
  </r>
  <r>
    <n v="41"/>
    <x v="1"/>
    <s v="Travel_Rarely"/>
    <n v="465"/>
    <s v="Research &amp; Development"/>
    <n v="14"/>
    <n v="3"/>
    <s v="Life Sciences"/>
    <n v="227"/>
    <n v="1"/>
    <s v="Male"/>
    <n v="56"/>
    <n v="3"/>
    <n v="1"/>
    <s v="Research Scientist"/>
    <n v="3"/>
    <s v="Divorced"/>
    <n v="2451"/>
    <n v="4609"/>
    <n v="4"/>
    <s v="No"/>
    <n v="12"/>
    <n v="3"/>
    <n v="1"/>
    <n v="1"/>
    <n v="13"/>
    <n v="2"/>
    <n v="3"/>
    <n v="9"/>
    <n v="8"/>
    <n v="1"/>
    <n v="8"/>
    <x v="0"/>
  </r>
  <r>
    <n v="30"/>
    <x v="1"/>
    <s v="Travel_Rarely"/>
    <n v="1339"/>
    <s v="Sales"/>
    <n v="5"/>
    <n v="3"/>
    <s v="Life Sciences"/>
    <n v="228"/>
    <n v="2"/>
    <s v="Female"/>
    <n v="41"/>
    <n v="3"/>
    <n v="3"/>
    <s v="Sales Executive"/>
    <n v="4"/>
    <s v="Married"/>
    <n v="9419"/>
    <n v="8053"/>
    <n v="2"/>
    <s v="No"/>
    <n v="12"/>
    <n v="3"/>
    <n v="3"/>
    <n v="1"/>
    <n v="12"/>
    <n v="2"/>
    <n v="3"/>
    <n v="10"/>
    <n v="9"/>
    <n v="7"/>
    <n v="4"/>
    <x v="2"/>
  </r>
  <r>
    <n v="38"/>
    <x v="1"/>
    <s v="Travel_Rarely"/>
    <n v="702"/>
    <s v="Sales"/>
    <n v="1"/>
    <n v="4"/>
    <s v="Life Sciences"/>
    <n v="230"/>
    <n v="1"/>
    <s v="Female"/>
    <n v="59"/>
    <n v="2"/>
    <n v="2"/>
    <s v="Sales Executive"/>
    <n v="4"/>
    <s v="Single"/>
    <n v="8686"/>
    <n v="12930"/>
    <n v="4"/>
    <s v="No"/>
    <n v="22"/>
    <n v="4"/>
    <n v="3"/>
    <n v="0"/>
    <n v="12"/>
    <n v="2"/>
    <n v="4"/>
    <n v="8"/>
    <n v="3"/>
    <n v="0"/>
    <n v="7"/>
    <x v="0"/>
  </r>
  <r>
    <n v="32"/>
    <x v="1"/>
    <s v="Travel_Rarely"/>
    <n v="120"/>
    <s v="Research &amp; Development"/>
    <n v="6"/>
    <n v="5"/>
    <s v="Life Sciences"/>
    <n v="231"/>
    <n v="3"/>
    <s v="Male"/>
    <n v="43"/>
    <n v="3"/>
    <n v="1"/>
    <s v="Research Scientist"/>
    <n v="3"/>
    <s v="Single"/>
    <n v="3038"/>
    <n v="12430"/>
    <n v="3"/>
    <s v="No"/>
    <n v="20"/>
    <n v="4"/>
    <n v="1"/>
    <n v="0"/>
    <n v="8"/>
    <n v="2"/>
    <n v="3"/>
    <n v="5"/>
    <n v="4"/>
    <n v="1"/>
    <n v="4"/>
    <x v="2"/>
  </r>
  <r>
    <n v="27"/>
    <x v="1"/>
    <s v="Travel_Rarely"/>
    <n v="1157"/>
    <s v="Research &amp; Development"/>
    <n v="17"/>
    <n v="3"/>
    <s v="Technical Degree"/>
    <n v="233"/>
    <n v="3"/>
    <s v="Male"/>
    <n v="51"/>
    <n v="3"/>
    <n v="1"/>
    <s v="Research Scientist"/>
    <n v="2"/>
    <s v="Married"/>
    <n v="3058"/>
    <n v="13364"/>
    <n v="0"/>
    <s v="Yes"/>
    <n v="16"/>
    <n v="3"/>
    <n v="4"/>
    <n v="1"/>
    <n v="6"/>
    <n v="3"/>
    <n v="2"/>
    <n v="5"/>
    <n v="2"/>
    <n v="1"/>
    <n v="1"/>
    <x v="2"/>
  </r>
  <r>
    <n v="19"/>
    <x v="0"/>
    <s v="Travel_Frequently"/>
    <n v="602"/>
    <s v="Sales"/>
    <n v="1"/>
    <n v="1"/>
    <s v="Technical Degree"/>
    <n v="235"/>
    <n v="3"/>
    <s v="Female"/>
    <n v="100"/>
    <n v="1"/>
    <n v="1"/>
    <s v="Sales Representative"/>
    <n v="1"/>
    <s v="Single"/>
    <n v="2325"/>
    <n v="20989"/>
    <n v="0"/>
    <s v="No"/>
    <n v="21"/>
    <n v="4"/>
    <n v="1"/>
    <n v="0"/>
    <n v="1"/>
    <n v="5"/>
    <n v="4"/>
    <n v="0"/>
    <n v="0"/>
    <n v="0"/>
    <n v="0"/>
    <x v="2"/>
  </r>
  <r>
    <n v="36"/>
    <x v="1"/>
    <s v="Travel_Frequently"/>
    <n v="1480"/>
    <s v="Research &amp; Development"/>
    <n v="3"/>
    <n v="2"/>
    <s v="Medical"/>
    <n v="238"/>
    <n v="4"/>
    <s v="Male"/>
    <n v="30"/>
    <n v="3"/>
    <n v="1"/>
    <s v="Laboratory Technician"/>
    <n v="2"/>
    <s v="Single"/>
    <n v="2088"/>
    <n v="15062"/>
    <n v="4"/>
    <s v="No"/>
    <n v="12"/>
    <n v="3"/>
    <n v="3"/>
    <n v="0"/>
    <n v="13"/>
    <n v="3"/>
    <n v="2"/>
    <n v="8"/>
    <n v="7"/>
    <n v="7"/>
    <n v="2"/>
    <x v="0"/>
  </r>
  <r>
    <n v="30"/>
    <x v="1"/>
    <s v="Non-Travel"/>
    <n v="111"/>
    <s v="Research &amp; Development"/>
    <n v="9"/>
    <n v="3"/>
    <s v="Medical"/>
    <n v="239"/>
    <n v="3"/>
    <s v="Male"/>
    <n v="66"/>
    <n v="3"/>
    <n v="2"/>
    <s v="Laboratory Technician"/>
    <n v="1"/>
    <s v="Divorced"/>
    <n v="3072"/>
    <n v="11012"/>
    <n v="1"/>
    <s v="No"/>
    <n v="11"/>
    <n v="3"/>
    <n v="3"/>
    <n v="2"/>
    <n v="12"/>
    <n v="4"/>
    <n v="3"/>
    <n v="12"/>
    <n v="9"/>
    <n v="6"/>
    <n v="10"/>
    <x v="2"/>
  </r>
  <r>
    <n v="45"/>
    <x v="1"/>
    <s v="Travel_Rarely"/>
    <n v="1268"/>
    <s v="Sales"/>
    <n v="4"/>
    <n v="2"/>
    <s v="Life Sciences"/>
    <n v="240"/>
    <n v="3"/>
    <s v="Female"/>
    <n v="30"/>
    <n v="3"/>
    <n v="2"/>
    <s v="Sales Executive"/>
    <n v="1"/>
    <s v="Divorced"/>
    <n v="5006"/>
    <n v="6319"/>
    <n v="4"/>
    <s v="Yes"/>
    <n v="11"/>
    <n v="3"/>
    <n v="1"/>
    <n v="1"/>
    <n v="9"/>
    <n v="3"/>
    <n v="4"/>
    <n v="5"/>
    <n v="4"/>
    <n v="0"/>
    <n v="3"/>
    <x v="1"/>
  </r>
  <r>
    <n v="56"/>
    <x v="1"/>
    <s v="Travel_Rarely"/>
    <n v="713"/>
    <s v="Research &amp; Development"/>
    <n v="8"/>
    <n v="3"/>
    <s v="Life Sciences"/>
    <n v="241"/>
    <n v="3"/>
    <s v="Female"/>
    <n v="67"/>
    <n v="3"/>
    <n v="1"/>
    <s v="Research Scientist"/>
    <n v="1"/>
    <s v="Divorced"/>
    <n v="4257"/>
    <n v="13939"/>
    <n v="4"/>
    <s v="Yes"/>
    <n v="18"/>
    <n v="3"/>
    <n v="3"/>
    <n v="1"/>
    <n v="19"/>
    <n v="3"/>
    <n v="3"/>
    <n v="2"/>
    <n v="2"/>
    <n v="2"/>
    <n v="2"/>
    <x v="3"/>
  </r>
  <r>
    <n v="33"/>
    <x v="1"/>
    <s v="Travel_Rarely"/>
    <n v="134"/>
    <s v="Research &amp; Development"/>
    <n v="2"/>
    <n v="3"/>
    <s v="Life Sciences"/>
    <n v="242"/>
    <n v="3"/>
    <s v="Male"/>
    <n v="90"/>
    <n v="3"/>
    <n v="1"/>
    <s v="Research Scientist"/>
    <n v="4"/>
    <s v="Single"/>
    <n v="2500"/>
    <n v="10515"/>
    <n v="0"/>
    <s v="No"/>
    <n v="14"/>
    <n v="3"/>
    <n v="1"/>
    <n v="0"/>
    <n v="4"/>
    <n v="2"/>
    <n v="4"/>
    <n v="3"/>
    <n v="1"/>
    <n v="0"/>
    <n v="2"/>
    <x v="2"/>
  </r>
  <r>
    <n v="19"/>
    <x v="0"/>
    <s v="Travel_Rarely"/>
    <n v="303"/>
    <s v="Research &amp; Development"/>
    <n v="2"/>
    <n v="3"/>
    <s v="Life Sciences"/>
    <n v="243"/>
    <n v="2"/>
    <s v="Male"/>
    <n v="47"/>
    <n v="2"/>
    <n v="1"/>
    <s v="Laboratory Technician"/>
    <n v="4"/>
    <s v="Single"/>
    <n v="1102"/>
    <n v="9241"/>
    <n v="1"/>
    <s v="No"/>
    <n v="22"/>
    <n v="4"/>
    <n v="3"/>
    <n v="0"/>
    <n v="1"/>
    <n v="3"/>
    <n v="2"/>
    <n v="1"/>
    <n v="0"/>
    <n v="1"/>
    <n v="0"/>
    <x v="2"/>
  </r>
  <r>
    <n v="46"/>
    <x v="1"/>
    <s v="Travel_Rarely"/>
    <n v="526"/>
    <s v="Sales"/>
    <n v="1"/>
    <n v="2"/>
    <s v="Marketing"/>
    <n v="244"/>
    <n v="2"/>
    <s v="Female"/>
    <n v="92"/>
    <n v="3"/>
    <n v="3"/>
    <s v="Sales Executive"/>
    <n v="1"/>
    <s v="Divorced"/>
    <n v="10453"/>
    <n v="2137"/>
    <n v="1"/>
    <s v="No"/>
    <n v="25"/>
    <n v="4"/>
    <n v="3"/>
    <n v="3"/>
    <n v="24"/>
    <n v="2"/>
    <n v="3"/>
    <n v="24"/>
    <n v="13"/>
    <n v="15"/>
    <n v="7"/>
    <x v="1"/>
  </r>
  <r>
    <n v="38"/>
    <x v="1"/>
    <s v="Travel_Rarely"/>
    <n v="1380"/>
    <s v="Research &amp; Development"/>
    <n v="9"/>
    <n v="2"/>
    <s v="Life Sciences"/>
    <n v="245"/>
    <n v="3"/>
    <s v="Female"/>
    <n v="75"/>
    <n v="3"/>
    <n v="1"/>
    <s v="Laboratory Technician"/>
    <n v="4"/>
    <s v="Single"/>
    <n v="2288"/>
    <n v="6319"/>
    <n v="1"/>
    <s v="No"/>
    <n v="12"/>
    <n v="3"/>
    <n v="3"/>
    <n v="0"/>
    <n v="2"/>
    <n v="3"/>
    <n v="3"/>
    <n v="2"/>
    <n v="2"/>
    <n v="2"/>
    <n v="1"/>
    <x v="0"/>
  </r>
  <r>
    <n v="31"/>
    <x v="1"/>
    <s v="Travel_Rarely"/>
    <n v="140"/>
    <s v="Research &amp; Development"/>
    <n v="12"/>
    <n v="1"/>
    <s v="Medical"/>
    <n v="246"/>
    <n v="3"/>
    <s v="Female"/>
    <n v="95"/>
    <n v="3"/>
    <n v="1"/>
    <s v="Research Scientist"/>
    <n v="4"/>
    <s v="Married"/>
    <n v="3929"/>
    <n v="6984"/>
    <n v="8"/>
    <s v="Yes"/>
    <n v="23"/>
    <n v="4"/>
    <n v="3"/>
    <n v="1"/>
    <n v="7"/>
    <n v="0"/>
    <n v="3"/>
    <n v="4"/>
    <n v="2"/>
    <n v="0"/>
    <n v="2"/>
    <x v="2"/>
  </r>
  <r>
    <n v="34"/>
    <x v="1"/>
    <s v="Travel_Rarely"/>
    <n v="629"/>
    <s v="Research &amp; Development"/>
    <n v="27"/>
    <n v="2"/>
    <s v="Medical"/>
    <n v="247"/>
    <n v="4"/>
    <s v="Female"/>
    <n v="95"/>
    <n v="3"/>
    <n v="1"/>
    <s v="Research Scientist"/>
    <n v="2"/>
    <s v="Single"/>
    <n v="2311"/>
    <n v="5711"/>
    <n v="2"/>
    <s v="No"/>
    <n v="15"/>
    <n v="3"/>
    <n v="4"/>
    <n v="0"/>
    <n v="9"/>
    <n v="3"/>
    <n v="3"/>
    <n v="3"/>
    <n v="2"/>
    <n v="1"/>
    <n v="2"/>
    <x v="2"/>
  </r>
  <r>
    <n v="41"/>
    <x v="0"/>
    <s v="Travel_Rarely"/>
    <n v="1356"/>
    <s v="Sales"/>
    <n v="20"/>
    <n v="2"/>
    <s v="Marketing"/>
    <n v="248"/>
    <n v="2"/>
    <s v="Female"/>
    <n v="70"/>
    <n v="3"/>
    <n v="1"/>
    <s v="Sales Representative"/>
    <n v="2"/>
    <s v="Single"/>
    <n v="3140"/>
    <n v="21728"/>
    <n v="1"/>
    <s v="Yes"/>
    <n v="22"/>
    <n v="4"/>
    <n v="4"/>
    <n v="0"/>
    <n v="4"/>
    <n v="5"/>
    <n v="2"/>
    <n v="4"/>
    <n v="3"/>
    <n v="0"/>
    <n v="2"/>
    <x v="0"/>
  </r>
  <r>
    <n v="50"/>
    <x v="1"/>
    <s v="Travel_Rarely"/>
    <n v="328"/>
    <s v="Research &amp; Development"/>
    <n v="1"/>
    <n v="3"/>
    <s v="Medical"/>
    <n v="249"/>
    <n v="3"/>
    <s v="Male"/>
    <n v="86"/>
    <n v="2"/>
    <n v="1"/>
    <s v="Laboratory Technician"/>
    <n v="3"/>
    <s v="Married"/>
    <n v="3690"/>
    <n v="3425"/>
    <n v="2"/>
    <s v="No"/>
    <n v="15"/>
    <n v="3"/>
    <n v="4"/>
    <n v="1"/>
    <n v="5"/>
    <n v="2"/>
    <n v="2"/>
    <n v="3"/>
    <n v="2"/>
    <n v="0"/>
    <n v="2"/>
    <x v="1"/>
  </r>
  <r>
    <n v="53"/>
    <x v="1"/>
    <s v="Travel_Rarely"/>
    <n v="1084"/>
    <s v="Research &amp; Development"/>
    <n v="13"/>
    <n v="2"/>
    <s v="Medical"/>
    <n v="250"/>
    <n v="4"/>
    <s v="Female"/>
    <n v="57"/>
    <n v="4"/>
    <n v="2"/>
    <s v="Manufacturing Director"/>
    <n v="1"/>
    <s v="Divorced"/>
    <n v="4450"/>
    <n v="26250"/>
    <n v="1"/>
    <s v="No"/>
    <n v="11"/>
    <n v="3"/>
    <n v="3"/>
    <n v="2"/>
    <n v="5"/>
    <n v="3"/>
    <n v="3"/>
    <n v="4"/>
    <n v="2"/>
    <n v="1"/>
    <n v="3"/>
    <x v="1"/>
  </r>
  <r>
    <n v="33"/>
    <x v="1"/>
    <s v="Travel_Rarely"/>
    <n v="931"/>
    <s v="Research &amp; Development"/>
    <n v="14"/>
    <n v="3"/>
    <s v="Medical"/>
    <n v="252"/>
    <n v="4"/>
    <s v="Female"/>
    <n v="72"/>
    <n v="3"/>
    <n v="1"/>
    <s v="Research Scientist"/>
    <n v="2"/>
    <s v="Married"/>
    <n v="2756"/>
    <n v="4673"/>
    <n v="1"/>
    <s v="No"/>
    <n v="13"/>
    <n v="3"/>
    <n v="4"/>
    <n v="1"/>
    <n v="8"/>
    <n v="5"/>
    <n v="3"/>
    <n v="8"/>
    <n v="7"/>
    <n v="1"/>
    <n v="6"/>
    <x v="2"/>
  </r>
  <r>
    <n v="40"/>
    <x v="1"/>
    <s v="Travel_Rarely"/>
    <n v="989"/>
    <s v="Research &amp; Development"/>
    <n v="4"/>
    <n v="1"/>
    <s v="Medical"/>
    <n v="253"/>
    <n v="4"/>
    <s v="Female"/>
    <n v="46"/>
    <n v="3"/>
    <n v="5"/>
    <s v="Manager"/>
    <n v="3"/>
    <s v="Married"/>
    <n v="19033"/>
    <n v="6499"/>
    <n v="1"/>
    <s v="No"/>
    <n v="14"/>
    <n v="3"/>
    <n v="2"/>
    <n v="1"/>
    <n v="21"/>
    <n v="2"/>
    <n v="3"/>
    <n v="20"/>
    <n v="8"/>
    <n v="9"/>
    <n v="9"/>
    <x v="0"/>
  </r>
  <r>
    <n v="55"/>
    <x v="1"/>
    <s v="Travel_Rarely"/>
    <n v="692"/>
    <s v="Research &amp; Development"/>
    <n v="14"/>
    <n v="4"/>
    <s v="Medical"/>
    <n v="254"/>
    <n v="3"/>
    <s v="Male"/>
    <n v="61"/>
    <n v="4"/>
    <n v="5"/>
    <s v="Research Director"/>
    <n v="2"/>
    <s v="Single"/>
    <n v="18722"/>
    <n v="13339"/>
    <n v="8"/>
    <s v="No"/>
    <n v="11"/>
    <n v="3"/>
    <n v="4"/>
    <n v="0"/>
    <n v="36"/>
    <n v="3"/>
    <n v="3"/>
    <n v="24"/>
    <n v="15"/>
    <n v="2"/>
    <n v="15"/>
    <x v="3"/>
  </r>
  <r>
    <n v="34"/>
    <x v="1"/>
    <s v="Travel_Frequently"/>
    <n v="1069"/>
    <s v="Research &amp; Development"/>
    <n v="2"/>
    <n v="1"/>
    <s v="Life Sciences"/>
    <n v="256"/>
    <n v="4"/>
    <s v="Male"/>
    <n v="45"/>
    <n v="2"/>
    <n v="2"/>
    <s v="Manufacturing Director"/>
    <n v="3"/>
    <s v="Married"/>
    <n v="9547"/>
    <n v="14074"/>
    <n v="1"/>
    <s v="No"/>
    <n v="17"/>
    <n v="3"/>
    <n v="3"/>
    <n v="0"/>
    <n v="10"/>
    <n v="2"/>
    <n v="2"/>
    <n v="10"/>
    <n v="9"/>
    <n v="1"/>
    <n v="9"/>
    <x v="2"/>
  </r>
  <r>
    <n v="51"/>
    <x v="1"/>
    <s v="Travel_Rarely"/>
    <n v="313"/>
    <s v="Research &amp; Development"/>
    <n v="3"/>
    <n v="3"/>
    <s v="Medical"/>
    <n v="258"/>
    <n v="4"/>
    <s v="Female"/>
    <n v="98"/>
    <n v="3"/>
    <n v="4"/>
    <s v="Healthcare Representative"/>
    <n v="2"/>
    <s v="Single"/>
    <n v="13734"/>
    <n v="7192"/>
    <n v="3"/>
    <s v="No"/>
    <n v="18"/>
    <n v="3"/>
    <n v="3"/>
    <n v="0"/>
    <n v="21"/>
    <n v="6"/>
    <n v="3"/>
    <n v="7"/>
    <n v="7"/>
    <n v="1"/>
    <n v="0"/>
    <x v="1"/>
  </r>
  <r>
    <n v="52"/>
    <x v="1"/>
    <s v="Travel_Rarely"/>
    <n v="699"/>
    <s v="Research &amp; Development"/>
    <n v="1"/>
    <n v="4"/>
    <s v="Life Sciences"/>
    <n v="259"/>
    <n v="3"/>
    <s v="Male"/>
    <n v="65"/>
    <n v="2"/>
    <n v="5"/>
    <s v="Manager"/>
    <n v="3"/>
    <s v="Married"/>
    <n v="19999"/>
    <n v="5678"/>
    <n v="0"/>
    <s v="No"/>
    <n v="14"/>
    <n v="3"/>
    <n v="1"/>
    <n v="1"/>
    <n v="34"/>
    <n v="5"/>
    <n v="3"/>
    <n v="33"/>
    <n v="18"/>
    <n v="11"/>
    <n v="9"/>
    <x v="1"/>
  </r>
  <r>
    <n v="27"/>
    <x v="1"/>
    <s v="Travel_Rarely"/>
    <n v="894"/>
    <s v="Research &amp; Development"/>
    <n v="9"/>
    <n v="3"/>
    <s v="Medical"/>
    <n v="260"/>
    <n v="4"/>
    <s v="Female"/>
    <n v="99"/>
    <n v="3"/>
    <n v="1"/>
    <s v="Research Scientist"/>
    <n v="2"/>
    <s v="Single"/>
    <n v="2279"/>
    <n v="11781"/>
    <n v="1"/>
    <s v="No"/>
    <n v="16"/>
    <n v="3"/>
    <n v="4"/>
    <n v="0"/>
    <n v="7"/>
    <n v="2"/>
    <n v="2"/>
    <n v="7"/>
    <n v="7"/>
    <n v="0"/>
    <n v="3"/>
    <x v="2"/>
  </r>
  <r>
    <n v="35"/>
    <x v="0"/>
    <s v="Travel_Rarely"/>
    <n v="556"/>
    <s v="Research &amp; Development"/>
    <n v="23"/>
    <n v="2"/>
    <s v="Life Sciences"/>
    <n v="261"/>
    <n v="2"/>
    <s v="Male"/>
    <n v="50"/>
    <n v="2"/>
    <n v="2"/>
    <s v="Manufacturing Director"/>
    <n v="3"/>
    <s v="Married"/>
    <n v="5916"/>
    <n v="15497"/>
    <n v="3"/>
    <s v="Yes"/>
    <n v="13"/>
    <n v="3"/>
    <n v="1"/>
    <n v="0"/>
    <n v="8"/>
    <n v="1"/>
    <n v="3"/>
    <n v="1"/>
    <n v="0"/>
    <n v="0"/>
    <n v="1"/>
    <x v="0"/>
  </r>
  <r>
    <n v="43"/>
    <x v="1"/>
    <s v="Non-Travel"/>
    <n v="1344"/>
    <s v="Research &amp; Development"/>
    <n v="7"/>
    <n v="3"/>
    <s v="Medical"/>
    <n v="262"/>
    <n v="4"/>
    <s v="Male"/>
    <n v="37"/>
    <n v="4"/>
    <n v="1"/>
    <s v="Research Scientist"/>
    <n v="4"/>
    <s v="Divorced"/>
    <n v="2089"/>
    <n v="5228"/>
    <n v="4"/>
    <s v="No"/>
    <n v="14"/>
    <n v="3"/>
    <n v="4"/>
    <n v="3"/>
    <n v="7"/>
    <n v="3"/>
    <n v="4"/>
    <n v="5"/>
    <n v="4"/>
    <n v="2"/>
    <n v="2"/>
    <x v="0"/>
  </r>
  <r>
    <n v="45"/>
    <x v="1"/>
    <s v="Non-Travel"/>
    <n v="1195"/>
    <s v="Research &amp; Development"/>
    <n v="2"/>
    <n v="2"/>
    <s v="Medical"/>
    <n v="264"/>
    <n v="1"/>
    <s v="Male"/>
    <n v="65"/>
    <n v="2"/>
    <n v="4"/>
    <s v="Manager"/>
    <n v="4"/>
    <s v="Married"/>
    <n v="16792"/>
    <n v="20462"/>
    <n v="9"/>
    <s v="No"/>
    <n v="23"/>
    <n v="4"/>
    <n v="4"/>
    <n v="1"/>
    <n v="22"/>
    <n v="1"/>
    <n v="3"/>
    <n v="20"/>
    <n v="8"/>
    <n v="11"/>
    <n v="8"/>
    <x v="1"/>
  </r>
  <r>
    <n v="37"/>
    <x v="1"/>
    <s v="Travel_Rarely"/>
    <n v="290"/>
    <s v="Research &amp; Development"/>
    <n v="21"/>
    <n v="3"/>
    <s v="Life Sciences"/>
    <n v="267"/>
    <n v="2"/>
    <s v="Male"/>
    <n v="65"/>
    <n v="4"/>
    <n v="1"/>
    <s v="Research Scientist"/>
    <n v="1"/>
    <s v="Married"/>
    <n v="3564"/>
    <n v="22977"/>
    <n v="1"/>
    <s v="Yes"/>
    <n v="12"/>
    <n v="3"/>
    <n v="1"/>
    <n v="1"/>
    <n v="8"/>
    <n v="3"/>
    <n v="2"/>
    <n v="8"/>
    <n v="7"/>
    <n v="1"/>
    <n v="7"/>
    <x v="0"/>
  </r>
  <r>
    <n v="35"/>
    <x v="1"/>
    <s v="Travel_Frequently"/>
    <n v="138"/>
    <s v="Research &amp; Development"/>
    <n v="2"/>
    <n v="3"/>
    <s v="Medical"/>
    <n v="269"/>
    <n v="2"/>
    <s v="Female"/>
    <n v="37"/>
    <n v="3"/>
    <n v="2"/>
    <s v="Laboratory Technician"/>
    <n v="2"/>
    <s v="Single"/>
    <n v="4425"/>
    <n v="15986"/>
    <n v="5"/>
    <s v="No"/>
    <n v="11"/>
    <n v="3"/>
    <n v="4"/>
    <n v="0"/>
    <n v="10"/>
    <n v="5"/>
    <n v="3"/>
    <n v="6"/>
    <n v="2"/>
    <n v="1"/>
    <n v="2"/>
    <x v="0"/>
  </r>
  <r>
    <n v="42"/>
    <x v="1"/>
    <s v="Non-Travel"/>
    <n v="926"/>
    <s v="Research &amp; Development"/>
    <n v="21"/>
    <n v="2"/>
    <s v="Medical"/>
    <n v="270"/>
    <n v="3"/>
    <s v="Female"/>
    <n v="36"/>
    <n v="3"/>
    <n v="2"/>
    <s v="Manufacturing Director"/>
    <n v="3"/>
    <s v="Divorced"/>
    <n v="5265"/>
    <n v="16439"/>
    <n v="2"/>
    <s v="No"/>
    <n v="16"/>
    <n v="3"/>
    <n v="2"/>
    <n v="1"/>
    <n v="11"/>
    <n v="5"/>
    <n v="3"/>
    <n v="5"/>
    <n v="3"/>
    <n v="0"/>
    <n v="2"/>
    <x v="0"/>
  </r>
  <r>
    <n v="38"/>
    <x v="1"/>
    <s v="Travel_Rarely"/>
    <n v="1261"/>
    <s v="Research &amp; Development"/>
    <n v="2"/>
    <n v="4"/>
    <s v="Life Sciences"/>
    <n v="271"/>
    <n v="4"/>
    <s v="Male"/>
    <n v="88"/>
    <n v="3"/>
    <n v="2"/>
    <s v="Manufacturing Director"/>
    <n v="3"/>
    <s v="Married"/>
    <n v="6553"/>
    <n v="7259"/>
    <n v="9"/>
    <s v="No"/>
    <n v="14"/>
    <n v="3"/>
    <n v="2"/>
    <n v="0"/>
    <n v="14"/>
    <n v="3"/>
    <n v="3"/>
    <n v="1"/>
    <n v="0"/>
    <n v="0"/>
    <n v="0"/>
    <x v="0"/>
  </r>
  <r>
    <n v="38"/>
    <x v="1"/>
    <s v="Travel_Rarely"/>
    <n v="1084"/>
    <s v="Research &amp; Development"/>
    <n v="29"/>
    <n v="3"/>
    <s v="Technical Degree"/>
    <n v="273"/>
    <n v="4"/>
    <s v="Male"/>
    <n v="54"/>
    <n v="3"/>
    <n v="2"/>
    <s v="Manufacturing Director"/>
    <n v="4"/>
    <s v="Married"/>
    <n v="6261"/>
    <n v="4185"/>
    <n v="3"/>
    <s v="No"/>
    <n v="18"/>
    <n v="3"/>
    <n v="1"/>
    <n v="1"/>
    <n v="9"/>
    <n v="3"/>
    <n v="1"/>
    <n v="7"/>
    <n v="7"/>
    <n v="1"/>
    <n v="7"/>
    <x v="0"/>
  </r>
  <r>
    <n v="27"/>
    <x v="1"/>
    <s v="Travel_Frequently"/>
    <n v="472"/>
    <s v="Research &amp; Development"/>
    <n v="1"/>
    <n v="1"/>
    <s v="Technical Degree"/>
    <n v="274"/>
    <n v="3"/>
    <s v="Male"/>
    <n v="60"/>
    <n v="2"/>
    <n v="2"/>
    <s v="Manufacturing Director"/>
    <n v="1"/>
    <s v="Married"/>
    <n v="4298"/>
    <n v="9679"/>
    <n v="5"/>
    <s v="No"/>
    <n v="19"/>
    <n v="3"/>
    <n v="3"/>
    <n v="1"/>
    <n v="6"/>
    <n v="1"/>
    <n v="3"/>
    <n v="2"/>
    <n v="2"/>
    <n v="2"/>
    <n v="0"/>
    <x v="2"/>
  </r>
  <r>
    <n v="49"/>
    <x v="1"/>
    <s v="Non-Travel"/>
    <n v="1002"/>
    <s v="Research &amp; Development"/>
    <n v="18"/>
    <n v="4"/>
    <s v="Life Sciences"/>
    <n v="275"/>
    <n v="4"/>
    <s v="Male"/>
    <n v="92"/>
    <n v="3"/>
    <n v="2"/>
    <s v="Manufacturing Director"/>
    <n v="4"/>
    <s v="Divorced"/>
    <n v="6804"/>
    <n v="23793"/>
    <n v="1"/>
    <s v="Yes"/>
    <n v="15"/>
    <n v="3"/>
    <n v="1"/>
    <n v="2"/>
    <n v="7"/>
    <n v="0"/>
    <n v="3"/>
    <n v="7"/>
    <n v="7"/>
    <n v="1"/>
    <n v="7"/>
    <x v="1"/>
  </r>
  <r>
    <n v="34"/>
    <x v="1"/>
    <s v="Travel_Frequently"/>
    <n v="878"/>
    <s v="Research &amp; Development"/>
    <n v="10"/>
    <n v="4"/>
    <s v="Medical"/>
    <n v="277"/>
    <n v="4"/>
    <s v="Male"/>
    <n v="43"/>
    <n v="3"/>
    <n v="1"/>
    <s v="Research Scientist"/>
    <n v="3"/>
    <s v="Divorced"/>
    <n v="3815"/>
    <n v="5972"/>
    <n v="1"/>
    <s v="Yes"/>
    <n v="17"/>
    <n v="3"/>
    <n v="4"/>
    <n v="1"/>
    <n v="5"/>
    <n v="4"/>
    <n v="4"/>
    <n v="5"/>
    <n v="3"/>
    <n v="2"/>
    <n v="0"/>
    <x v="2"/>
  </r>
  <r>
    <n v="40"/>
    <x v="1"/>
    <s v="Travel_Rarely"/>
    <n v="905"/>
    <s v="Research &amp; Development"/>
    <n v="19"/>
    <n v="2"/>
    <s v="Medical"/>
    <n v="281"/>
    <n v="3"/>
    <s v="Male"/>
    <n v="99"/>
    <n v="3"/>
    <n v="2"/>
    <s v="Laboratory Technician"/>
    <n v="4"/>
    <s v="Married"/>
    <n v="2741"/>
    <n v="16523"/>
    <n v="8"/>
    <s v="Yes"/>
    <n v="15"/>
    <n v="3"/>
    <n v="3"/>
    <n v="1"/>
    <n v="15"/>
    <n v="2"/>
    <n v="4"/>
    <n v="7"/>
    <n v="2"/>
    <n v="3"/>
    <n v="7"/>
    <x v="0"/>
  </r>
  <r>
    <n v="38"/>
    <x v="0"/>
    <s v="Travel_Rarely"/>
    <n v="1180"/>
    <s v="Research &amp; Development"/>
    <n v="29"/>
    <n v="1"/>
    <s v="Medical"/>
    <n v="282"/>
    <n v="2"/>
    <s v="Male"/>
    <n v="70"/>
    <n v="3"/>
    <n v="2"/>
    <s v="Healthcare Representative"/>
    <n v="1"/>
    <s v="Married"/>
    <n v="6673"/>
    <n v="11354"/>
    <n v="7"/>
    <s v="Yes"/>
    <n v="19"/>
    <n v="3"/>
    <n v="2"/>
    <n v="0"/>
    <n v="17"/>
    <n v="2"/>
    <n v="3"/>
    <n v="1"/>
    <n v="0"/>
    <n v="0"/>
    <n v="0"/>
    <x v="0"/>
  </r>
  <r>
    <n v="29"/>
    <x v="0"/>
    <s v="Travel_Rarely"/>
    <n v="121"/>
    <s v="Sales"/>
    <n v="27"/>
    <n v="3"/>
    <s v="Marketing"/>
    <n v="283"/>
    <n v="2"/>
    <s v="Female"/>
    <n v="35"/>
    <n v="3"/>
    <n v="3"/>
    <s v="Sales Executive"/>
    <n v="4"/>
    <s v="Married"/>
    <n v="7639"/>
    <n v="24525"/>
    <n v="1"/>
    <s v="No"/>
    <n v="22"/>
    <n v="4"/>
    <n v="4"/>
    <n v="3"/>
    <n v="10"/>
    <n v="3"/>
    <n v="2"/>
    <n v="10"/>
    <n v="4"/>
    <n v="1"/>
    <n v="9"/>
    <x v="2"/>
  </r>
  <r>
    <n v="22"/>
    <x v="1"/>
    <s v="Travel_Rarely"/>
    <n v="1136"/>
    <s v="Research &amp; Development"/>
    <n v="5"/>
    <n v="3"/>
    <s v="Life Sciences"/>
    <n v="284"/>
    <n v="4"/>
    <s v="Male"/>
    <n v="60"/>
    <n v="4"/>
    <n v="1"/>
    <s v="Research Scientist"/>
    <n v="2"/>
    <s v="Divorced"/>
    <n v="2328"/>
    <n v="12392"/>
    <n v="1"/>
    <s v="Yes"/>
    <n v="16"/>
    <n v="3"/>
    <n v="1"/>
    <n v="1"/>
    <n v="4"/>
    <n v="2"/>
    <n v="2"/>
    <n v="4"/>
    <n v="2"/>
    <n v="2"/>
    <n v="2"/>
    <x v="2"/>
  </r>
  <r>
    <n v="36"/>
    <x v="1"/>
    <s v="Travel_Frequently"/>
    <n v="635"/>
    <s v="Research &amp; Development"/>
    <n v="18"/>
    <n v="1"/>
    <s v="Medical"/>
    <n v="286"/>
    <n v="2"/>
    <s v="Female"/>
    <n v="73"/>
    <n v="3"/>
    <n v="1"/>
    <s v="Laboratory Technician"/>
    <n v="4"/>
    <s v="Single"/>
    <n v="2153"/>
    <n v="7703"/>
    <n v="1"/>
    <s v="No"/>
    <n v="13"/>
    <n v="3"/>
    <n v="1"/>
    <n v="0"/>
    <n v="8"/>
    <n v="2"/>
    <n v="3"/>
    <n v="8"/>
    <n v="1"/>
    <n v="1"/>
    <n v="7"/>
    <x v="0"/>
  </r>
  <r>
    <n v="40"/>
    <x v="1"/>
    <s v="Non-Travel"/>
    <n v="1151"/>
    <s v="Research &amp; Development"/>
    <n v="9"/>
    <n v="5"/>
    <s v="Life Sciences"/>
    <n v="287"/>
    <n v="4"/>
    <s v="Male"/>
    <n v="63"/>
    <n v="2"/>
    <n v="2"/>
    <s v="Healthcare Representative"/>
    <n v="4"/>
    <s v="Married"/>
    <n v="4876"/>
    <n v="14242"/>
    <n v="9"/>
    <s v="No"/>
    <n v="14"/>
    <n v="3"/>
    <n v="4"/>
    <n v="1"/>
    <n v="5"/>
    <n v="5"/>
    <n v="1"/>
    <n v="3"/>
    <n v="2"/>
    <n v="0"/>
    <n v="2"/>
    <x v="0"/>
  </r>
  <r>
    <n v="46"/>
    <x v="1"/>
    <s v="Travel_Rarely"/>
    <n v="644"/>
    <s v="Research &amp; Development"/>
    <n v="1"/>
    <n v="4"/>
    <s v="Medical"/>
    <n v="288"/>
    <n v="4"/>
    <s v="Male"/>
    <n v="97"/>
    <n v="3"/>
    <n v="3"/>
    <s v="Healthcare Representative"/>
    <n v="1"/>
    <s v="Divorced"/>
    <n v="9396"/>
    <n v="12368"/>
    <n v="7"/>
    <s v="No"/>
    <n v="16"/>
    <n v="3"/>
    <n v="3"/>
    <n v="1"/>
    <n v="17"/>
    <n v="3"/>
    <n v="3"/>
    <n v="4"/>
    <n v="2"/>
    <n v="0"/>
    <n v="3"/>
    <x v="1"/>
  </r>
  <r>
    <n v="32"/>
    <x v="0"/>
    <s v="Travel_Rarely"/>
    <n v="1045"/>
    <s v="Sales"/>
    <n v="4"/>
    <n v="4"/>
    <s v="Medical"/>
    <n v="291"/>
    <n v="4"/>
    <s v="Male"/>
    <n v="32"/>
    <n v="1"/>
    <n v="3"/>
    <s v="Sales Executive"/>
    <n v="4"/>
    <s v="Married"/>
    <n v="10400"/>
    <n v="25812"/>
    <n v="1"/>
    <s v="No"/>
    <n v="11"/>
    <n v="3"/>
    <n v="3"/>
    <n v="0"/>
    <n v="14"/>
    <n v="2"/>
    <n v="2"/>
    <n v="14"/>
    <n v="8"/>
    <n v="9"/>
    <n v="8"/>
    <x v="2"/>
  </r>
  <r>
    <n v="30"/>
    <x v="1"/>
    <s v="Non-Travel"/>
    <n v="829"/>
    <s v="Research &amp; Development"/>
    <n v="1"/>
    <n v="1"/>
    <s v="Life Sciences"/>
    <n v="292"/>
    <n v="3"/>
    <s v="Male"/>
    <n v="88"/>
    <n v="2"/>
    <n v="3"/>
    <s v="Manufacturing Director"/>
    <n v="3"/>
    <s v="Single"/>
    <n v="8474"/>
    <n v="20925"/>
    <n v="1"/>
    <s v="No"/>
    <n v="22"/>
    <n v="4"/>
    <n v="3"/>
    <n v="0"/>
    <n v="12"/>
    <n v="2"/>
    <n v="3"/>
    <n v="11"/>
    <n v="8"/>
    <n v="5"/>
    <n v="8"/>
    <x v="2"/>
  </r>
  <r>
    <n v="27"/>
    <x v="1"/>
    <s v="Travel_Frequently"/>
    <n v="1242"/>
    <s v="Sales"/>
    <n v="20"/>
    <n v="3"/>
    <s v="Life Sciences"/>
    <n v="293"/>
    <n v="4"/>
    <s v="Female"/>
    <n v="90"/>
    <n v="3"/>
    <n v="2"/>
    <s v="Sales Executive"/>
    <n v="3"/>
    <s v="Single"/>
    <n v="9981"/>
    <n v="12916"/>
    <n v="1"/>
    <s v="No"/>
    <n v="14"/>
    <n v="3"/>
    <n v="4"/>
    <n v="0"/>
    <n v="7"/>
    <n v="2"/>
    <n v="3"/>
    <n v="7"/>
    <n v="7"/>
    <n v="0"/>
    <n v="7"/>
    <x v="2"/>
  </r>
  <r>
    <n v="51"/>
    <x v="1"/>
    <s v="Travel_Rarely"/>
    <n v="1469"/>
    <s v="Research &amp; Development"/>
    <n v="8"/>
    <n v="4"/>
    <s v="Life Sciences"/>
    <n v="296"/>
    <n v="2"/>
    <s v="Male"/>
    <n v="81"/>
    <n v="2"/>
    <n v="3"/>
    <s v="Research Director"/>
    <n v="2"/>
    <s v="Married"/>
    <n v="12490"/>
    <n v="15736"/>
    <n v="5"/>
    <s v="No"/>
    <n v="16"/>
    <n v="3"/>
    <n v="4"/>
    <n v="2"/>
    <n v="16"/>
    <n v="5"/>
    <n v="1"/>
    <n v="10"/>
    <n v="9"/>
    <n v="4"/>
    <n v="7"/>
    <x v="1"/>
  </r>
  <r>
    <n v="30"/>
    <x v="0"/>
    <s v="Travel_Rarely"/>
    <n v="1005"/>
    <s v="Research &amp; Development"/>
    <n v="3"/>
    <n v="3"/>
    <s v="Technical Degree"/>
    <n v="297"/>
    <n v="4"/>
    <s v="Female"/>
    <n v="88"/>
    <n v="3"/>
    <n v="1"/>
    <s v="Research Scientist"/>
    <n v="1"/>
    <s v="Single"/>
    <n v="2657"/>
    <n v="8556"/>
    <n v="5"/>
    <s v="Yes"/>
    <n v="11"/>
    <n v="3"/>
    <n v="3"/>
    <n v="0"/>
    <n v="8"/>
    <n v="5"/>
    <n v="3"/>
    <n v="5"/>
    <n v="2"/>
    <n v="0"/>
    <n v="4"/>
    <x v="2"/>
  </r>
  <r>
    <n v="41"/>
    <x v="1"/>
    <s v="Travel_Rarely"/>
    <n v="896"/>
    <s v="Sales"/>
    <n v="6"/>
    <n v="3"/>
    <s v="Life Sciences"/>
    <n v="298"/>
    <n v="4"/>
    <s v="Female"/>
    <n v="75"/>
    <n v="3"/>
    <n v="3"/>
    <s v="Manager"/>
    <n v="4"/>
    <s v="Single"/>
    <n v="13591"/>
    <n v="14674"/>
    <n v="3"/>
    <s v="Yes"/>
    <n v="18"/>
    <n v="3"/>
    <n v="3"/>
    <n v="0"/>
    <n v="16"/>
    <n v="3"/>
    <n v="3"/>
    <n v="1"/>
    <n v="0"/>
    <n v="0"/>
    <n v="0"/>
    <x v="0"/>
  </r>
  <r>
    <n v="30"/>
    <x v="0"/>
    <s v="Travel_Frequently"/>
    <n v="334"/>
    <s v="Sales"/>
    <n v="26"/>
    <n v="4"/>
    <s v="Marketing"/>
    <n v="299"/>
    <n v="3"/>
    <s v="Female"/>
    <n v="52"/>
    <n v="2"/>
    <n v="2"/>
    <s v="Sales Executive"/>
    <n v="1"/>
    <s v="Single"/>
    <n v="6696"/>
    <n v="22967"/>
    <n v="5"/>
    <s v="No"/>
    <n v="15"/>
    <n v="3"/>
    <n v="3"/>
    <n v="0"/>
    <n v="9"/>
    <n v="5"/>
    <n v="2"/>
    <n v="6"/>
    <n v="3"/>
    <n v="0"/>
    <n v="1"/>
    <x v="2"/>
  </r>
  <r>
    <n v="29"/>
    <x v="0"/>
    <s v="Travel_Rarely"/>
    <n v="992"/>
    <s v="Research &amp; Development"/>
    <n v="1"/>
    <n v="3"/>
    <s v="Technical Degree"/>
    <n v="300"/>
    <n v="3"/>
    <s v="Male"/>
    <n v="85"/>
    <n v="3"/>
    <n v="1"/>
    <s v="Research Scientist"/>
    <n v="3"/>
    <s v="Single"/>
    <n v="2058"/>
    <n v="19757"/>
    <n v="0"/>
    <s v="No"/>
    <n v="14"/>
    <n v="3"/>
    <n v="4"/>
    <n v="0"/>
    <n v="7"/>
    <n v="1"/>
    <n v="2"/>
    <n v="6"/>
    <n v="2"/>
    <n v="1"/>
    <n v="5"/>
    <x v="2"/>
  </r>
  <r>
    <n v="45"/>
    <x v="1"/>
    <s v="Non-Travel"/>
    <n v="1052"/>
    <s v="Sales"/>
    <n v="6"/>
    <n v="3"/>
    <s v="Medical"/>
    <n v="302"/>
    <n v="4"/>
    <s v="Female"/>
    <n v="57"/>
    <n v="2"/>
    <n v="3"/>
    <s v="Sales Executive"/>
    <n v="4"/>
    <s v="Single"/>
    <n v="8865"/>
    <n v="16840"/>
    <n v="6"/>
    <s v="No"/>
    <n v="12"/>
    <n v="3"/>
    <n v="4"/>
    <n v="0"/>
    <n v="23"/>
    <n v="2"/>
    <n v="3"/>
    <n v="19"/>
    <n v="7"/>
    <n v="12"/>
    <n v="8"/>
    <x v="1"/>
  </r>
  <r>
    <n v="54"/>
    <x v="1"/>
    <s v="Travel_Rarely"/>
    <n v="1147"/>
    <s v="Sales"/>
    <n v="3"/>
    <n v="3"/>
    <s v="Marketing"/>
    <n v="303"/>
    <n v="4"/>
    <s v="Female"/>
    <n v="52"/>
    <n v="3"/>
    <n v="2"/>
    <s v="Sales Executive"/>
    <n v="1"/>
    <s v="Married"/>
    <n v="5940"/>
    <n v="17011"/>
    <n v="2"/>
    <s v="No"/>
    <n v="14"/>
    <n v="3"/>
    <n v="4"/>
    <n v="1"/>
    <n v="16"/>
    <n v="4"/>
    <n v="3"/>
    <n v="6"/>
    <n v="2"/>
    <n v="0"/>
    <n v="5"/>
    <x v="1"/>
  </r>
  <r>
    <n v="36"/>
    <x v="1"/>
    <s v="Travel_Rarely"/>
    <n v="1396"/>
    <s v="Research &amp; Development"/>
    <n v="5"/>
    <n v="2"/>
    <s v="Life Sciences"/>
    <n v="304"/>
    <n v="4"/>
    <s v="Male"/>
    <n v="62"/>
    <n v="3"/>
    <n v="2"/>
    <s v="Laboratory Technician"/>
    <n v="2"/>
    <s v="Single"/>
    <n v="5914"/>
    <n v="9945"/>
    <n v="8"/>
    <s v="No"/>
    <n v="16"/>
    <n v="3"/>
    <n v="4"/>
    <n v="0"/>
    <n v="16"/>
    <n v="3"/>
    <n v="4"/>
    <n v="13"/>
    <n v="11"/>
    <n v="3"/>
    <n v="7"/>
    <x v="0"/>
  </r>
  <r>
    <n v="33"/>
    <x v="1"/>
    <s v="Travel_Rarely"/>
    <n v="147"/>
    <s v="Research &amp; Development"/>
    <n v="4"/>
    <n v="4"/>
    <s v="Medical"/>
    <n v="305"/>
    <n v="3"/>
    <s v="Female"/>
    <n v="47"/>
    <n v="2"/>
    <n v="1"/>
    <s v="Research Scientist"/>
    <n v="2"/>
    <s v="Married"/>
    <n v="2622"/>
    <n v="13248"/>
    <n v="6"/>
    <s v="No"/>
    <n v="21"/>
    <n v="4"/>
    <n v="4"/>
    <n v="0"/>
    <n v="7"/>
    <n v="3"/>
    <n v="3"/>
    <n v="3"/>
    <n v="2"/>
    <n v="1"/>
    <n v="1"/>
    <x v="2"/>
  </r>
  <r>
    <n v="37"/>
    <x v="1"/>
    <s v="Travel_Frequently"/>
    <n v="663"/>
    <s v="Research &amp; Development"/>
    <n v="11"/>
    <n v="3"/>
    <s v="Other"/>
    <n v="306"/>
    <n v="2"/>
    <s v="Male"/>
    <n v="47"/>
    <n v="3"/>
    <n v="3"/>
    <s v="Research Director"/>
    <n v="4"/>
    <s v="Divorced"/>
    <n v="12185"/>
    <n v="10056"/>
    <n v="1"/>
    <s v="Yes"/>
    <n v="14"/>
    <n v="3"/>
    <n v="3"/>
    <n v="3"/>
    <n v="10"/>
    <n v="1"/>
    <n v="3"/>
    <n v="10"/>
    <n v="8"/>
    <n v="0"/>
    <n v="7"/>
    <x v="0"/>
  </r>
  <r>
    <n v="38"/>
    <x v="1"/>
    <s v="Travel_Rarely"/>
    <n v="119"/>
    <s v="Sales"/>
    <n v="3"/>
    <n v="3"/>
    <s v="Life Sciences"/>
    <n v="307"/>
    <n v="1"/>
    <s v="Male"/>
    <n v="76"/>
    <n v="3"/>
    <n v="3"/>
    <s v="Sales Executive"/>
    <n v="3"/>
    <s v="Divorced"/>
    <n v="10609"/>
    <n v="9647"/>
    <n v="0"/>
    <s v="No"/>
    <n v="12"/>
    <n v="3"/>
    <n v="3"/>
    <n v="2"/>
    <n v="17"/>
    <n v="6"/>
    <n v="2"/>
    <n v="16"/>
    <n v="10"/>
    <n v="5"/>
    <n v="13"/>
    <x v="0"/>
  </r>
  <r>
    <n v="31"/>
    <x v="1"/>
    <s v="Non-Travel"/>
    <n v="979"/>
    <s v="Research &amp; Development"/>
    <n v="1"/>
    <n v="4"/>
    <s v="Medical"/>
    <n v="308"/>
    <n v="3"/>
    <s v="Male"/>
    <n v="90"/>
    <n v="1"/>
    <n v="2"/>
    <s v="Manufacturing Director"/>
    <n v="3"/>
    <s v="Married"/>
    <n v="4345"/>
    <n v="4381"/>
    <n v="0"/>
    <s v="No"/>
    <n v="12"/>
    <n v="3"/>
    <n v="4"/>
    <n v="1"/>
    <n v="6"/>
    <n v="2"/>
    <n v="3"/>
    <n v="5"/>
    <n v="4"/>
    <n v="1"/>
    <n v="4"/>
    <x v="2"/>
  </r>
  <r>
    <n v="59"/>
    <x v="1"/>
    <s v="Travel_Rarely"/>
    <n v="142"/>
    <s v="Research &amp; Development"/>
    <n v="3"/>
    <n v="3"/>
    <s v="Life Sciences"/>
    <n v="309"/>
    <n v="3"/>
    <s v="Male"/>
    <n v="70"/>
    <n v="2"/>
    <n v="1"/>
    <s v="Research Scientist"/>
    <n v="4"/>
    <s v="Married"/>
    <n v="2177"/>
    <n v="8456"/>
    <n v="3"/>
    <s v="No"/>
    <n v="17"/>
    <n v="3"/>
    <n v="1"/>
    <n v="1"/>
    <n v="7"/>
    <n v="6"/>
    <n v="3"/>
    <n v="1"/>
    <n v="0"/>
    <n v="0"/>
    <n v="0"/>
    <x v="3"/>
  </r>
  <r>
    <n v="37"/>
    <x v="1"/>
    <s v="Travel_Frequently"/>
    <n v="319"/>
    <s v="Sales"/>
    <n v="4"/>
    <n v="4"/>
    <s v="Marketing"/>
    <n v="311"/>
    <n v="1"/>
    <s v="Male"/>
    <n v="41"/>
    <n v="3"/>
    <n v="1"/>
    <s v="Sales Representative"/>
    <n v="4"/>
    <s v="Divorced"/>
    <n v="2793"/>
    <n v="2539"/>
    <n v="4"/>
    <s v="No"/>
    <n v="17"/>
    <n v="3"/>
    <n v="3"/>
    <n v="1"/>
    <n v="13"/>
    <n v="2"/>
    <n v="3"/>
    <n v="9"/>
    <n v="8"/>
    <n v="5"/>
    <n v="8"/>
    <x v="0"/>
  </r>
  <r>
    <n v="29"/>
    <x v="1"/>
    <s v="Travel_Frequently"/>
    <n v="1413"/>
    <s v="Sales"/>
    <n v="1"/>
    <n v="1"/>
    <s v="Medical"/>
    <n v="312"/>
    <n v="2"/>
    <s v="Female"/>
    <n v="42"/>
    <n v="3"/>
    <n v="3"/>
    <s v="Sales Executive"/>
    <n v="4"/>
    <s v="Married"/>
    <n v="7918"/>
    <n v="6599"/>
    <n v="1"/>
    <s v="No"/>
    <n v="14"/>
    <n v="3"/>
    <n v="4"/>
    <n v="1"/>
    <n v="11"/>
    <n v="5"/>
    <n v="3"/>
    <n v="11"/>
    <n v="10"/>
    <n v="4"/>
    <n v="1"/>
    <x v="2"/>
  </r>
  <r>
    <n v="35"/>
    <x v="1"/>
    <s v="Travel_Frequently"/>
    <n v="944"/>
    <s v="Sales"/>
    <n v="1"/>
    <n v="3"/>
    <s v="Marketing"/>
    <n v="314"/>
    <n v="3"/>
    <s v="Female"/>
    <n v="92"/>
    <n v="3"/>
    <n v="3"/>
    <s v="Sales Executive"/>
    <n v="3"/>
    <s v="Single"/>
    <n v="8789"/>
    <n v="9096"/>
    <n v="1"/>
    <s v="No"/>
    <n v="14"/>
    <n v="3"/>
    <n v="1"/>
    <n v="0"/>
    <n v="10"/>
    <n v="3"/>
    <n v="4"/>
    <n v="10"/>
    <n v="7"/>
    <n v="0"/>
    <n v="8"/>
    <x v="0"/>
  </r>
  <r>
    <n v="29"/>
    <x v="0"/>
    <s v="Travel_Rarely"/>
    <n v="896"/>
    <s v="Research &amp; Development"/>
    <n v="18"/>
    <n v="1"/>
    <s v="Medical"/>
    <n v="315"/>
    <n v="3"/>
    <s v="Male"/>
    <n v="86"/>
    <n v="2"/>
    <n v="1"/>
    <s v="Research Scientist"/>
    <n v="4"/>
    <s v="Single"/>
    <n v="2389"/>
    <n v="14961"/>
    <n v="1"/>
    <s v="Yes"/>
    <n v="13"/>
    <n v="3"/>
    <n v="3"/>
    <n v="0"/>
    <n v="4"/>
    <n v="3"/>
    <n v="2"/>
    <n v="4"/>
    <n v="3"/>
    <n v="0"/>
    <n v="1"/>
    <x v="2"/>
  </r>
  <r>
    <n v="52"/>
    <x v="1"/>
    <s v="Travel_Rarely"/>
    <n v="1323"/>
    <s v="Research &amp; Development"/>
    <n v="2"/>
    <n v="3"/>
    <s v="Life Sciences"/>
    <n v="316"/>
    <n v="3"/>
    <s v="Female"/>
    <n v="89"/>
    <n v="2"/>
    <n v="1"/>
    <s v="Laboratory Technician"/>
    <n v="4"/>
    <s v="Single"/>
    <n v="3212"/>
    <n v="3300"/>
    <n v="7"/>
    <s v="No"/>
    <n v="15"/>
    <n v="3"/>
    <n v="2"/>
    <n v="0"/>
    <n v="6"/>
    <n v="3"/>
    <n v="2"/>
    <n v="2"/>
    <n v="2"/>
    <n v="2"/>
    <n v="2"/>
    <x v="1"/>
  </r>
  <r>
    <n v="42"/>
    <x v="1"/>
    <s v="Travel_Rarely"/>
    <n v="532"/>
    <s v="Research &amp; Development"/>
    <n v="4"/>
    <n v="2"/>
    <s v="Technical Degree"/>
    <n v="319"/>
    <n v="3"/>
    <s v="Male"/>
    <n v="58"/>
    <n v="3"/>
    <n v="5"/>
    <s v="Manager"/>
    <n v="4"/>
    <s v="Married"/>
    <n v="19232"/>
    <n v="4933"/>
    <n v="1"/>
    <s v="No"/>
    <n v="11"/>
    <n v="3"/>
    <n v="4"/>
    <n v="0"/>
    <n v="22"/>
    <n v="3"/>
    <n v="3"/>
    <n v="22"/>
    <n v="17"/>
    <n v="11"/>
    <n v="15"/>
    <x v="0"/>
  </r>
  <r>
    <n v="59"/>
    <x v="1"/>
    <s v="Travel_Rarely"/>
    <n v="818"/>
    <s v="Human Resources"/>
    <n v="6"/>
    <n v="2"/>
    <s v="Medical"/>
    <n v="321"/>
    <n v="2"/>
    <s v="Male"/>
    <n v="52"/>
    <n v="3"/>
    <n v="1"/>
    <s v="Human Resources"/>
    <n v="3"/>
    <s v="Married"/>
    <n v="2267"/>
    <n v="25657"/>
    <n v="8"/>
    <s v="No"/>
    <n v="17"/>
    <n v="3"/>
    <n v="4"/>
    <n v="0"/>
    <n v="7"/>
    <n v="2"/>
    <n v="2"/>
    <n v="2"/>
    <n v="2"/>
    <n v="2"/>
    <n v="2"/>
    <x v="3"/>
  </r>
  <r>
    <n v="50"/>
    <x v="1"/>
    <s v="Travel_Rarely"/>
    <n v="854"/>
    <s v="Sales"/>
    <n v="1"/>
    <n v="4"/>
    <s v="Medical"/>
    <n v="323"/>
    <n v="4"/>
    <s v="Female"/>
    <n v="68"/>
    <n v="3"/>
    <n v="5"/>
    <s v="Manager"/>
    <n v="4"/>
    <s v="Divorced"/>
    <n v="19517"/>
    <n v="24118"/>
    <n v="3"/>
    <s v="No"/>
    <n v="11"/>
    <n v="3"/>
    <n v="3"/>
    <n v="1"/>
    <n v="32"/>
    <n v="3"/>
    <n v="2"/>
    <n v="7"/>
    <n v="0"/>
    <n v="0"/>
    <n v="6"/>
    <x v="1"/>
  </r>
  <r>
    <n v="33"/>
    <x v="0"/>
    <s v="Travel_Rarely"/>
    <n v="813"/>
    <s v="Research &amp; Development"/>
    <n v="14"/>
    <n v="3"/>
    <s v="Medical"/>
    <n v="325"/>
    <n v="3"/>
    <s v="Male"/>
    <n v="58"/>
    <n v="3"/>
    <n v="1"/>
    <s v="Laboratory Technician"/>
    <n v="4"/>
    <s v="Married"/>
    <n v="2436"/>
    <n v="22149"/>
    <n v="5"/>
    <s v="Yes"/>
    <n v="13"/>
    <n v="3"/>
    <n v="3"/>
    <n v="1"/>
    <n v="8"/>
    <n v="2"/>
    <n v="1"/>
    <n v="5"/>
    <n v="4"/>
    <n v="0"/>
    <n v="4"/>
    <x v="2"/>
  </r>
  <r>
    <n v="43"/>
    <x v="1"/>
    <s v="Travel_Rarely"/>
    <n v="1034"/>
    <s v="Sales"/>
    <n v="16"/>
    <n v="3"/>
    <s v="Marketing"/>
    <n v="327"/>
    <n v="4"/>
    <s v="Female"/>
    <n v="80"/>
    <n v="3"/>
    <n v="4"/>
    <s v="Manager"/>
    <n v="4"/>
    <s v="Married"/>
    <n v="16064"/>
    <n v="7744"/>
    <n v="5"/>
    <s v="Yes"/>
    <n v="22"/>
    <n v="4"/>
    <n v="3"/>
    <n v="1"/>
    <n v="22"/>
    <n v="3"/>
    <n v="3"/>
    <n v="17"/>
    <n v="13"/>
    <n v="1"/>
    <n v="9"/>
    <x v="0"/>
  </r>
  <r>
    <n v="33"/>
    <x v="0"/>
    <s v="Travel_Rarely"/>
    <n v="465"/>
    <s v="Research &amp; Development"/>
    <n v="2"/>
    <n v="2"/>
    <s v="Life Sciences"/>
    <n v="328"/>
    <n v="1"/>
    <s v="Female"/>
    <n v="39"/>
    <n v="3"/>
    <n v="1"/>
    <s v="Laboratory Technician"/>
    <n v="1"/>
    <s v="Married"/>
    <n v="2707"/>
    <n v="21509"/>
    <n v="7"/>
    <s v="No"/>
    <n v="20"/>
    <n v="4"/>
    <n v="1"/>
    <n v="0"/>
    <n v="13"/>
    <n v="3"/>
    <n v="4"/>
    <n v="9"/>
    <n v="7"/>
    <n v="1"/>
    <n v="7"/>
    <x v="2"/>
  </r>
  <r>
    <n v="52"/>
    <x v="1"/>
    <s v="Non-Travel"/>
    <n v="771"/>
    <s v="Sales"/>
    <n v="2"/>
    <n v="4"/>
    <s v="Life Sciences"/>
    <n v="329"/>
    <n v="1"/>
    <s v="Male"/>
    <n v="79"/>
    <n v="2"/>
    <n v="5"/>
    <s v="Manager"/>
    <n v="3"/>
    <s v="Single"/>
    <n v="19068"/>
    <n v="21030"/>
    <n v="1"/>
    <s v="Yes"/>
    <n v="18"/>
    <n v="3"/>
    <n v="4"/>
    <n v="0"/>
    <n v="33"/>
    <n v="2"/>
    <n v="4"/>
    <n v="33"/>
    <n v="7"/>
    <n v="15"/>
    <n v="12"/>
    <x v="1"/>
  </r>
  <r>
    <n v="32"/>
    <x v="1"/>
    <s v="Travel_Rarely"/>
    <n v="1401"/>
    <s v="Sales"/>
    <n v="4"/>
    <n v="2"/>
    <s v="Life Sciences"/>
    <n v="330"/>
    <n v="3"/>
    <s v="Female"/>
    <n v="56"/>
    <n v="3"/>
    <n v="1"/>
    <s v="Sales Representative"/>
    <n v="2"/>
    <s v="Married"/>
    <n v="3931"/>
    <n v="20990"/>
    <n v="2"/>
    <s v="No"/>
    <n v="11"/>
    <n v="3"/>
    <n v="1"/>
    <n v="1"/>
    <n v="6"/>
    <n v="5"/>
    <n v="3"/>
    <n v="4"/>
    <n v="3"/>
    <n v="1"/>
    <n v="2"/>
    <x v="2"/>
  </r>
  <r>
    <n v="32"/>
    <x v="0"/>
    <s v="Travel_Rarely"/>
    <n v="515"/>
    <s v="Research &amp; Development"/>
    <n v="1"/>
    <n v="3"/>
    <s v="Life Sciences"/>
    <n v="331"/>
    <n v="4"/>
    <s v="Male"/>
    <n v="62"/>
    <n v="2"/>
    <n v="1"/>
    <s v="Laboratory Technician"/>
    <n v="3"/>
    <s v="Single"/>
    <n v="3730"/>
    <n v="9571"/>
    <n v="0"/>
    <s v="Yes"/>
    <n v="14"/>
    <n v="3"/>
    <n v="4"/>
    <n v="0"/>
    <n v="4"/>
    <n v="2"/>
    <n v="1"/>
    <n v="3"/>
    <n v="2"/>
    <n v="1"/>
    <n v="2"/>
    <x v="2"/>
  </r>
  <r>
    <n v="39"/>
    <x v="1"/>
    <s v="Travel_Rarely"/>
    <n v="1431"/>
    <s v="Research &amp; Development"/>
    <n v="1"/>
    <n v="4"/>
    <s v="Medical"/>
    <n v="332"/>
    <n v="3"/>
    <s v="Female"/>
    <n v="96"/>
    <n v="3"/>
    <n v="1"/>
    <s v="Laboratory Technician"/>
    <n v="3"/>
    <s v="Divorced"/>
    <n v="2232"/>
    <n v="15417"/>
    <n v="7"/>
    <s v="No"/>
    <n v="14"/>
    <n v="3"/>
    <n v="3"/>
    <n v="3"/>
    <n v="7"/>
    <n v="1"/>
    <n v="3"/>
    <n v="3"/>
    <n v="2"/>
    <n v="1"/>
    <n v="2"/>
    <x v="0"/>
  </r>
  <r>
    <n v="32"/>
    <x v="1"/>
    <s v="Non-Travel"/>
    <n v="976"/>
    <s v="Sales"/>
    <n v="26"/>
    <n v="4"/>
    <s v="Marketing"/>
    <n v="333"/>
    <n v="3"/>
    <s v="Male"/>
    <n v="100"/>
    <n v="3"/>
    <n v="2"/>
    <s v="Sales Executive"/>
    <n v="4"/>
    <s v="Married"/>
    <n v="4465"/>
    <n v="12069"/>
    <n v="0"/>
    <s v="No"/>
    <n v="18"/>
    <n v="3"/>
    <n v="1"/>
    <n v="0"/>
    <n v="4"/>
    <n v="2"/>
    <n v="3"/>
    <n v="3"/>
    <n v="2"/>
    <n v="2"/>
    <n v="2"/>
    <x v="2"/>
  </r>
  <r>
    <n v="41"/>
    <x v="1"/>
    <s v="Travel_Rarely"/>
    <n v="1411"/>
    <s v="Research &amp; Development"/>
    <n v="19"/>
    <n v="2"/>
    <s v="Life Sciences"/>
    <n v="334"/>
    <n v="3"/>
    <s v="Male"/>
    <n v="36"/>
    <n v="3"/>
    <n v="2"/>
    <s v="Research Scientist"/>
    <n v="1"/>
    <s v="Divorced"/>
    <n v="3072"/>
    <n v="19877"/>
    <n v="2"/>
    <s v="No"/>
    <n v="16"/>
    <n v="3"/>
    <n v="1"/>
    <n v="2"/>
    <n v="17"/>
    <n v="2"/>
    <n v="2"/>
    <n v="1"/>
    <n v="0"/>
    <n v="0"/>
    <n v="0"/>
    <x v="0"/>
  </r>
  <r>
    <n v="40"/>
    <x v="1"/>
    <s v="Travel_Rarely"/>
    <n v="1300"/>
    <s v="Research &amp; Development"/>
    <n v="24"/>
    <n v="2"/>
    <s v="Technical Degree"/>
    <n v="335"/>
    <n v="1"/>
    <s v="Male"/>
    <n v="62"/>
    <n v="3"/>
    <n v="2"/>
    <s v="Research Scientist"/>
    <n v="4"/>
    <s v="Divorced"/>
    <n v="3319"/>
    <n v="24447"/>
    <n v="1"/>
    <s v="No"/>
    <n v="17"/>
    <n v="3"/>
    <n v="1"/>
    <n v="2"/>
    <n v="9"/>
    <n v="3"/>
    <n v="3"/>
    <n v="9"/>
    <n v="8"/>
    <n v="4"/>
    <n v="7"/>
    <x v="0"/>
  </r>
  <r>
    <n v="45"/>
    <x v="1"/>
    <s v="Travel_Rarely"/>
    <n v="252"/>
    <s v="Research &amp; Development"/>
    <n v="1"/>
    <n v="3"/>
    <s v="Other"/>
    <n v="336"/>
    <n v="3"/>
    <s v="Male"/>
    <n v="70"/>
    <n v="4"/>
    <n v="5"/>
    <s v="Manager"/>
    <n v="4"/>
    <s v="Married"/>
    <n v="19202"/>
    <n v="15970"/>
    <n v="0"/>
    <s v="No"/>
    <n v="11"/>
    <n v="3"/>
    <n v="3"/>
    <n v="1"/>
    <n v="25"/>
    <n v="2"/>
    <n v="3"/>
    <n v="24"/>
    <n v="0"/>
    <n v="1"/>
    <n v="7"/>
    <x v="1"/>
  </r>
  <r>
    <n v="31"/>
    <x v="1"/>
    <s v="Travel_Frequently"/>
    <n v="1327"/>
    <s v="Research &amp; Development"/>
    <n v="3"/>
    <n v="4"/>
    <s v="Medical"/>
    <n v="337"/>
    <n v="2"/>
    <s v="Male"/>
    <n v="73"/>
    <n v="3"/>
    <n v="3"/>
    <s v="Research Director"/>
    <n v="3"/>
    <s v="Divorced"/>
    <n v="13675"/>
    <n v="13523"/>
    <n v="9"/>
    <s v="No"/>
    <n v="12"/>
    <n v="3"/>
    <n v="1"/>
    <n v="1"/>
    <n v="9"/>
    <n v="3"/>
    <n v="3"/>
    <n v="2"/>
    <n v="2"/>
    <n v="2"/>
    <n v="2"/>
    <x v="2"/>
  </r>
  <r>
    <n v="33"/>
    <x v="1"/>
    <s v="Travel_Rarely"/>
    <n v="832"/>
    <s v="Research &amp; Development"/>
    <n v="5"/>
    <n v="4"/>
    <s v="Life Sciences"/>
    <n v="338"/>
    <n v="3"/>
    <s v="Female"/>
    <n v="63"/>
    <n v="2"/>
    <n v="1"/>
    <s v="Research Scientist"/>
    <n v="4"/>
    <s v="Married"/>
    <n v="2911"/>
    <n v="14776"/>
    <n v="1"/>
    <s v="No"/>
    <n v="13"/>
    <n v="3"/>
    <n v="3"/>
    <n v="1"/>
    <n v="2"/>
    <n v="2"/>
    <n v="2"/>
    <n v="2"/>
    <n v="2"/>
    <n v="0"/>
    <n v="2"/>
    <x v="2"/>
  </r>
  <r>
    <n v="34"/>
    <x v="1"/>
    <s v="Travel_Rarely"/>
    <n v="470"/>
    <s v="Research &amp; Development"/>
    <n v="2"/>
    <n v="4"/>
    <s v="Life Sciences"/>
    <n v="339"/>
    <n v="4"/>
    <s v="Male"/>
    <n v="84"/>
    <n v="2"/>
    <n v="2"/>
    <s v="Manufacturing Director"/>
    <n v="1"/>
    <s v="Married"/>
    <n v="5957"/>
    <n v="23687"/>
    <n v="6"/>
    <s v="No"/>
    <n v="13"/>
    <n v="3"/>
    <n v="2"/>
    <n v="1"/>
    <n v="13"/>
    <n v="3"/>
    <n v="3"/>
    <n v="11"/>
    <n v="9"/>
    <n v="5"/>
    <n v="9"/>
    <x v="2"/>
  </r>
  <r>
    <n v="37"/>
    <x v="1"/>
    <s v="Travel_Rarely"/>
    <n v="1017"/>
    <s v="Research &amp; Development"/>
    <n v="1"/>
    <n v="2"/>
    <s v="Medical"/>
    <n v="340"/>
    <n v="3"/>
    <s v="Female"/>
    <n v="83"/>
    <n v="2"/>
    <n v="1"/>
    <s v="Research Scientist"/>
    <n v="1"/>
    <s v="Married"/>
    <n v="3920"/>
    <n v="18697"/>
    <n v="2"/>
    <s v="No"/>
    <n v="14"/>
    <n v="3"/>
    <n v="1"/>
    <n v="1"/>
    <n v="17"/>
    <n v="2"/>
    <n v="2"/>
    <n v="3"/>
    <n v="1"/>
    <n v="0"/>
    <n v="2"/>
    <x v="0"/>
  </r>
  <r>
    <n v="45"/>
    <x v="1"/>
    <s v="Travel_Frequently"/>
    <n v="1199"/>
    <s v="Research &amp; Development"/>
    <n v="7"/>
    <n v="4"/>
    <s v="Life Sciences"/>
    <n v="341"/>
    <n v="1"/>
    <s v="Male"/>
    <n v="77"/>
    <n v="4"/>
    <n v="2"/>
    <s v="Manufacturing Director"/>
    <n v="3"/>
    <s v="Married"/>
    <n v="6434"/>
    <n v="5118"/>
    <n v="4"/>
    <s v="No"/>
    <n v="17"/>
    <n v="3"/>
    <n v="4"/>
    <n v="1"/>
    <n v="9"/>
    <n v="1"/>
    <n v="3"/>
    <n v="3"/>
    <n v="2"/>
    <n v="0"/>
    <n v="2"/>
    <x v="1"/>
  </r>
  <r>
    <n v="37"/>
    <x v="0"/>
    <s v="Travel_Frequently"/>
    <n v="504"/>
    <s v="Research &amp; Development"/>
    <n v="10"/>
    <n v="3"/>
    <s v="Medical"/>
    <n v="342"/>
    <n v="1"/>
    <s v="Male"/>
    <n v="61"/>
    <n v="3"/>
    <n v="3"/>
    <s v="Manufacturing Director"/>
    <n v="3"/>
    <s v="Divorced"/>
    <n v="10048"/>
    <n v="22573"/>
    <n v="6"/>
    <s v="No"/>
    <n v="11"/>
    <n v="3"/>
    <n v="2"/>
    <n v="2"/>
    <n v="17"/>
    <n v="5"/>
    <n v="3"/>
    <n v="1"/>
    <n v="0"/>
    <n v="0"/>
    <n v="0"/>
    <x v="0"/>
  </r>
  <r>
    <n v="39"/>
    <x v="1"/>
    <s v="Travel_Frequently"/>
    <n v="505"/>
    <s v="Research &amp; Development"/>
    <n v="2"/>
    <n v="4"/>
    <s v="Technical Degree"/>
    <n v="343"/>
    <n v="3"/>
    <s v="Female"/>
    <n v="64"/>
    <n v="3"/>
    <n v="3"/>
    <s v="Healthcare Representative"/>
    <n v="3"/>
    <s v="Single"/>
    <n v="10938"/>
    <n v="6420"/>
    <n v="0"/>
    <s v="No"/>
    <n v="25"/>
    <n v="4"/>
    <n v="4"/>
    <n v="0"/>
    <n v="20"/>
    <n v="1"/>
    <n v="3"/>
    <n v="19"/>
    <n v="6"/>
    <n v="11"/>
    <n v="8"/>
    <x v="0"/>
  </r>
  <r>
    <n v="29"/>
    <x v="1"/>
    <s v="Travel_Rarely"/>
    <n v="665"/>
    <s v="Research &amp; Development"/>
    <n v="15"/>
    <n v="3"/>
    <s v="Life Sciences"/>
    <n v="346"/>
    <n v="3"/>
    <s v="Male"/>
    <n v="60"/>
    <n v="3"/>
    <n v="1"/>
    <s v="Research Scientist"/>
    <n v="4"/>
    <s v="Single"/>
    <n v="2340"/>
    <n v="22673"/>
    <n v="1"/>
    <s v="No"/>
    <n v="19"/>
    <n v="3"/>
    <n v="1"/>
    <n v="0"/>
    <n v="6"/>
    <n v="1"/>
    <n v="3"/>
    <n v="6"/>
    <n v="5"/>
    <n v="1"/>
    <n v="5"/>
    <x v="2"/>
  </r>
  <r>
    <n v="42"/>
    <x v="1"/>
    <s v="Travel_Rarely"/>
    <n v="916"/>
    <s v="Research &amp; Development"/>
    <n v="17"/>
    <n v="2"/>
    <s v="Life Sciences"/>
    <n v="347"/>
    <n v="4"/>
    <s v="Female"/>
    <n v="82"/>
    <n v="4"/>
    <n v="2"/>
    <s v="Research Scientist"/>
    <n v="1"/>
    <s v="Single"/>
    <n v="6545"/>
    <n v="23016"/>
    <n v="3"/>
    <s v="Yes"/>
    <n v="13"/>
    <n v="3"/>
    <n v="3"/>
    <n v="0"/>
    <n v="10"/>
    <n v="1"/>
    <n v="3"/>
    <n v="3"/>
    <n v="2"/>
    <n v="0"/>
    <n v="2"/>
    <x v="0"/>
  </r>
  <r>
    <n v="29"/>
    <x v="1"/>
    <s v="Travel_Rarely"/>
    <n v="1247"/>
    <s v="Sales"/>
    <n v="20"/>
    <n v="2"/>
    <s v="Marketing"/>
    <n v="349"/>
    <n v="4"/>
    <s v="Male"/>
    <n v="45"/>
    <n v="3"/>
    <n v="2"/>
    <s v="Sales Executive"/>
    <n v="4"/>
    <s v="Divorced"/>
    <n v="6931"/>
    <n v="10732"/>
    <n v="2"/>
    <s v="No"/>
    <n v="14"/>
    <n v="3"/>
    <n v="4"/>
    <n v="1"/>
    <n v="10"/>
    <n v="2"/>
    <n v="3"/>
    <n v="3"/>
    <n v="2"/>
    <n v="0"/>
    <n v="2"/>
    <x v="2"/>
  </r>
  <r>
    <n v="25"/>
    <x v="1"/>
    <s v="Travel_Rarely"/>
    <n v="685"/>
    <s v="Research &amp; Development"/>
    <n v="1"/>
    <n v="3"/>
    <s v="Life Sciences"/>
    <n v="350"/>
    <n v="1"/>
    <s v="Female"/>
    <n v="62"/>
    <n v="3"/>
    <n v="2"/>
    <s v="Manufacturing Director"/>
    <n v="3"/>
    <s v="Married"/>
    <n v="4898"/>
    <n v="7505"/>
    <n v="0"/>
    <s v="No"/>
    <n v="12"/>
    <n v="3"/>
    <n v="4"/>
    <n v="2"/>
    <n v="5"/>
    <n v="3"/>
    <n v="3"/>
    <n v="4"/>
    <n v="2"/>
    <n v="1"/>
    <n v="2"/>
    <x v="2"/>
  </r>
  <r>
    <n v="42"/>
    <x v="1"/>
    <s v="Travel_Rarely"/>
    <n v="269"/>
    <s v="Research &amp; Development"/>
    <n v="2"/>
    <n v="3"/>
    <s v="Medical"/>
    <n v="351"/>
    <n v="4"/>
    <s v="Female"/>
    <n v="56"/>
    <n v="2"/>
    <n v="1"/>
    <s v="Laboratory Technician"/>
    <n v="1"/>
    <s v="Divorced"/>
    <n v="2593"/>
    <n v="8007"/>
    <n v="0"/>
    <s v="Yes"/>
    <n v="11"/>
    <n v="3"/>
    <n v="3"/>
    <n v="1"/>
    <n v="10"/>
    <n v="4"/>
    <n v="3"/>
    <n v="9"/>
    <n v="6"/>
    <n v="7"/>
    <n v="8"/>
    <x v="0"/>
  </r>
  <r>
    <n v="40"/>
    <x v="1"/>
    <s v="Travel_Rarely"/>
    <n v="1416"/>
    <s v="Research &amp; Development"/>
    <n v="2"/>
    <n v="2"/>
    <s v="Medical"/>
    <n v="352"/>
    <n v="1"/>
    <s v="Male"/>
    <n v="49"/>
    <n v="3"/>
    <n v="5"/>
    <s v="Research Director"/>
    <n v="3"/>
    <s v="Divorced"/>
    <n v="19436"/>
    <n v="5949"/>
    <n v="0"/>
    <s v="No"/>
    <n v="19"/>
    <n v="3"/>
    <n v="4"/>
    <n v="1"/>
    <n v="22"/>
    <n v="5"/>
    <n v="3"/>
    <n v="21"/>
    <n v="7"/>
    <n v="3"/>
    <n v="9"/>
    <x v="0"/>
  </r>
  <r>
    <n v="51"/>
    <x v="1"/>
    <s v="Travel_Rarely"/>
    <n v="833"/>
    <s v="Research &amp; Development"/>
    <n v="1"/>
    <n v="3"/>
    <s v="Life Sciences"/>
    <n v="353"/>
    <n v="3"/>
    <s v="Male"/>
    <n v="96"/>
    <n v="3"/>
    <n v="1"/>
    <s v="Research Scientist"/>
    <n v="4"/>
    <s v="Married"/>
    <n v="2723"/>
    <n v="23231"/>
    <n v="1"/>
    <s v="No"/>
    <n v="11"/>
    <n v="3"/>
    <n v="2"/>
    <n v="0"/>
    <n v="1"/>
    <n v="0"/>
    <n v="2"/>
    <n v="1"/>
    <n v="0"/>
    <n v="0"/>
    <n v="0"/>
    <x v="1"/>
  </r>
  <r>
    <n v="31"/>
    <x v="0"/>
    <s v="Travel_Frequently"/>
    <n v="307"/>
    <s v="Research &amp; Development"/>
    <n v="29"/>
    <n v="2"/>
    <s v="Medical"/>
    <n v="355"/>
    <n v="3"/>
    <s v="Male"/>
    <n v="71"/>
    <n v="2"/>
    <n v="1"/>
    <s v="Laboratory Technician"/>
    <n v="2"/>
    <s v="Single"/>
    <n v="3479"/>
    <n v="11652"/>
    <n v="0"/>
    <s v="No"/>
    <n v="11"/>
    <n v="3"/>
    <n v="2"/>
    <n v="0"/>
    <n v="6"/>
    <n v="2"/>
    <n v="4"/>
    <n v="5"/>
    <n v="4"/>
    <n v="1"/>
    <n v="4"/>
    <x v="2"/>
  </r>
  <r>
    <n v="32"/>
    <x v="1"/>
    <s v="Travel_Frequently"/>
    <n v="1311"/>
    <s v="Research &amp; Development"/>
    <n v="7"/>
    <n v="3"/>
    <s v="Life Sciences"/>
    <n v="359"/>
    <n v="2"/>
    <s v="Male"/>
    <n v="100"/>
    <n v="4"/>
    <n v="1"/>
    <s v="Laboratory Technician"/>
    <n v="2"/>
    <s v="Married"/>
    <n v="2794"/>
    <n v="26062"/>
    <n v="1"/>
    <s v="No"/>
    <n v="20"/>
    <n v="4"/>
    <n v="3"/>
    <n v="0"/>
    <n v="5"/>
    <n v="3"/>
    <n v="1"/>
    <n v="5"/>
    <n v="1"/>
    <n v="0"/>
    <n v="3"/>
    <x v="2"/>
  </r>
  <r>
    <n v="38"/>
    <x v="1"/>
    <s v="Non-Travel"/>
    <n v="1327"/>
    <s v="Sales"/>
    <n v="2"/>
    <n v="2"/>
    <s v="Life Sciences"/>
    <n v="361"/>
    <n v="4"/>
    <s v="Male"/>
    <n v="39"/>
    <n v="2"/>
    <n v="2"/>
    <s v="Sales Executive"/>
    <n v="4"/>
    <s v="Married"/>
    <n v="5249"/>
    <n v="19682"/>
    <n v="3"/>
    <s v="No"/>
    <n v="18"/>
    <n v="3"/>
    <n v="4"/>
    <n v="1"/>
    <n v="13"/>
    <n v="0"/>
    <n v="3"/>
    <n v="8"/>
    <n v="7"/>
    <n v="7"/>
    <n v="5"/>
    <x v="0"/>
  </r>
  <r>
    <n v="32"/>
    <x v="1"/>
    <s v="Travel_Rarely"/>
    <n v="128"/>
    <s v="Research &amp; Development"/>
    <n v="2"/>
    <n v="1"/>
    <s v="Technical Degree"/>
    <n v="362"/>
    <n v="4"/>
    <s v="Male"/>
    <n v="84"/>
    <n v="2"/>
    <n v="2"/>
    <s v="Laboratory Technician"/>
    <n v="1"/>
    <s v="Single"/>
    <n v="2176"/>
    <n v="19737"/>
    <n v="4"/>
    <s v="No"/>
    <n v="13"/>
    <n v="3"/>
    <n v="4"/>
    <n v="0"/>
    <n v="9"/>
    <n v="5"/>
    <n v="3"/>
    <n v="6"/>
    <n v="2"/>
    <n v="0"/>
    <n v="4"/>
    <x v="2"/>
  </r>
  <r>
    <n v="46"/>
    <x v="1"/>
    <s v="Travel_Rarely"/>
    <n v="488"/>
    <s v="Sales"/>
    <n v="2"/>
    <n v="3"/>
    <s v="Technical Degree"/>
    <n v="363"/>
    <n v="3"/>
    <s v="Female"/>
    <n v="75"/>
    <n v="1"/>
    <n v="4"/>
    <s v="Manager"/>
    <n v="2"/>
    <s v="Married"/>
    <n v="16872"/>
    <n v="14977"/>
    <n v="3"/>
    <s v="Yes"/>
    <n v="12"/>
    <n v="3"/>
    <n v="2"/>
    <n v="1"/>
    <n v="28"/>
    <n v="2"/>
    <n v="2"/>
    <n v="7"/>
    <n v="7"/>
    <n v="7"/>
    <n v="7"/>
    <x v="1"/>
  </r>
  <r>
    <n v="28"/>
    <x v="0"/>
    <s v="Travel_Rarely"/>
    <n v="529"/>
    <s v="Research &amp; Development"/>
    <n v="2"/>
    <n v="4"/>
    <s v="Life Sciences"/>
    <n v="364"/>
    <n v="1"/>
    <s v="Male"/>
    <n v="79"/>
    <n v="3"/>
    <n v="1"/>
    <s v="Laboratory Technician"/>
    <n v="3"/>
    <s v="Single"/>
    <n v="3485"/>
    <n v="14935"/>
    <n v="2"/>
    <s v="No"/>
    <n v="11"/>
    <n v="3"/>
    <n v="3"/>
    <n v="0"/>
    <n v="5"/>
    <n v="5"/>
    <n v="1"/>
    <n v="0"/>
    <n v="0"/>
    <n v="0"/>
    <n v="0"/>
    <x v="2"/>
  </r>
  <r>
    <n v="29"/>
    <x v="1"/>
    <s v="Travel_Rarely"/>
    <n v="1210"/>
    <s v="Sales"/>
    <n v="2"/>
    <n v="3"/>
    <s v="Medical"/>
    <n v="366"/>
    <n v="1"/>
    <s v="Male"/>
    <n v="78"/>
    <n v="2"/>
    <n v="2"/>
    <s v="Sales Executive"/>
    <n v="2"/>
    <s v="Married"/>
    <n v="6644"/>
    <n v="3687"/>
    <n v="2"/>
    <s v="No"/>
    <n v="19"/>
    <n v="3"/>
    <n v="2"/>
    <n v="2"/>
    <n v="10"/>
    <n v="2"/>
    <n v="3"/>
    <n v="0"/>
    <n v="0"/>
    <n v="0"/>
    <n v="0"/>
    <x v="2"/>
  </r>
  <r>
    <n v="31"/>
    <x v="1"/>
    <s v="Travel_Rarely"/>
    <n v="1463"/>
    <s v="Research &amp; Development"/>
    <n v="23"/>
    <n v="3"/>
    <s v="Medical"/>
    <n v="367"/>
    <n v="2"/>
    <s v="Male"/>
    <n v="64"/>
    <n v="2"/>
    <n v="2"/>
    <s v="Healthcare Representative"/>
    <n v="4"/>
    <s v="Married"/>
    <n v="5582"/>
    <n v="14408"/>
    <n v="0"/>
    <s v="No"/>
    <n v="21"/>
    <n v="4"/>
    <n v="2"/>
    <n v="1"/>
    <n v="10"/>
    <n v="2"/>
    <n v="3"/>
    <n v="9"/>
    <n v="0"/>
    <n v="7"/>
    <n v="8"/>
    <x v="2"/>
  </r>
  <r>
    <n v="25"/>
    <x v="1"/>
    <s v="Non-Travel"/>
    <n v="675"/>
    <s v="Research &amp; Development"/>
    <n v="5"/>
    <n v="2"/>
    <s v="Life Sciences"/>
    <n v="369"/>
    <n v="2"/>
    <s v="Male"/>
    <n v="85"/>
    <n v="4"/>
    <n v="2"/>
    <s v="Healthcare Representative"/>
    <n v="1"/>
    <s v="Divorced"/>
    <n v="4000"/>
    <n v="18384"/>
    <n v="1"/>
    <s v="No"/>
    <n v="12"/>
    <n v="3"/>
    <n v="4"/>
    <n v="2"/>
    <n v="6"/>
    <n v="2"/>
    <n v="3"/>
    <n v="6"/>
    <n v="3"/>
    <n v="1"/>
    <n v="5"/>
    <x v="2"/>
  </r>
  <r>
    <n v="45"/>
    <x v="1"/>
    <s v="Travel_Rarely"/>
    <n v="1385"/>
    <s v="Research &amp; Development"/>
    <n v="20"/>
    <n v="2"/>
    <s v="Medical"/>
    <n v="372"/>
    <n v="3"/>
    <s v="Male"/>
    <n v="79"/>
    <n v="3"/>
    <n v="4"/>
    <s v="Healthcare Representative"/>
    <n v="4"/>
    <s v="Married"/>
    <n v="13496"/>
    <n v="7501"/>
    <n v="0"/>
    <s v="Yes"/>
    <n v="14"/>
    <n v="3"/>
    <n v="2"/>
    <n v="0"/>
    <n v="21"/>
    <n v="2"/>
    <n v="3"/>
    <n v="20"/>
    <n v="7"/>
    <n v="4"/>
    <n v="10"/>
    <x v="1"/>
  </r>
  <r>
    <n v="36"/>
    <x v="1"/>
    <s v="Travel_Rarely"/>
    <n v="1403"/>
    <s v="Research &amp; Development"/>
    <n v="6"/>
    <n v="3"/>
    <s v="Life Sciences"/>
    <n v="373"/>
    <n v="4"/>
    <s v="Male"/>
    <n v="47"/>
    <n v="3"/>
    <n v="1"/>
    <s v="Laboratory Technician"/>
    <n v="4"/>
    <s v="Married"/>
    <n v="3210"/>
    <n v="20251"/>
    <n v="0"/>
    <s v="No"/>
    <n v="11"/>
    <n v="3"/>
    <n v="3"/>
    <n v="1"/>
    <n v="16"/>
    <n v="4"/>
    <n v="3"/>
    <n v="15"/>
    <n v="13"/>
    <n v="10"/>
    <n v="11"/>
    <x v="0"/>
  </r>
  <r>
    <n v="55"/>
    <x v="1"/>
    <s v="Travel_Rarely"/>
    <n v="452"/>
    <s v="Research &amp; Development"/>
    <n v="1"/>
    <n v="3"/>
    <s v="Medical"/>
    <n v="374"/>
    <n v="4"/>
    <s v="Male"/>
    <n v="81"/>
    <n v="3"/>
    <n v="5"/>
    <s v="Manager"/>
    <n v="1"/>
    <s v="Single"/>
    <n v="19045"/>
    <n v="18938"/>
    <n v="0"/>
    <s v="Yes"/>
    <n v="14"/>
    <n v="3"/>
    <n v="3"/>
    <n v="0"/>
    <n v="37"/>
    <n v="2"/>
    <n v="3"/>
    <n v="36"/>
    <n v="10"/>
    <n v="4"/>
    <n v="13"/>
    <x v="3"/>
  </r>
  <r>
    <n v="47"/>
    <x v="0"/>
    <s v="Non-Travel"/>
    <n v="666"/>
    <s v="Research &amp; Development"/>
    <n v="29"/>
    <n v="4"/>
    <s v="Life Sciences"/>
    <n v="376"/>
    <n v="1"/>
    <s v="Male"/>
    <n v="88"/>
    <n v="3"/>
    <n v="3"/>
    <s v="Manager"/>
    <n v="2"/>
    <s v="Married"/>
    <n v="11849"/>
    <n v="10268"/>
    <n v="1"/>
    <s v="Yes"/>
    <n v="12"/>
    <n v="3"/>
    <n v="4"/>
    <n v="1"/>
    <n v="10"/>
    <n v="2"/>
    <n v="2"/>
    <n v="10"/>
    <n v="7"/>
    <n v="9"/>
    <n v="9"/>
    <x v="1"/>
  </r>
  <r>
    <n v="28"/>
    <x v="1"/>
    <s v="Travel_Rarely"/>
    <n v="1158"/>
    <s v="Research &amp; Development"/>
    <n v="9"/>
    <n v="3"/>
    <s v="Medical"/>
    <n v="377"/>
    <n v="4"/>
    <s v="Male"/>
    <n v="94"/>
    <n v="3"/>
    <n v="1"/>
    <s v="Research Scientist"/>
    <n v="4"/>
    <s v="Married"/>
    <n v="2070"/>
    <n v="2613"/>
    <n v="1"/>
    <s v="No"/>
    <n v="23"/>
    <n v="4"/>
    <n v="4"/>
    <n v="1"/>
    <n v="5"/>
    <n v="3"/>
    <n v="2"/>
    <n v="5"/>
    <n v="2"/>
    <n v="0"/>
    <n v="4"/>
    <x v="2"/>
  </r>
  <r>
    <n v="37"/>
    <x v="1"/>
    <s v="Travel_Rarely"/>
    <n v="228"/>
    <s v="Sales"/>
    <n v="6"/>
    <n v="4"/>
    <s v="Medical"/>
    <n v="378"/>
    <n v="3"/>
    <s v="Male"/>
    <n v="98"/>
    <n v="3"/>
    <n v="2"/>
    <s v="Sales Executive"/>
    <n v="4"/>
    <s v="Married"/>
    <n v="6502"/>
    <n v="22825"/>
    <n v="4"/>
    <s v="No"/>
    <n v="14"/>
    <n v="3"/>
    <n v="2"/>
    <n v="1"/>
    <n v="7"/>
    <n v="5"/>
    <n v="4"/>
    <n v="5"/>
    <n v="4"/>
    <n v="0"/>
    <n v="1"/>
    <x v="0"/>
  </r>
  <r>
    <n v="21"/>
    <x v="1"/>
    <s v="Travel_Rarely"/>
    <n v="996"/>
    <s v="Research &amp; Development"/>
    <n v="3"/>
    <n v="2"/>
    <s v="Medical"/>
    <n v="379"/>
    <n v="4"/>
    <s v="Male"/>
    <n v="100"/>
    <n v="2"/>
    <n v="1"/>
    <s v="Research Scientist"/>
    <n v="3"/>
    <s v="Single"/>
    <n v="3230"/>
    <n v="10531"/>
    <n v="1"/>
    <s v="No"/>
    <n v="17"/>
    <n v="3"/>
    <n v="1"/>
    <n v="0"/>
    <n v="3"/>
    <n v="4"/>
    <n v="4"/>
    <n v="3"/>
    <n v="2"/>
    <n v="1"/>
    <n v="0"/>
    <x v="2"/>
  </r>
  <r>
    <n v="37"/>
    <x v="1"/>
    <s v="Non-Travel"/>
    <n v="728"/>
    <s v="Research &amp; Development"/>
    <n v="1"/>
    <n v="4"/>
    <s v="Medical"/>
    <n v="380"/>
    <n v="1"/>
    <s v="Female"/>
    <n v="80"/>
    <n v="3"/>
    <n v="3"/>
    <s v="Research Director"/>
    <n v="4"/>
    <s v="Divorced"/>
    <n v="13603"/>
    <n v="11677"/>
    <n v="2"/>
    <s v="Yes"/>
    <n v="18"/>
    <n v="3"/>
    <n v="1"/>
    <n v="2"/>
    <n v="15"/>
    <n v="2"/>
    <n v="3"/>
    <n v="5"/>
    <n v="2"/>
    <n v="0"/>
    <n v="2"/>
    <x v="0"/>
  </r>
  <r>
    <n v="35"/>
    <x v="1"/>
    <s v="Travel_Rarely"/>
    <n v="1315"/>
    <s v="Research &amp; Development"/>
    <n v="22"/>
    <n v="3"/>
    <s v="Life Sciences"/>
    <n v="381"/>
    <n v="2"/>
    <s v="Female"/>
    <n v="71"/>
    <n v="4"/>
    <n v="3"/>
    <s v="Manager"/>
    <n v="2"/>
    <s v="Divorced"/>
    <n v="11996"/>
    <n v="19100"/>
    <n v="7"/>
    <s v="No"/>
    <n v="18"/>
    <n v="3"/>
    <n v="2"/>
    <n v="1"/>
    <n v="10"/>
    <n v="6"/>
    <n v="2"/>
    <n v="7"/>
    <n v="7"/>
    <n v="6"/>
    <n v="2"/>
    <x v="0"/>
  </r>
  <r>
    <n v="38"/>
    <x v="1"/>
    <s v="Travel_Rarely"/>
    <n v="322"/>
    <s v="Sales"/>
    <n v="7"/>
    <n v="2"/>
    <s v="Medical"/>
    <n v="382"/>
    <n v="1"/>
    <s v="Female"/>
    <n v="44"/>
    <n v="4"/>
    <n v="2"/>
    <s v="Sales Executive"/>
    <n v="1"/>
    <s v="Divorced"/>
    <n v="5605"/>
    <n v="19191"/>
    <n v="1"/>
    <s v="Yes"/>
    <n v="24"/>
    <n v="4"/>
    <n v="3"/>
    <n v="1"/>
    <n v="8"/>
    <n v="3"/>
    <n v="3"/>
    <n v="8"/>
    <n v="0"/>
    <n v="7"/>
    <n v="7"/>
    <x v="0"/>
  </r>
  <r>
    <n v="26"/>
    <x v="1"/>
    <s v="Travel_Frequently"/>
    <n v="1479"/>
    <s v="Research &amp; Development"/>
    <n v="1"/>
    <n v="3"/>
    <s v="Life Sciences"/>
    <n v="384"/>
    <n v="3"/>
    <s v="Female"/>
    <n v="84"/>
    <n v="3"/>
    <n v="2"/>
    <s v="Manufacturing Director"/>
    <n v="2"/>
    <s v="Divorced"/>
    <n v="6397"/>
    <n v="26767"/>
    <n v="1"/>
    <s v="No"/>
    <n v="20"/>
    <n v="4"/>
    <n v="1"/>
    <n v="1"/>
    <n v="6"/>
    <n v="6"/>
    <n v="1"/>
    <n v="6"/>
    <n v="5"/>
    <n v="1"/>
    <n v="4"/>
    <x v="2"/>
  </r>
  <r>
    <n v="50"/>
    <x v="1"/>
    <s v="Travel_Rarely"/>
    <n v="797"/>
    <s v="Research &amp; Development"/>
    <n v="4"/>
    <n v="1"/>
    <s v="Life Sciences"/>
    <n v="385"/>
    <n v="1"/>
    <s v="Male"/>
    <n v="96"/>
    <n v="3"/>
    <n v="5"/>
    <s v="Research Director"/>
    <n v="2"/>
    <s v="Divorced"/>
    <n v="19144"/>
    <n v="15815"/>
    <n v="3"/>
    <s v="No"/>
    <n v="14"/>
    <n v="3"/>
    <n v="1"/>
    <n v="2"/>
    <n v="28"/>
    <n v="4"/>
    <n v="2"/>
    <n v="10"/>
    <n v="4"/>
    <n v="1"/>
    <n v="6"/>
    <x v="1"/>
  </r>
  <r>
    <n v="53"/>
    <x v="1"/>
    <s v="Travel_Rarely"/>
    <n v="1070"/>
    <s v="Research &amp; Development"/>
    <n v="3"/>
    <n v="4"/>
    <s v="Medical"/>
    <n v="386"/>
    <n v="3"/>
    <s v="Male"/>
    <n v="45"/>
    <n v="3"/>
    <n v="4"/>
    <s v="Research Director"/>
    <n v="3"/>
    <s v="Married"/>
    <n v="17584"/>
    <n v="21016"/>
    <n v="3"/>
    <s v="Yes"/>
    <n v="16"/>
    <n v="3"/>
    <n v="4"/>
    <n v="3"/>
    <n v="21"/>
    <n v="5"/>
    <n v="2"/>
    <n v="5"/>
    <n v="3"/>
    <n v="1"/>
    <n v="3"/>
    <x v="1"/>
  </r>
  <r>
    <n v="42"/>
    <x v="1"/>
    <s v="Travel_Rarely"/>
    <n v="635"/>
    <s v="Sales"/>
    <n v="1"/>
    <n v="1"/>
    <s v="Life Sciences"/>
    <n v="387"/>
    <n v="2"/>
    <s v="Male"/>
    <n v="99"/>
    <n v="3"/>
    <n v="2"/>
    <s v="Sales Executive"/>
    <n v="3"/>
    <s v="Married"/>
    <n v="4907"/>
    <n v="24532"/>
    <n v="1"/>
    <s v="No"/>
    <n v="25"/>
    <n v="4"/>
    <n v="3"/>
    <n v="0"/>
    <n v="20"/>
    <n v="3"/>
    <n v="3"/>
    <n v="20"/>
    <n v="16"/>
    <n v="11"/>
    <n v="6"/>
    <x v="0"/>
  </r>
  <r>
    <n v="29"/>
    <x v="1"/>
    <s v="Travel_Frequently"/>
    <n v="442"/>
    <s v="Sales"/>
    <n v="2"/>
    <n v="2"/>
    <s v="Life Sciences"/>
    <n v="388"/>
    <n v="2"/>
    <s v="Male"/>
    <n v="44"/>
    <n v="3"/>
    <n v="2"/>
    <s v="Sales Executive"/>
    <n v="4"/>
    <s v="Single"/>
    <n v="4554"/>
    <n v="20260"/>
    <n v="1"/>
    <s v="No"/>
    <n v="18"/>
    <n v="3"/>
    <n v="1"/>
    <n v="0"/>
    <n v="10"/>
    <n v="3"/>
    <n v="2"/>
    <n v="10"/>
    <n v="7"/>
    <n v="0"/>
    <n v="9"/>
    <x v="2"/>
  </r>
  <r>
    <n v="55"/>
    <x v="1"/>
    <s v="Travel_Rarely"/>
    <n v="147"/>
    <s v="Research &amp; Development"/>
    <n v="20"/>
    <n v="2"/>
    <s v="Technical Degree"/>
    <n v="389"/>
    <n v="2"/>
    <s v="Male"/>
    <n v="37"/>
    <n v="3"/>
    <n v="2"/>
    <s v="Laboratory Technician"/>
    <n v="4"/>
    <s v="Married"/>
    <n v="5415"/>
    <n v="15972"/>
    <n v="3"/>
    <s v="Yes"/>
    <n v="19"/>
    <n v="3"/>
    <n v="4"/>
    <n v="1"/>
    <n v="12"/>
    <n v="4"/>
    <n v="3"/>
    <n v="10"/>
    <n v="7"/>
    <n v="0"/>
    <n v="8"/>
    <x v="3"/>
  </r>
  <r>
    <n v="26"/>
    <x v="1"/>
    <s v="Travel_Frequently"/>
    <n v="496"/>
    <s v="Research &amp; Development"/>
    <n v="11"/>
    <n v="2"/>
    <s v="Medical"/>
    <n v="390"/>
    <n v="1"/>
    <s v="Male"/>
    <n v="60"/>
    <n v="3"/>
    <n v="2"/>
    <s v="Healthcare Representative"/>
    <n v="1"/>
    <s v="Married"/>
    <n v="4741"/>
    <n v="22722"/>
    <n v="1"/>
    <s v="Yes"/>
    <n v="13"/>
    <n v="3"/>
    <n v="3"/>
    <n v="1"/>
    <n v="5"/>
    <n v="3"/>
    <n v="3"/>
    <n v="5"/>
    <n v="3"/>
    <n v="3"/>
    <n v="3"/>
    <x v="2"/>
  </r>
  <r>
    <n v="37"/>
    <x v="1"/>
    <s v="Travel_Rarely"/>
    <n v="1372"/>
    <s v="Research &amp; Development"/>
    <n v="1"/>
    <n v="3"/>
    <s v="Life Sciences"/>
    <n v="391"/>
    <n v="4"/>
    <s v="Female"/>
    <n v="42"/>
    <n v="3"/>
    <n v="1"/>
    <s v="Research Scientist"/>
    <n v="4"/>
    <s v="Single"/>
    <n v="2115"/>
    <n v="15881"/>
    <n v="1"/>
    <s v="No"/>
    <n v="12"/>
    <n v="3"/>
    <n v="2"/>
    <n v="0"/>
    <n v="17"/>
    <n v="3"/>
    <n v="3"/>
    <n v="17"/>
    <n v="12"/>
    <n v="5"/>
    <n v="7"/>
    <x v="0"/>
  </r>
  <r>
    <n v="44"/>
    <x v="0"/>
    <s v="Travel_Frequently"/>
    <n v="920"/>
    <s v="Research &amp; Development"/>
    <n v="24"/>
    <n v="3"/>
    <s v="Life Sciences"/>
    <n v="392"/>
    <n v="4"/>
    <s v="Male"/>
    <n v="43"/>
    <n v="3"/>
    <n v="1"/>
    <s v="Laboratory Technician"/>
    <n v="3"/>
    <s v="Divorced"/>
    <n v="3161"/>
    <n v="19920"/>
    <n v="3"/>
    <s v="Yes"/>
    <n v="22"/>
    <n v="4"/>
    <n v="4"/>
    <n v="1"/>
    <n v="19"/>
    <n v="0"/>
    <n v="1"/>
    <n v="1"/>
    <n v="0"/>
    <n v="0"/>
    <n v="0"/>
    <x v="0"/>
  </r>
  <r>
    <n v="38"/>
    <x v="1"/>
    <s v="Travel_Rarely"/>
    <n v="688"/>
    <s v="Research &amp; Development"/>
    <n v="23"/>
    <n v="4"/>
    <s v="Life Sciences"/>
    <n v="393"/>
    <n v="4"/>
    <s v="Male"/>
    <n v="82"/>
    <n v="3"/>
    <n v="2"/>
    <s v="Healthcare Representative"/>
    <n v="4"/>
    <s v="Divorced"/>
    <n v="5745"/>
    <n v="18899"/>
    <n v="9"/>
    <s v="No"/>
    <n v="14"/>
    <n v="3"/>
    <n v="2"/>
    <n v="1"/>
    <n v="10"/>
    <n v="2"/>
    <n v="3"/>
    <n v="2"/>
    <n v="2"/>
    <n v="1"/>
    <n v="2"/>
    <x v="0"/>
  </r>
  <r>
    <n v="26"/>
    <x v="0"/>
    <s v="Travel_Rarely"/>
    <n v="1449"/>
    <s v="Research &amp; Development"/>
    <n v="16"/>
    <n v="4"/>
    <s v="Medical"/>
    <n v="394"/>
    <n v="1"/>
    <s v="Male"/>
    <n v="45"/>
    <n v="3"/>
    <n v="1"/>
    <s v="Laboratory Technician"/>
    <n v="2"/>
    <s v="Divorced"/>
    <n v="2373"/>
    <n v="14180"/>
    <n v="2"/>
    <s v="Yes"/>
    <n v="13"/>
    <n v="3"/>
    <n v="4"/>
    <n v="1"/>
    <n v="5"/>
    <n v="2"/>
    <n v="3"/>
    <n v="3"/>
    <n v="2"/>
    <n v="0"/>
    <n v="2"/>
    <x v="2"/>
  </r>
  <r>
    <n v="28"/>
    <x v="1"/>
    <s v="Travel_Rarely"/>
    <n v="1117"/>
    <s v="Research &amp; Development"/>
    <n v="8"/>
    <n v="2"/>
    <s v="Life Sciences"/>
    <n v="395"/>
    <n v="4"/>
    <s v="Female"/>
    <n v="66"/>
    <n v="3"/>
    <n v="1"/>
    <s v="Research Scientist"/>
    <n v="4"/>
    <s v="Single"/>
    <n v="3310"/>
    <n v="4488"/>
    <n v="1"/>
    <s v="No"/>
    <n v="21"/>
    <n v="4"/>
    <n v="4"/>
    <n v="0"/>
    <n v="5"/>
    <n v="3"/>
    <n v="3"/>
    <n v="5"/>
    <n v="3"/>
    <n v="0"/>
    <n v="2"/>
    <x v="2"/>
  </r>
  <r>
    <n v="49"/>
    <x v="1"/>
    <s v="Travel_Frequently"/>
    <n v="636"/>
    <s v="Research &amp; Development"/>
    <n v="10"/>
    <n v="4"/>
    <s v="Life Sciences"/>
    <n v="396"/>
    <n v="3"/>
    <s v="Female"/>
    <n v="35"/>
    <n v="3"/>
    <n v="5"/>
    <s v="Research Director"/>
    <n v="1"/>
    <s v="Single"/>
    <n v="18665"/>
    <n v="25594"/>
    <n v="9"/>
    <s v="Yes"/>
    <n v="11"/>
    <n v="3"/>
    <n v="4"/>
    <n v="0"/>
    <n v="22"/>
    <n v="4"/>
    <n v="3"/>
    <n v="3"/>
    <n v="2"/>
    <n v="1"/>
    <n v="2"/>
    <x v="1"/>
  </r>
  <r>
    <n v="36"/>
    <x v="1"/>
    <s v="Travel_Rarely"/>
    <n v="506"/>
    <s v="Research &amp; Development"/>
    <n v="3"/>
    <n v="3"/>
    <s v="Technical Degree"/>
    <n v="397"/>
    <n v="3"/>
    <s v="Male"/>
    <n v="30"/>
    <n v="3"/>
    <n v="2"/>
    <s v="Research Scientist"/>
    <n v="2"/>
    <s v="Single"/>
    <n v="4485"/>
    <n v="26285"/>
    <n v="4"/>
    <s v="No"/>
    <n v="12"/>
    <n v="3"/>
    <n v="4"/>
    <n v="0"/>
    <n v="10"/>
    <n v="2"/>
    <n v="3"/>
    <n v="8"/>
    <n v="0"/>
    <n v="7"/>
    <n v="7"/>
    <x v="0"/>
  </r>
  <r>
    <n v="31"/>
    <x v="1"/>
    <s v="Travel_Frequently"/>
    <n v="444"/>
    <s v="Sales"/>
    <n v="5"/>
    <n v="3"/>
    <s v="Marketing"/>
    <n v="399"/>
    <n v="4"/>
    <s v="Female"/>
    <n v="84"/>
    <n v="3"/>
    <n v="1"/>
    <s v="Sales Representative"/>
    <n v="2"/>
    <s v="Divorced"/>
    <n v="2789"/>
    <n v="3909"/>
    <n v="1"/>
    <s v="No"/>
    <n v="11"/>
    <n v="3"/>
    <n v="3"/>
    <n v="1"/>
    <n v="2"/>
    <n v="5"/>
    <n v="2"/>
    <n v="2"/>
    <n v="2"/>
    <n v="2"/>
    <n v="2"/>
    <x v="2"/>
  </r>
  <r>
    <n v="26"/>
    <x v="0"/>
    <s v="Travel_Rarely"/>
    <n v="950"/>
    <s v="Sales"/>
    <n v="4"/>
    <n v="4"/>
    <s v="Marketing"/>
    <n v="401"/>
    <n v="4"/>
    <s v="Male"/>
    <n v="48"/>
    <n v="2"/>
    <n v="2"/>
    <s v="Sales Executive"/>
    <n v="4"/>
    <s v="Single"/>
    <n v="5828"/>
    <n v="8450"/>
    <n v="1"/>
    <s v="Yes"/>
    <n v="12"/>
    <n v="3"/>
    <n v="2"/>
    <n v="0"/>
    <n v="8"/>
    <n v="0"/>
    <n v="3"/>
    <n v="8"/>
    <n v="7"/>
    <n v="7"/>
    <n v="4"/>
    <x v="2"/>
  </r>
  <r>
    <n v="37"/>
    <x v="1"/>
    <s v="Travel_Frequently"/>
    <n v="889"/>
    <s v="Research &amp; Development"/>
    <n v="9"/>
    <n v="3"/>
    <s v="Medical"/>
    <n v="403"/>
    <n v="2"/>
    <s v="Male"/>
    <n v="53"/>
    <n v="3"/>
    <n v="1"/>
    <s v="Research Scientist"/>
    <n v="4"/>
    <s v="Married"/>
    <n v="2326"/>
    <n v="11411"/>
    <n v="1"/>
    <s v="Yes"/>
    <n v="12"/>
    <n v="3"/>
    <n v="3"/>
    <n v="3"/>
    <n v="4"/>
    <n v="3"/>
    <n v="2"/>
    <n v="4"/>
    <n v="2"/>
    <n v="1"/>
    <n v="2"/>
    <x v="0"/>
  </r>
  <r>
    <n v="42"/>
    <x v="1"/>
    <s v="Travel_Frequently"/>
    <n v="555"/>
    <s v="Sales"/>
    <n v="26"/>
    <n v="3"/>
    <s v="Marketing"/>
    <n v="404"/>
    <n v="3"/>
    <s v="Female"/>
    <n v="77"/>
    <n v="3"/>
    <n v="4"/>
    <s v="Sales Executive"/>
    <n v="2"/>
    <s v="Married"/>
    <n v="13525"/>
    <n v="14864"/>
    <n v="5"/>
    <s v="No"/>
    <n v="14"/>
    <n v="3"/>
    <n v="4"/>
    <n v="1"/>
    <n v="23"/>
    <n v="2"/>
    <n v="4"/>
    <n v="20"/>
    <n v="4"/>
    <n v="4"/>
    <n v="8"/>
    <x v="0"/>
  </r>
  <r>
    <n v="18"/>
    <x v="0"/>
    <s v="Travel_Rarely"/>
    <n v="230"/>
    <s v="Research &amp; Development"/>
    <n v="3"/>
    <n v="3"/>
    <s v="Life Sciences"/>
    <n v="405"/>
    <n v="3"/>
    <s v="Male"/>
    <n v="54"/>
    <n v="3"/>
    <n v="1"/>
    <s v="Laboratory Technician"/>
    <n v="3"/>
    <s v="Single"/>
    <n v="1420"/>
    <n v="25233"/>
    <n v="1"/>
    <s v="No"/>
    <n v="13"/>
    <n v="3"/>
    <n v="3"/>
    <n v="0"/>
    <n v="0"/>
    <n v="2"/>
    <n v="3"/>
    <n v="0"/>
    <n v="0"/>
    <n v="0"/>
    <n v="0"/>
    <x v="2"/>
  </r>
  <r>
    <n v="35"/>
    <x v="1"/>
    <s v="Travel_Rarely"/>
    <n v="1232"/>
    <s v="Sales"/>
    <n v="16"/>
    <n v="3"/>
    <s v="Marketing"/>
    <n v="406"/>
    <n v="3"/>
    <s v="Male"/>
    <n v="96"/>
    <n v="3"/>
    <n v="3"/>
    <s v="Sales Executive"/>
    <n v="2"/>
    <s v="Married"/>
    <n v="8020"/>
    <n v="5100"/>
    <n v="0"/>
    <s v="No"/>
    <n v="15"/>
    <n v="3"/>
    <n v="3"/>
    <n v="2"/>
    <n v="12"/>
    <n v="3"/>
    <n v="2"/>
    <n v="11"/>
    <n v="9"/>
    <n v="6"/>
    <n v="9"/>
    <x v="0"/>
  </r>
  <r>
    <n v="36"/>
    <x v="1"/>
    <s v="Travel_Frequently"/>
    <n v="566"/>
    <s v="Research &amp; Development"/>
    <n v="18"/>
    <n v="4"/>
    <s v="Life Sciences"/>
    <n v="407"/>
    <n v="3"/>
    <s v="Male"/>
    <n v="81"/>
    <n v="4"/>
    <n v="1"/>
    <s v="Laboratory Technician"/>
    <n v="4"/>
    <s v="Married"/>
    <n v="3688"/>
    <n v="7122"/>
    <n v="4"/>
    <s v="No"/>
    <n v="18"/>
    <n v="3"/>
    <n v="4"/>
    <n v="2"/>
    <n v="4"/>
    <n v="2"/>
    <n v="3"/>
    <n v="1"/>
    <n v="0"/>
    <n v="0"/>
    <n v="0"/>
    <x v="0"/>
  </r>
  <r>
    <n v="51"/>
    <x v="1"/>
    <s v="Travel_Rarely"/>
    <n v="1302"/>
    <s v="Research &amp; Development"/>
    <n v="2"/>
    <n v="3"/>
    <s v="Medical"/>
    <n v="408"/>
    <n v="4"/>
    <s v="Male"/>
    <n v="84"/>
    <n v="1"/>
    <n v="2"/>
    <s v="Manufacturing Director"/>
    <n v="2"/>
    <s v="Divorced"/>
    <n v="5482"/>
    <n v="16321"/>
    <n v="5"/>
    <s v="No"/>
    <n v="18"/>
    <n v="3"/>
    <n v="4"/>
    <n v="1"/>
    <n v="13"/>
    <n v="3"/>
    <n v="3"/>
    <n v="4"/>
    <n v="1"/>
    <n v="1"/>
    <n v="2"/>
    <x v="1"/>
  </r>
  <r>
    <n v="41"/>
    <x v="1"/>
    <s v="Travel_Rarely"/>
    <n v="334"/>
    <s v="Sales"/>
    <n v="2"/>
    <n v="4"/>
    <s v="Life Sciences"/>
    <n v="410"/>
    <n v="4"/>
    <s v="Male"/>
    <n v="88"/>
    <n v="3"/>
    <n v="4"/>
    <s v="Manager"/>
    <n v="2"/>
    <s v="Single"/>
    <n v="16015"/>
    <n v="15896"/>
    <n v="1"/>
    <s v="No"/>
    <n v="19"/>
    <n v="3"/>
    <n v="2"/>
    <n v="0"/>
    <n v="22"/>
    <n v="2"/>
    <n v="3"/>
    <n v="22"/>
    <n v="10"/>
    <n v="0"/>
    <n v="4"/>
    <x v="0"/>
  </r>
  <r>
    <n v="18"/>
    <x v="1"/>
    <s v="Travel_Rarely"/>
    <n v="812"/>
    <s v="Sales"/>
    <n v="10"/>
    <n v="3"/>
    <s v="Medical"/>
    <n v="411"/>
    <n v="4"/>
    <s v="Female"/>
    <n v="69"/>
    <n v="2"/>
    <n v="1"/>
    <s v="Sales Representative"/>
    <n v="3"/>
    <s v="Single"/>
    <n v="1200"/>
    <n v="9724"/>
    <n v="1"/>
    <s v="No"/>
    <n v="12"/>
    <n v="3"/>
    <n v="1"/>
    <n v="0"/>
    <n v="0"/>
    <n v="2"/>
    <n v="3"/>
    <n v="0"/>
    <n v="0"/>
    <n v="0"/>
    <n v="0"/>
    <x v="2"/>
  </r>
  <r>
    <n v="28"/>
    <x v="1"/>
    <s v="Travel_Rarely"/>
    <n v="1476"/>
    <s v="Research &amp; Development"/>
    <n v="16"/>
    <n v="2"/>
    <s v="Medical"/>
    <n v="412"/>
    <n v="2"/>
    <s v="Male"/>
    <n v="68"/>
    <n v="4"/>
    <n v="2"/>
    <s v="Healthcare Representative"/>
    <n v="1"/>
    <s v="Single"/>
    <n v="5661"/>
    <n v="4824"/>
    <n v="0"/>
    <s v="No"/>
    <n v="19"/>
    <n v="3"/>
    <n v="3"/>
    <n v="0"/>
    <n v="9"/>
    <n v="2"/>
    <n v="3"/>
    <n v="8"/>
    <n v="3"/>
    <n v="0"/>
    <n v="7"/>
    <x v="2"/>
  </r>
  <r>
    <n v="31"/>
    <x v="1"/>
    <s v="Travel_Rarely"/>
    <n v="218"/>
    <s v="Sales"/>
    <n v="7"/>
    <n v="3"/>
    <s v="Technical Degree"/>
    <n v="416"/>
    <n v="2"/>
    <s v="Male"/>
    <n v="100"/>
    <n v="4"/>
    <n v="2"/>
    <s v="Sales Executive"/>
    <n v="4"/>
    <s v="Married"/>
    <n v="6929"/>
    <n v="12241"/>
    <n v="4"/>
    <s v="No"/>
    <n v="11"/>
    <n v="3"/>
    <n v="2"/>
    <n v="1"/>
    <n v="10"/>
    <n v="3"/>
    <n v="2"/>
    <n v="8"/>
    <n v="7"/>
    <n v="7"/>
    <n v="7"/>
    <x v="2"/>
  </r>
  <r>
    <n v="39"/>
    <x v="1"/>
    <s v="Travel_Rarely"/>
    <n v="1132"/>
    <s v="Research &amp; Development"/>
    <n v="1"/>
    <n v="3"/>
    <s v="Medical"/>
    <n v="417"/>
    <n v="3"/>
    <s v="Male"/>
    <n v="48"/>
    <n v="4"/>
    <n v="3"/>
    <s v="Healthcare Representative"/>
    <n v="4"/>
    <s v="Divorced"/>
    <n v="9613"/>
    <n v="10942"/>
    <n v="0"/>
    <s v="No"/>
    <n v="17"/>
    <n v="3"/>
    <n v="1"/>
    <n v="3"/>
    <n v="19"/>
    <n v="5"/>
    <n v="2"/>
    <n v="18"/>
    <n v="10"/>
    <n v="3"/>
    <n v="7"/>
    <x v="0"/>
  </r>
  <r>
    <n v="36"/>
    <x v="1"/>
    <s v="Non-Travel"/>
    <n v="1105"/>
    <s v="Research &amp; Development"/>
    <n v="24"/>
    <n v="4"/>
    <s v="Life Sciences"/>
    <n v="419"/>
    <n v="2"/>
    <s v="Female"/>
    <n v="47"/>
    <n v="3"/>
    <n v="2"/>
    <s v="Laboratory Technician"/>
    <n v="2"/>
    <s v="Married"/>
    <n v="5674"/>
    <n v="6927"/>
    <n v="7"/>
    <s v="No"/>
    <n v="15"/>
    <n v="3"/>
    <n v="3"/>
    <n v="1"/>
    <n v="11"/>
    <n v="3"/>
    <n v="3"/>
    <n v="9"/>
    <n v="8"/>
    <n v="0"/>
    <n v="8"/>
    <x v="0"/>
  </r>
  <r>
    <n v="32"/>
    <x v="1"/>
    <s v="Travel_Rarely"/>
    <n v="906"/>
    <s v="Sales"/>
    <n v="7"/>
    <n v="3"/>
    <s v="Life Sciences"/>
    <n v="420"/>
    <n v="4"/>
    <s v="Male"/>
    <n v="91"/>
    <n v="2"/>
    <n v="2"/>
    <s v="Sales Executive"/>
    <n v="3"/>
    <s v="Married"/>
    <n v="5484"/>
    <n v="16985"/>
    <n v="1"/>
    <s v="No"/>
    <n v="14"/>
    <n v="3"/>
    <n v="3"/>
    <n v="1"/>
    <n v="13"/>
    <n v="3"/>
    <n v="2"/>
    <n v="13"/>
    <n v="8"/>
    <n v="4"/>
    <n v="8"/>
    <x v="2"/>
  </r>
  <r>
    <n v="38"/>
    <x v="1"/>
    <s v="Travel_Rarely"/>
    <n v="849"/>
    <s v="Research &amp; Development"/>
    <n v="25"/>
    <n v="2"/>
    <s v="Life Sciences"/>
    <n v="421"/>
    <n v="1"/>
    <s v="Female"/>
    <n v="81"/>
    <n v="2"/>
    <n v="3"/>
    <s v="Research Director"/>
    <n v="2"/>
    <s v="Married"/>
    <n v="12061"/>
    <n v="26707"/>
    <n v="3"/>
    <s v="No"/>
    <n v="17"/>
    <n v="3"/>
    <n v="3"/>
    <n v="1"/>
    <n v="19"/>
    <n v="2"/>
    <n v="3"/>
    <n v="10"/>
    <n v="8"/>
    <n v="0"/>
    <n v="1"/>
    <x v="0"/>
  </r>
  <r>
    <n v="58"/>
    <x v="1"/>
    <s v="Non-Travel"/>
    <n v="390"/>
    <s v="Research &amp; Development"/>
    <n v="1"/>
    <n v="4"/>
    <s v="Life Sciences"/>
    <n v="422"/>
    <n v="4"/>
    <s v="Male"/>
    <n v="32"/>
    <n v="1"/>
    <n v="2"/>
    <s v="Healthcare Representative"/>
    <n v="3"/>
    <s v="Divorced"/>
    <n v="5660"/>
    <n v="17056"/>
    <n v="2"/>
    <s v="Yes"/>
    <n v="13"/>
    <n v="3"/>
    <n v="4"/>
    <n v="1"/>
    <n v="12"/>
    <n v="2"/>
    <n v="3"/>
    <n v="5"/>
    <n v="3"/>
    <n v="1"/>
    <n v="2"/>
    <x v="3"/>
  </r>
  <r>
    <n v="31"/>
    <x v="1"/>
    <s v="Travel_Rarely"/>
    <n v="691"/>
    <s v="Research &amp; Development"/>
    <n v="5"/>
    <n v="4"/>
    <s v="Technical Degree"/>
    <n v="423"/>
    <n v="3"/>
    <s v="Male"/>
    <n v="86"/>
    <n v="3"/>
    <n v="1"/>
    <s v="Research Scientist"/>
    <n v="4"/>
    <s v="Married"/>
    <n v="4821"/>
    <n v="10077"/>
    <n v="0"/>
    <s v="Yes"/>
    <n v="12"/>
    <n v="3"/>
    <n v="3"/>
    <n v="1"/>
    <n v="6"/>
    <n v="4"/>
    <n v="3"/>
    <n v="5"/>
    <n v="2"/>
    <n v="0"/>
    <n v="3"/>
    <x v="2"/>
  </r>
  <r>
    <n v="31"/>
    <x v="1"/>
    <s v="Travel_Rarely"/>
    <n v="106"/>
    <s v="Human Resources"/>
    <n v="2"/>
    <n v="3"/>
    <s v="Human Resources"/>
    <n v="424"/>
    <n v="1"/>
    <s v="Male"/>
    <n v="62"/>
    <n v="2"/>
    <n v="2"/>
    <s v="Human Resources"/>
    <n v="1"/>
    <s v="Married"/>
    <n v="6410"/>
    <n v="17822"/>
    <n v="3"/>
    <s v="No"/>
    <n v="12"/>
    <n v="3"/>
    <n v="4"/>
    <n v="0"/>
    <n v="9"/>
    <n v="1"/>
    <n v="3"/>
    <n v="2"/>
    <n v="2"/>
    <n v="1"/>
    <n v="0"/>
    <x v="2"/>
  </r>
  <r>
    <n v="45"/>
    <x v="1"/>
    <s v="Travel_Frequently"/>
    <n v="1249"/>
    <s v="Research &amp; Development"/>
    <n v="7"/>
    <n v="3"/>
    <s v="Life Sciences"/>
    <n v="425"/>
    <n v="1"/>
    <s v="Male"/>
    <n v="97"/>
    <n v="3"/>
    <n v="3"/>
    <s v="Laboratory Technician"/>
    <n v="1"/>
    <s v="Divorced"/>
    <n v="5210"/>
    <n v="20308"/>
    <n v="1"/>
    <s v="No"/>
    <n v="18"/>
    <n v="3"/>
    <n v="1"/>
    <n v="1"/>
    <n v="24"/>
    <n v="2"/>
    <n v="3"/>
    <n v="24"/>
    <n v="9"/>
    <n v="9"/>
    <n v="11"/>
    <x v="1"/>
  </r>
  <r>
    <n v="31"/>
    <x v="1"/>
    <s v="Travel_Rarely"/>
    <n v="192"/>
    <s v="Research &amp; Development"/>
    <n v="2"/>
    <n v="4"/>
    <s v="Life Sciences"/>
    <n v="426"/>
    <n v="3"/>
    <s v="Male"/>
    <n v="32"/>
    <n v="3"/>
    <n v="1"/>
    <s v="Research Scientist"/>
    <n v="4"/>
    <s v="Divorced"/>
    <n v="2695"/>
    <n v="7747"/>
    <n v="0"/>
    <s v="Yes"/>
    <n v="18"/>
    <n v="3"/>
    <n v="2"/>
    <n v="1"/>
    <n v="3"/>
    <n v="2"/>
    <n v="1"/>
    <n v="2"/>
    <n v="2"/>
    <n v="2"/>
    <n v="2"/>
    <x v="2"/>
  </r>
  <r>
    <n v="33"/>
    <x v="1"/>
    <s v="Travel_Frequently"/>
    <n v="553"/>
    <s v="Research &amp; Development"/>
    <n v="5"/>
    <n v="4"/>
    <s v="Life Sciences"/>
    <n v="428"/>
    <n v="4"/>
    <s v="Female"/>
    <n v="74"/>
    <n v="3"/>
    <n v="3"/>
    <s v="Manager"/>
    <n v="2"/>
    <s v="Married"/>
    <n v="11878"/>
    <n v="23364"/>
    <n v="6"/>
    <s v="No"/>
    <n v="11"/>
    <n v="3"/>
    <n v="2"/>
    <n v="2"/>
    <n v="12"/>
    <n v="2"/>
    <n v="3"/>
    <n v="10"/>
    <n v="6"/>
    <n v="8"/>
    <n v="8"/>
    <x v="2"/>
  </r>
  <r>
    <n v="39"/>
    <x v="1"/>
    <s v="Travel_Rarely"/>
    <n v="117"/>
    <s v="Research &amp; Development"/>
    <n v="10"/>
    <n v="1"/>
    <s v="Medical"/>
    <n v="429"/>
    <n v="3"/>
    <s v="Male"/>
    <n v="99"/>
    <n v="3"/>
    <n v="4"/>
    <s v="Manager"/>
    <n v="1"/>
    <s v="Married"/>
    <n v="17068"/>
    <n v="5355"/>
    <n v="1"/>
    <s v="Yes"/>
    <n v="14"/>
    <n v="3"/>
    <n v="4"/>
    <n v="0"/>
    <n v="21"/>
    <n v="3"/>
    <n v="3"/>
    <n v="21"/>
    <n v="9"/>
    <n v="11"/>
    <n v="10"/>
    <x v="0"/>
  </r>
  <r>
    <n v="43"/>
    <x v="1"/>
    <s v="Travel_Frequently"/>
    <n v="185"/>
    <s v="Research &amp; Development"/>
    <n v="10"/>
    <n v="4"/>
    <s v="Life Sciences"/>
    <n v="430"/>
    <n v="3"/>
    <s v="Female"/>
    <n v="33"/>
    <n v="3"/>
    <n v="1"/>
    <s v="Laboratory Technician"/>
    <n v="4"/>
    <s v="Single"/>
    <n v="2455"/>
    <n v="10675"/>
    <n v="0"/>
    <s v="No"/>
    <n v="19"/>
    <n v="3"/>
    <n v="1"/>
    <n v="0"/>
    <n v="9"/>
    <n v="5"/>
    <n v="3"/>
    <n v="8"/>
    <n v="7"/>
    <n v="1"/>
    <n v="7"/>
    <x v="0"/>
  </r>
  <r>
    <n v="49"/>
    <x v="1"/>
    <s v="Travel_Rarely"/>
    <n v="1091"/>
    <s v="Research &amp; Development"/>
    <n v="1"/>
    <n v="2"/>
    <s v="Technical Degree"/>
    <n v="431"/>
    <n v="3"/>
    <s v="Female"/>
    <n v="90"/>
    <n v="2"/>
    <n v="4"/>
    <s v="Healthcare Representative"/>
    <n v="3"/>
    <s v="Single"/>
    <n v="13964"/>
    <n v="17810"/>
    <n v="7"/>
    <s v="Yes"/>
    <n v="12"/>
    <n v="3"/>
    <n v="4"/>
    <n v="0"/>
    <n v="25"/>
    <n v="2"/>
    <n v="3"/>
    <n v="7"/>
    <n v="1"/>
    <n v="0"/>
    <n v="7"/>
    <x v="1"/>
  </r>
  <r>
    <n v="52"/>
    <x v="0"/>
    <s v="Travel_Rarely"/>
    <n v="723"/>
    <s v="Research &amp; Development"/>
    <n v="8"/>
    <n v="4"/>
    <s v="Medical"/>
    <n v="433"/>
    <n v="3"/>
    <s v="Male"/>
    <n v="85"/>
    <n v="2"/>
    <n v="2"/>
    <s v="Research Scientist"/>
    <n v="2"/>
    <s v="Married"/>
    <n v="4941"/>
    <n v="17747"/>
    <n v="2"/>
    <s v="No"/>
    <n v="15"/>
    <n v="3"/>
    <n v="1"/>
    <n v="0"/>
    <n v="11"/>
    <n v="3"/>
    <n v="2"/>
    <n v="8"/>
    <n v="2"/>
    <n v="7"/>
    <n v="7"/>
    <x v="1"/>
  </r>
  <r>
    <n v="27"/>
    <x v="1"/>
    <s v="Travel_Rarely"/>
    <n v="1220"/>
    <s v="Research &amp; Development"/>
    <n v="5"/>
    <n v="3"/>
    <s v="Life Sciences"/>
    <n v="434"/>
    <n v="3"/>
    <s v="Female"/>
    <n v="85"/>
    <n v="3"/>
    <n v="1"/>
    <s v="Research Scientist"/>
    <n v="2"/>
    <s v="Single"/>
    <n v="2478"/>
    <n v="20938"/>
    <n v="1"/>
    <s v="Yes"/>
    <n v="12"/>
    <n v="3"/>
    <n v="2"/>
    <n v="0"/>
    <n v="4"/>
    <n v="2"/>
    <n v="2"/>
    <n v="4"/>
    <n v="3"/>
    <n v="1"/>
    <n v="2"/>
    <x v="2"/>
  </r>
  <r>
    <n v="32"/>
    <x v="1"/>
    <s v="Travel_Rarely"/>
    <n v="588"/>
    <s v="Sales"/>
    <n v="8"/>
    <n v="2"/>
    <s v="Technical Degree"/>
    <n v="436"/>
    <n v="3"/>
    <s v="Female"/>
    <n v="65"/>
    <n v="2"/>
    <n v="2"/>
    <s v="Sales Executive"/>
    <n v="2"/>
    <s v="Married"/>
    <n v="5228"/>
    <n v="24624"/>
    <n v="1"/>
    <s v="Yes"/>
    <n v="11"/>
    <n v="3"/>
    <n v="4"/>
    <n v="0"/>
    <n v="13"/>
    <n v="2"/>
    <n v="3"/>
    <n v="13"/>
    <n v="12"/>
    <n v="11"/>
    <n v="9"/>
    <x v="2"/>
  </r>
  <r>
    <n v="27"/>
    <x v="1"/>
    <s v="Travel_Rarely"/>
    <n v="1377"/>
    <s v="Sales"/>
    <n v="2"/>
    <n v="3"/>
    <s v="Life Sciences"/>
    <n v="437"/>
    <n v="4"/>
    <s v="Male"/>
    <n v="74"/>
    <n v="3"/>
    <n v="2"/>
    <s v="Sales Executive"/>
    <n v="3"/>
    <s v="Single"/>
    <n v="4478"/>
    <n v="5242"/>
    <n v="1"/>
    <s v="Yes"/>
    <n v="11"/>
    <n v="3"/>
    <n v="1"/>
    <n v="0"/>
    <n v="5"/>
    <n v="3"/>
    <n v="3"/>
    <n v="5"/>
    <n v="4"/>
    <n v="0"/>
    <n v="4"/>
    <x v="2"/>
  </r>
  <r>
    <n v="31"/>
    <x v="1"/>
    <s v="Travel_Rarely"/>
    <n v="691"/>
    <s v="Sales"/>
    <n v="7"/>
    <n v="3"/>
    <s v="Marketing"/>
    <n v="438"/>
    <n v="4"/>
    <s v="Male"/>
    <n v="73"/>
    <n v="3"/>
    <n v="2"/>
    <s v="Sales Executive"/>
    <n v="4"/>
    <s v="Divorced"/>
    <n v="7547"/>
    <n v="7143"/>
    <n v="4"/>
    <s v="No"/>
    <n v="12"/>
    <n v="3"/>
    <n v="4"/>
    <n v="3"/>
    <n v="13"/>
    <n v="3"/>
    <n v="3"/>
    <n v="7"/>
    <n v="7"/>
    <n v="1"/>
    <n v="7"/>
    <x v="2"/>
  </r>
  <r>
    <n v="32"/>
    <x v="1"/>
    <s v="Travel_Rarely"/>
    <n v="1018"/>
    <s v="Research &amp; Development"/>
    <n v="2"/>
    <n v="4"/>
    <s v="Medical"/>
    <n v="439"/>
    <n v="1"/>
    <s v="Female"/>
    <n v="74"/>
    <n v="4"/>
    <n v="2"/>
    <s v="Research Scientist"/>
    <n v="4"/>
    <s v="Single"/>
    <n v="5055"/>
    <n v="10557"/>
    <n v="7"/>
    <s v="No"/>
    <n v="16"/>
    <n v="3"/>
    <n v="3"/>
    <n v="0"/>
    <n v="10"/>
    <n v="0"/>
    <n v="2"/>
    <n v="7"/>
    <n v="7"/>
    <n v="0"/>
    <n v="7"/>
    <x v="2"/>
  </r>
  <r>
    <n v="28"/>
    <x v="0"/>
    <s v="Travel_Rarely"/>
    <n v="1157"/>
    <s v="Research &amp; Development"/>
    <n v="2"/>
    <n v="4"/>
    <s v="Medical"/>
    <n v="440"/>
    <n v="1"/>
    <s v="Male"/>
    <n v="84"/>
    <n v="1"/>
    <n v="1"/>
    <s v="Research Scientist"/>
    <n v="4"/>
    <s v="Married"/>
    <n v="3464"/>
    <n v="24737"/>
    <n v="5"/>
    <s v="Yes"/>
    <n v="13"/>
    <n v="3"/>
    <n v="4"/>
    <n v="0"/>
    <n v="5"/>
    <n v="4"/>
    <n v="2"/>
    <n v="3"/>
    <n v="2"/>
    <n v="2"/>
    <n v="2"/>
    <x v="2"/>
  </r>
  <r>
    <n v="30"/>
    <x v="1"/>
    <s v="Travel_Rarely"/>
    <n v="1275"/>
    <s v="Research &amp; Development"/>
    <n v="28"/>
    <n v="2"/>
    <s v="Medical"/>
    <n v="441"/>
    <n v="4"/>
    <s v="Female"/>
    <n v="64"/>
    <n v="3"/>
    <n v="2"/>
    <s v="Research Scientist"/>
    <n v="4"/>
    <s v="Married"/>
    <n v="5775"/>
    <n v="11934"/>
    <n v="1"/>
    <s v="No"/>
    <n v="13"/>
    <n v="3"/>
    <n v="4"/>
    <n v="2"/>
    <n v="11"/>
    <n v="2"/>
    <n v="3"/>
    <n v="10"/>
    <n v="8"/>
    <n v="1"/>
    <n v="9"/>
    <x v="2"/>
  </r>
  <r>
    <n v="31"/>
    <x v="1"/>
    <s v="Travel_Frequently"/>
    <n v="798"/>
    <s v="Research &amp; Development"/>
    <n v="7"/>
    <n v="2"/>
    <s v="Life Sciences"/>
    <n v="442"/>
    <n v="3"/>
    <s v="Female"/>
    <n v="48"/>
    <n v="2"/>
    <n v="3"/>
    <s v="Manufacturing Director"/>
    <n v="3"/>
    <s v="Married"/>
    <n v="8943"/>
    <n v="14034"/>
    <n v="1"/>
    <s v="No"/>
    <n v="24"/>
    <n v="4"/>
    <n v="1"/>
    <n v="1"/>
    <n v="10"/>
    <n v="2"/>
    <n v="3"/>
    <n v="10"/>
    <n v="9"/>
    <n v="8"/>
    <n v="9"/>
    <x v="2"/>
  </r>
  <r>
    <n v="39"/>
    <x v="1"/>
    <s v="Travel_Frequently"/>
    <n v="672"/>
    <s v="Research &amp; Development"/>
    <n v="7"/>
    <n v="2"/>
    <s v="Medical"/>
    <n v="444"/>
    <n v="3"/>
    <s v="Male"/>
    <n v="54"/>
    <n v="2"/>
    <n v="5"/>
    <s v="Manager"/>
    <n v="4"/>
    <s v="Married"/>
    <n v="19272"/>
    <n v="21141"/>
    <n v="1"/>
    <s v="No"/>
    <n v="15"/>
    <n v="3"/>
    <n v="1"/>
    <n v="1"/>
    <n v="21"/>
    <n v="2"/>
    <n v="3"/>
    <n v="21"/>
    <n v="9"/>
    <n v="13"/>
    <n v="3"/>
    <x v="0"/>
  </r>
  <r>
    <n v="39"/>
    <x v="0"/>
    <s v="Travel_Rarely"/>
    <n v="1162"/>
    <s v="Sales"/>
    <n v="3"/>
    <n v="2"/>
    <s v="Medical"/>
    <n v="445"/>
    <n v="4"/>
    <s v="Female"/>
    <n v="41"/>
    <n v="3"/>
    <n v="2"/>
    <s v="Sales Executive"/>
    <n v="3"/>
    <s v="Married"/>
    <n v="5238"/>
    <n v="17778"/>
    <n v="4"/>
    <s v="Yes"/>
    <n v="18"/>
    <n v="3"/>
    <n v="1"/>
    <n v="0"/>
    <n v="12"/>
    <n v="3"/>
    <n v="2"/>
    <n v="1"/>
    <n v="0"/>
    <n v="0"/>
    <n v="0"/>
    <x v="0"/>
  </r>
  <r>
    <n v="33"/>
    <x v="1"/>
    <s v="Travel_Frequently"/>
    <n v="508"/>
    <s v="Sales"/>
    <n v="10"/>
    <n v="3"/>
    <s v="Marketing"/>
    <n v="446"/>
    <n v="2"/>
    <s v="Male"/>
    <n v="46"/>
    <n v="2"/>
    <n v="2"/>
    <s v="Sales Executive"/>
    <n v="4"/>
    <s v="Single"/>
    <n v="4682"/>
    <n v="4317"/>
    <n v="3"/>
    <s v="No"/>
    <n v="14"/>
    <n v="3"/>
    <n v="3"/>
    <n v="0"/>
    <n v="9"/>
    <n v="6"/>
    <n v="2"/>
    <n v="7"/>
    <n v="7"/>
    <n v="0"/>
    <n v="1"/>
    <x v="2"/>
  </r>
  <r>
    <n v="47"/>
    <x v="1"/>
    <s v="Travel_Rarely"/>
    <n v="1482"/>
    <s v="Research &amp; Development"/>
    <n v="5"/>
    <n v="5"/>
    <s v="Life Sciences"/>
    <n v="447"/>
    <n v="4"/>
    <s v="Male"/>
    <n v="42"/>
    <n v="3"/>
    <n v="5"/>
    <s v="Research Director"/>
    <n v="3"/>
    <s v="Married"/>
    <n v="18300"/>
    <n v="16375"/>
    <n v="4"/>
    <s v="No"/>
    <n v="11"/>
    <n v="3"/>
    <n v="2"/>
    <n v="1"/>
    <n v="21"/>
    <n v="2"/>
    <n v="3"/>
    <n v="3"/>
    <n v="2"/>
    <n v="1"/>
    <n v="1"/>
    <x v="1"/>
  </r>
  <r>
    <n v="43"/>
    <x v="1"/>
    <s v="Travel_Frequently"/>
    <n v="559"/>
    <s v="Research &amp; Development"/>
    <n v="10"/>
    <n v="4"/>
    <s v="Life Sciences"/>
    <n v="448"/>
    <n v="3"/>
    <s v="Female"/>
    <n v="82"/>
    <n v="2"/>
    <n v="2"/>
    <s v="Laboratory Technician"/>
    <n v="3"/>
    <s v="Divorced"/>
    <n v="5257"/>
    <n v="6227"/>
    <n v="1"/>
    <s v="No"/>
    <n v="11"/>
    <n v="3"/>
    <n v="2"/>
    <n v="1"/>
    <n v="9"/>
    <n v="3"/>
    <n v="4"/>
    <n v="9"/>
    <n v="7"/>
    <n v="0"/>
    <n v="0"/>
    <x v="0"/>
  </r>
  <r>
    <n v="27"/>
    <x v="1"/>
    <s v="Non-Travel"/>
    <n v="210"/>
    <s v="Sales"/>
    <n v="1"/>
    <n v="1"/>
    <s v="Marketing"/>
    <n v="449"/>
    <n v="3"/>
    <s v="Male"/>
    <n v="73"/>
    <n v="3"/>
    <n v="2"/>
    <s v="Sales Executive"/>
    <n v="2"/>
    <s v="Married"/>
    <n v="6349"/>
    <n v="22107"/>
    <n v="0"/>
    <s v="Yes"/>
    <n v="13"/>
    <n v="3"/>
    <n v="4"/>
    <n v="1"/>
    <n v="6"/>
    <n v="0"/>
    <n v="3"/>
    <n v="5"/>
    <n v="4"/>
    <n v="1"/>
    <n v="4"/>
    <x v="2"/>
  </r>
  <r>
    <n v="54"/>
    <x v="1"/>
    <s v="Travel_Frequently"/>
    <n v="928"/>
    <s v="Research &amp; Development"/>
    <n v="20"/>
    <n v="4"/>
    <s v="Life Sciences"/>
    <n v="450"/>
    <n v="4"/>
    <s v="Female"/>
    <n v="31"/>
    <n v="3"/>
    <n v="2"/>
    <s v="Research Scientist"/>
    <n v="3"/>
    <s v="Single"/>
    <n v="4869"/>
    <n v="16885"/>
    <n v="3"/>
    <s v="No"/>
    <n v="12"/>
    <n v="3"/>
    <n v="4"/>
    <n v="0"/>
    <n v="20"/>
    <n v="4"/>
    <n v="2"/>
    <n v="4"/>
    <n v="3"/>
    <n v="0"/>
    <n v="3"/>
    <x v="1"/>
  </r>
  <r>
    <n v="43"/>
    <x v="1"/>
    <s v="Travel_Rarely"/>
    <n v="1001"/>
    <s v="Research &amp; Development"/>
    <n v="7"/>
    <n v="3"/>
    <s v="Life Sciences"/>
    <n v="451"/>
    <n v="3"/>
    <s v="Female"/>
    <n v="43"/>
    <n v="3"/>
    <n v="3"/>
    <s v="Healthcare Representative"/>
    <n v="1"/>
    <s v="Married"/>
    <n v="9985"/>
    <n v="9262"/>
    <n v="8"/>
    <s v="No"/>
    <n v="16"/>
    <n v="3"/>
    <n v="1"/>
    <n v="1"/>
    <n v="10"/>
    <n v="1"/>
    <n v="2"/>
    <n v="1"/>
    <n v="0"/>
    <n v="0"/>
    <n v="0"/>
    <x v="0"/>
  </r>
  <r>
    <n v="45"/>
    <x v="1"/>
    <s v="Travel_Rarely"/>
    <n v="549"/>
    <s v="Research &amp; Development"/>
    <n v="8"/>
    <n v="4"/>
    <s v="Other"/>
    <n v="452"/>
    <n v="4"/>
    <s v="Male"/>
    <n v="75"/>
    <n v="3"/>
    <n v="2"/>
    <s v="Research Scientist"/>
    <n v="4"/>
    <s v="Married"/>
    <n v="3697"/>
    <n v="9278"/>
    <n v="9"/>
    <s v="No"/>
    <n v="14"/>
    <n v="3"/>
    <n v="1"/>
    <n v="2"/>
    <n v="12"/>
    <n v="3"/>
    <n v="3"/>
    <n v="10"/>
    <n v="9"/>
    <n v="9"/>
    <n v="8"/>
    <x v="1"/>
  </r>
  <r>
    <n v="40"/>
    <x v="1"/>
    <s v="Travel_Rarely"/>
    <n v="1124"/>
    <s v="Sales"/>
    <n v="1"/>
    <n v="2"/>
    <s v="Medical"/>
    <n v="453"/>
    <n v="2"/>
    <s v="Male"/>
    <n v="57"/>
    <n v="1"/>
    <n v="2"/>
    <s v="Sales Executive"/>
    <n v="4"/>
    <s v="Married"/>
    <n v="7457"/>
    <n v="13273"/>
    <n v="2"/>
    <s v="Yes"/>
    <n v="22"/>
    <n v="4"/>
    <n v="3"/>
    <n v="3"/>
    <n v="6"/>
    <n v="2"/>
    <n v="2"/>
    <n v="4"/>
    <n v="3"/>
    <n v="0"/>
    <n v="2"/>
    <x v="0"/>
  </r>
  <r>
    <n v="29"/>
    <x v="0"/>
    <s v="Travel_Rarely"/>
    <n v="318"/>
    <s v="Research &amp; Development"/>
    <n v="8"/>
    <n v="4"/>
    <s v="Other"/>
    <n v="454"/>
    <n v="2"/>
    <s v="Male"/>
    <n v="77"/>
    <n v="1"/>
    <n v="1"/>
    <s v="Laboratory Technician"/>
    <n v="1"/>
    <s v="Married"/>
    <n v="2119"/>
    <n v="4759"/>
    <n v="1"/>
    <s v="Yes"/>
    <n v="11"/>
    <n v="3"/>
    <n v="4"/>
    <n v="0"/>
    <n v="7"/>
    <n v="4"/>
    <n v="2"/>
    <n v="7"/>
    <n v="7"/>
    <n v="0"/>
    <n v="7"/>
    <x v="2"/>
  </r>
  <r>
    <n v="29"/>
    <x v="1"/>
    <s v="Travel_Rarely"/>
    <n v="738"/>
    <s v="Research &amp; Development"/>
    <n v="9"/>
    <n v="5"/>
    <s v="Other"/>
    <n v="455"/>
    <n v="2"/>
    <s v="Male"/>
    <n v="30"/>
    <n v="2"/>
    <n v="1"/>
    <s v="Laboratory Technician"/>
    <n v="4"/>
    <s v="Single"/>
    <n v="3983"/>
    <n v="7621"/>
    <n v="0"/>
    <s v="No"/>
    <n v="17"/>
    <n v="3"/>
    <n v="3"/>
    <n v="0"/>
    <n v="4"/>
    <n v="2"/>
    <n v="3"/>
    <n v="3"/>
    <n v="2"/>
    <n v="2"/>
    <n v="2"/>
    <x v="2"/>
  </r>
  <r>
    <n v="30"/>
    <x v="1"/>
    <s v="Travel_Rarely"/>
    <n v="570"/>
    <s v="Sales"/>
    <n v="5"/>
    <n v="3"/>
    <s v="Marketing"/>
    <n v="456"/>
    <n v="4"/>
    <s v="Female"/>
    <n v="30"/>
    <n v="2"/>
    <n v="2"/>
    <s v="Sales Executive"/>
    <n v="3"/>
    <s v="Divorced"/>
    <n v="6118"/>
    <n v="5431"/>
    <n v="1"/>
    <s v="No"/>
    <n v="13"/>
    <n v="3"/>
    <n v="3"/>
    <n v="3"/>
    <n v="10"/>
    <n v="2"/>
    <n v="3"/>
    <n v="10"/>
    <n v="9"/>
    <n v="1"/>
    <n v="2"/>
    <x v="2"/>
  </r>
  <r>
    <n v="27"/>
    <x v="1"/>
    <s v="Travel_Rarely"/>
    <n v="1130"/>
    <s v="Sales"/>
    <n v="8"/>
    <n v="4"/>
    <s v="Marketing"/>
    <n v="458"/>
    <n v="2"/>
    <s v="Female"/>
    <n v="56"/>
    <n v="3"/>
    <n v="2"/>
    <s v="Sales Executive"/>
    <n v="2"/>
    <s v="Married"/>
    <n v="6214"/>
    <n v="3415"/>
    <n v="1"/>
    <s v="No"/>
    <n v="18"/>
    <n v="3"/>
    <n v="1"/>
    <n v="1"/>
    <n v="8"/>
    <n v="3"/>
    <n v="3"/>
    <n v="8"/>
    <n v="7"/>
    <n v="0"/>
    <n v="7"/>
    <x v="2"/>
  </r>
  <r>
    <n v="37"/>
    <x v="1"/>
    <s v="Travel_Rarely"/>
    <n v="1192"/>
    <s v="Research &amp; Development"/>
    <n v="5"/>
    <n v="2"/>
    <s v="Medical"/>
    <n v="460"/>
    <n v="4"/>
    <s v="Male"/>
    <n v="61"/>
    <n v="3"/>
    <n v="2"/>
    <s v="Manufacturing Director"/>
    <n v="4"/>
    <s v="Divorced"/>
    <n v="6347"/>
    <n v="23177"/>
    <n v="7"/>
    <s v="No"/>
    <n v="16"/>
    <n v="3"/>
    <n v="3"/>
    <n v="2"/>
    <n v="8"/>
    <n v="2"/>
    <n v="2"/>
    <n v="6"/>
    <n v="2"/>
    <n v="0"/>
    <n v="4"/>
    <x v="0"/>
  </r>
  <r>
    <n v="38"/>
    <x v="1"/>
    <s v="Travel_Rarely"/>
    <n v="343"/>
    <s v="Research &amp; Development"/>
    <n v="15"/>
    <n v="2"/>
    <s v="Life Sciences"/>
    <n v="461"/>
    <n v="3"/>
    <s v="Male"/>
    <n v="92"/>
    <n v="2"/>
    <n v="3"/>
    <s v="Research Director"/>
    <n v="4"/>
    <s v="Divorced"/>
    <n v="11510"/>
    <n v="15682"/>
    <n v="0"/>
    <s v="Yes"/>
    <n v="14"/>
    <n v="3"/>
    <n v="2"/>
    <n v="1"/>
    <n v="12"/>
    <n v="3"/>
    <n v="3"/>
    <n v="11"/>
    <n v="10"/>
    <n v="2"/>
    <n v="9"/>
    <x v="0"/>
  </r>
  <r>
    <n v="31"/>
    <x v="1"/>
    <s v="Travel_Rarely"/>
    <n v="1232"/>
    <s v="Research &amp; Development"/>
    <n v="7"/>
    <n v="4"/>
    <s v="Medical"/>
    <n v="462"/>
    <n v="3"/>
    <s v="Female"/>
    <n v="39"/>
    <n v="3"/>
    <n v="3"/>
    <s v="Manufacturing Director"/>
    <n v="4"/>
    <s v="Single"/>
    <n v="7143"/>
    <n v="25713"/>
    <n v="1"/>
    <s v="Yes"/>
    <n v="14"/>
    <n v="3"/>
    <n v="3"/>
    <n v="0"/>
    <n v="11"/>
    <n v="2"/>
    <n v="2"/>
    <n v="11"/>
    <n v="9"/>
    <n v="4"/>
    <n v="10"/>
    <x v="2"/>
  </r>
  <r>
    <n v="29"/>
    <x v="1"/>
    <s v="Travel_Rarely"/>
    <n v="144"/>
    <s v="Sales"/>
    <n v="10"/>
    <n v="1"/>
    <s v="Marketing"/>
    <n v="463"/>
    <n v="4"/>
    <s v="Female"/>
    <n v="39"/>
    <n v="2"/>
    <n v="2"/>
    <s v="Sales Executive"/>
    <n v="2"/>
    <s v="Divorced"/>
    <n v="8268"/>
    <n v="11866"/>
    <n v="1"/>
    <s v="Yes"/>
    <n v="14"/>
    <n v="3"/>
    <n v="1"/>
    <n v="2"/>
    <n v="7"/>
    <n v="2"/>
    <n v="3"/>
    <n v="7"/>
    <n v="7"/>
    <n v="1"/>
    <n v="7"/>
    <x v="2"/>
  </r>
  <r>
    <n v="35"/>
    <x v="1"/>
    <s v="Travel_Rarely"/>
    <n v="1296"/>
    <s v="Research &amp; Development"/>
    <n v="5"/>
    <n v="4"/>
    <s v="Technical Degree"/>
    <n v="464"/>
    <n v="3"/>
    <s v="Male"/>
    <n v="62"/>
    <n v="3"/>
    <n v="3"/>
    <s v="Manufacturing Director"/>
    <n v="2"/>
    <s v="Single"/>
    <n v="8095"/>
    <n v="18264"/>
    <n v="0"/>
    <s v="No"/>
    <n v="13"/>
    <n v="3"/>
    <n v="4"/>
    <n v="0"/>
    <n v="17"/>
    <n v="5"/>
    <n v="3"/>
    <n v="16"/>
    <n v="6"/>
    <n v="0"/>
    <n v="13"/>
    <x v="0"/>
  </r>
  <r>
    <n v="23"/>
    <x v="1"/>
    <s v="Travel_Rarely"/>
    <n v="1309"/>
    <s v="Research &amp; Development"/>
    <n v="26"/>
    <n v="1"/>
    <s v="Life Sciences"/>
    <n v="465"/>
    <n v="3"/>
    <s v="Male"/>
    <n v="83"/>
    <n v="3"/>
    <n v="1"/>
    <s v="Research Scientist"/>
    <n v="4"/>
    <s v="Divorced"/>
    <n v="2904"/>
    <n v="16092"/>
    <n v="1"/>
    <s v="No"/>
    <n v="12"/>
    <n v="3"/>
    <n v="3"/>
    <n v="2"/>
    <n v="4"/>
    <n v="2"/>
    <n v="2"/>
    <n v="4"/>
    <n v="2"/>
    <n v="0"/>
    <n v="2"/>
    <x v="2"/>
  </r>
  <r>
    <n v="41"/>
    <x v="1"/>
    <s v="Travel_Rarely"/>
    <n v="483"/>
    <s v="Research &amp; Development"/>
    <n v="6"/>
    <n v="3"/>
    <s v="Medical"/>
    <n v="466"/>
    <n v="4"/>
    <s v="Male"/>
    <n v="95"/>
    <n v="2"/>
    <n v="2"/>
    <s v="Manufacturing Director"/>
    <n v="2"/>
    <s v="Single"/>
    <n v="6032"/>
    <n v="10110"/>
    <n v="6"/>
    <s v="Yes"/>
    <n v="15"/>
    <n v="3"/>
    <n v="4"/>
    <n v="0"/>
    <n v="8"/>
    <n v="3"/>
    <n v="3"/>
    <n v="5"/>
    <n v="4"/>
    <n v="1"/>
    <n v="2"/>
    <x v="0"/>
  </r>
  <r>
    <n v="47"/>
    <x v="1"/>
    <s v="Travel_Frequently"/>
    <n v="1309"/>
    <s v="Sales"/>
    <n v="4"/>
    <n v="1"/>
    <s v="Medical"/>
    <n v="467"/>
    <n v="2"/>
    <s v="Male"/>
    <n v="99"/>
    <n v="3"/>
    <n v="2"/>
    <s v="Sales Representative"/>
    <n v="3"/>
    <s v="Single"/>
    <n v="2976"/>
    <n v="25751"/>
    <n v="3"/>
    <s v="No"/>
    <n v="19"/>
    <n v="3"/>
    <n v="1"/>
    <n v="0"/>
    <n v="5"/>
    <n v="3"/>
    <n v="3"/>
    <n v="0"/>
    <n v="0"/>
    <n v="0"/>
    <n v="0"/>
    <x v="1"/>
  </r>
  <r>
    <n v="42"/>
    <x v="1"/>
    <s v="Travel_Rarely"/>
    <n v="810"/>
    <s v="Research &amp; Development"/>
    <n v="23"/>
    <n v="5"/>
    <s v="Life Sciences"/>
    <n v="468"/>
    <n v="1"/>
    <s v="Female"/>
    <n v="44"/>
    <n v="3"/>
    <n v="4"/>
    <s v="Research Director"/>
    <n v="4"/>
    <s v="Single"/>
    <n v="15992"/>
    <n v="15901"/>
    <n v="2"/>
    <s v="No"/>
    <n v="14"/>
    <n v="3"/>
    <n v="2"/>
    <n v="0"/>
    <n v="16"/>
    <n v="2"/>
    <n v="3"/>
    <n v="1"/>
    <n v="0"/>
    <n v="0"/>
    <n v="0"/>
    <x v="0"/>
  </r>
  <r>
    <n v="29"/>
    <x v="1"/>
    <s v="Non-Travel"/>
    <n v="746"/>
    <s v="Sales"/>
    <n v="2"/>
    <n v="3"/>
    <s v="Life Sciences"/>
    <n v="469"/>
    <n v="4"/>
    <s v="Male"/>
    <n v="61"/>
    <n v="3"/>
    <n v="2"/>
    <s v="Sales Executive"/>
    <n v="3"/>
    <s v="Married"/>
    <n v="4649"/>
    <n v="16928"/>
    <n v="1"/>
    <s v="No"/>
    <n v="14"/>
    <n v="3"/>
    <n v="1"/>
    <n v="1"/>
    <n v="4"/>
    <n v="3"/>
    <n v="2"/>
    <n v="4"/>
    <n v="3"/>
    <n v="0"/>
    <n v="2"/>
    <x v="2"/>
  </r>
  <r>
    <n v="42"/>
    <x v="1"/>
    <s v="Travel_Rarely"/>
    <n v="544"/>
    <s v="Human Resources"/>
    <n v="2"/>
    <n v="1"/>
    <s v="Technical Degree"/>
    <n v="470"/>
    <n v="3"/>
    <s v="Male"/>
    <n v="52"/>
    <n v="3"/>
    <n v="1"/>
    <s v="Human Resources"/>
    <n v="3"/>
    <s v="Divorced"/>
    <n v="2696"/>
    <n v="24017"/>
    <n v="0"/>
    <s v="Yes"/>
    <n v="11"/>
    <n v="3"/>
    <n v="3"/>
    <n v="1"/>
    <n v="4"/>
    <n v="5"/>
    <n v="3"/>
    <n v="3"/>
    <n v="2"/>
    <n v="1"/>
    <n v="0"/>
    <x v="0"/>
  </r>
  <r>
    <n v="32"/>
    <x v="1"/>
    <s v="Travel_Rarely"/>
    <n v="1062"/>
    <s v="Research &amp; Development"/>
    <n v="2"/>
    <n v="3"/>
    <s v="Medical"/>
    <n v="471"/>
    <n v="3"/>
    <s v="Female"/>
    <n v="75"/>
    <n v="3"/>
    <n v="1"/>
    <s v="Laboratory Technician"/>
    <n v="2"/>
    <s v="Married"/>
    <n v="2370"/>
    <n v="3956"/>
    <n v="1"/>
    <s v="No"/>
    <n v="13"/>
    <n v="3"/>
    <n v="3"/>
    <n v="1"/>
    <n v="8"/>
    <n v="4"/>
    <n v="3"/>
    <n v="8"/>
    <n v="0"/>
    <n v="0"/>
    <n v="7"/>
    <x v="2"/>
  </r>
  <r>
    <n v="48"/>
    <x v="1"/>
    <s v="Travel_Rarely"/>
    <n v="530"/>
    <s v="Sales"/>
    <n v="29"/>
    <n v="1"/>
    <s v="Medical"/>
    <n v="473"/>
    <n v="1"/>
    <s v="Female"/>
    <n v="91"/>
    <n v="3"/>
    <n v="3"/>
    <s v="Manager"/>
    <n v="3"/>
    <s v="Married"/>
    <n v="12504"/>
    <n v="23978"/>
    <n v="3"/>
    <s v="No"/>
    <n v="21"/>
    <n v="4"/>
    <n v="2"/>
    <n v="1"/>
    <n v="15"/>
    <n v="3"/>
    <n v="1"/>
    <n v="0"/>
    <n v="0"/>
    <n v="0"/>
    <n v="0"/>
    <x v="1"/>
  </r>
  <r>
    <n v="37"/>
    <x v="1"/>
    <s v="Travel_Rarely"/>
    <n v="1319"/>
    <s v="Research &amp; Development"/>
    <n v="6"/>
    <n v="3"/>
    <s v="Medical"/>
    <n v="474"/>
    <n v="3"/>
    <s v="Male"/>
    <n v="51"/>
    <n v="4"/>
    <n v="2"/>
    <s v="Research Scientist"/>
    <n v="1"/>
    <s v="Divorced"/>
    <n v="5974"/>
    <n v="17001"/>
    <n v="4"/>
    <s v="Yes"/>
    <n v="13"/>
    <n v="3"/>
    <n v="1"/>
    <n v="2"/>
    <n v="13"/>
    <n v="2"/>
    <n v="3"/>
    <n v="7"/>
    <n v="7"/>
    <n v="6"/>
    <n v="7"/>
    <x v="0"/>
  </r>
  <r>
    <n v="30"/>
    <x v="1"/>
    <s v="Non-Travel"/>
    <n v="641"/>
    <s v="Sales"/>
    <n v="25"/>
    <n v="2"/>
    <s v="Technical Degree"/>
    <n v="475"/>
    <n v="4"/>
    <s v="Female"/>
    <n v="85"/>
    <n v="3"/>
    <n v="2"/>
    <s v="Sales Executive"/>
    <n v="3"/>
    <s v="Married"/>
    <n v="4736"/>
    <n v="6069"/>
    <n v="7"/>
    <s v="Yes"/>
    <n v="12"/>
    <n v="3"/>
    <n v="2"/>
    <n v="1"/>
    <n v="4"/>
    <n v="2"/>
    <n v="4"/>
    <n v="2"/>
    <n v="2"/>
    <n v="2"/>
    <n v="2"/>
    <x v="2"/>
  </r>
  <r>
    <n v="26"/>
    <x v="1"/>
    <s v="Travel_Rarely"/>
    <n v="933"/>
    <s v="Sales"/>
    <n v="1"/>
    <n v="3"/>
    <s v="Life Sciences"/>
    <n v="476"/>
    <n v="3"/>
    <s v="Male"/>
    <n v="57"/>
    <n v="3"/>
    <n v="2"/>
    <s v="Sales Executive"/>
    <n v="3"/>
    <s v="Married"/>
    <n v="5296"/>
    <n v="20156"/>
    <n v="1"/>
    <s v="No"/>
    <n v="17"/>
    <n v="3"/>
    <n v="2"/>
    <n v="1"/>
    <n v="8"/>
    <n v="3"/>
    <n v="3"/>
    <n v="8"/>
    <n v="7"/>
    <n v="7"/>
    <n v="7"/>
    <x v="2"/>
  </r>
  <r>
    <n v="42"/>
    <x v="1"/>
    <s v="Travel_Rarely"/>
    <n v="1332"/>
    <s v="Research &amp; Development"/>
    <n v="2"/>
    <n v="4"/>
    <s v="Other"/>
    <n v="477"/>
    <n v="1"/>
    <s v="Male"/>
    <n v="98"/>
    <n v="2"/>
    <n v="2"/>
    <s v="Healthcare Representative"/>
    <n v="4"/>
    <s v="Single"/>
    <n v="6781"/>
    <n v="17078"/>
    <n v="3"/>
    <s v="No"/>
    <n v="23"/>
    <n v="4"/>
    <n v="2"/>
    <n v="0"/>
    <n v="14"/>
    <n v="6"/>
    <n v="3"/>
    <n v="1"/>
    <n v="0"/>
    <n v="0"/>
    <n v="0"/>
    <x v="0"/>
  </r>
  <r>
    <n v="21"/>
    <x v="0"/>
    <s v="Travel_Frequently"/>
    <n v="756"/>
    <s v="Sales"/>
    <n v="1"/>
    <n v="1"/>
    <s v="Technical Degree"/>
    <n v="478"/>
    <n v="1"/>
    <s v="Female"/>
    <n v="99"/>
    <n v="2"/>
    <n v="1"/>
    <s v="Sales Representative"/>
    <n v="2"/>
    <s v="Single"/>
    <n v="2174"/>
    <n v="9150"/>
    <n v="1"/>
    <s v="Yes"/>
    <n v="11"/>
    <n v="3"/>
    <n v="3"/>
    <n v="0"/>
    <n v="3"/>
    <n v="3"/>
    <n v="3"/>
    <n v="3"/>
    <n v="2"/>
    <n v="1"/>
    <n v="2"/>
    <x v="2"/>
  </r>
  <r>
    <n v="36"/>
    <x v="1"/>
    <s v="Non-Travel"/>
    <n v="845"/>
    <s v="Sales"/>
    <n v="1"/>
    <n v="5"/>
    <s v="Medical"/>
    <n v="479"/>
    <n v="4"/>
    <s v="Female"/>
    <n v="45"/>
    <n v="3"/>
    <n v="2"/>
    <s v="Sales Executive"/>
    <n v="4"/>
    <s v="Single"/>
    <n v="6653"/>
    <n v="15276"/>
    <n v="4"/>
    <s v="No"/>
    <n v="15"/>
    <n v="3"/>
    <n v="2"/>
    <n v="0"/>
    <n v="7"/>
    <n v="6"/>
    <n v="3"/>
    <n v="1"/>
    <n v="0"/>
    <n v="0"/>
    <n v="0"/>
    <x v="0"/>
  </r>
  <r>
    <n v="36"/>
    <x v="1"/>
    <s v="Travel_Frequently"/>
    <n v="541"/>
    <s v="Sales"/>
    <n v="3"/>
    <n v="4"/>
    <s v="Medical"/>
    <n v="481"/>
    <n v="1"/>
    <s v="Male"/>
    <n v="48"/>
    <n v="2"/>
    <n v="3"/>
    <s v="Sales Executive"/>
    <n v="4"/>
    <s v="Married"/>
    <n v="9699"/>
    <n v="7246"/>
    <n v="4"/>
    <s v="No"/>
    <n v="11"/>
    <n v="3"/>
    <n v="1"/>
    <n v="1"/>
    <n v="16"/>
    <n v="2"/>
    <n v="3"/>
    <n v="13"/>
    <n v="9"/>
    <n v="1"/>
    <n v="12"/>
    <x v="0"/>
  </r>
  <r>
    <n v="57"/>
    <x v="1"/>
    <s v="Travel_Rarely"/>
    <n v="593"/>
    <s v="Research &amp; Development"/>
    <n v="1"/>
    <n v="4"/>
    <s v="Medical"/>
    <n v="482"/>
    <n v="4"/>
    <s v="Male"/>
    <n v="88"/>
    <n v="3"/>
    <n v="2"/>
    <s v="Healthcare Representative"/>
    <n v="3"/>
    <s v="Married"/>
    <n v="6755"/>
    <n v="2967"/>
    <n v="2"/>
    <s v="No"/>
    <n v="11"/>
    <n v="3"/>
    <n v="3"/>
    <n v="0"/>
    <n v="15"/>
    <n v="2"/>
    <n v="3"/>
    <n v="3"/>
    <n v="2"/>
    <n v="1"/>
    <n v="2"/>
    <x v="3"/>
  </r>
  <r>
    <n v="40"/>
    <x v="1"/>
    <s v="Travel_Rarely"/>
    <n v="1171"/>
    <s v="Research &amp; Development"/>
    <n v="10"/>
    <n v="4"/>
    <s v="Life Sciences"/>
    <n v="483"/>
    <n v="4"/>
    <s v="Female"/>
    <n v="46"/>
    <n v="4"/>
    <n v="1"/>
    <s v="Laboratory Technician"/>
    <n v="3"/>
    <s v="Married"/>
    <n v="2213"/>
    <n v="22495"/>
    <n v="3"/>
    <s v="Yes"/>
    <n v="13"/>
    <n v="3"/>
    <n v="3"/>
    <n v="1"/>
    <n v="10"/>
    <n v="3"/>
    <n v="3"/>
    <n v="7"/>
    <n v="7"/>
    <n v="1"/>
    <n v="7"/>
    <x v="0"/>
  </r>
  <r>
    <n v="21"/>
    <x v="1"/>
    <s v="Non-Travel"/>
    <n v="895"/>
    <s v="Sales"/>
    <n v="9"/>
    <n v="2"/>
    <s v="Medical"/>
    <n v="484"/>
    <n v="1"/>
    <s v="Male"/>
    <n v="39"/>
    <n v="3"/>
    <n v="1"/>
    <s v="Sales Representative"/>
    <n v="4"/>
    <s v="Single"/>
    <n v="2610"/>
    <n v="2851"/>
    <n v="1"/>
    <s v="No"/>
    <n v="24"/>
    <n v="4"/>
    <n v="3"/>
    <n v="0"/>
    <n v="3"/>
    <n v="3"/>
    <n v="2"/>
    <n v="3"/>
    <n v="2"/>
    <n v="2"/>
    <n v="2"/>
    <x v="2"/>
  </r>
  <r>
    <n v="33"/>
    <x v="0"/>
    <s v="Travel_Rarely"/>
    <n v="350"/>
    <s v="Sales"/>
    <n v="5"/>
    <n v="3"/>
    <s v="Marketing"/>
    <n v="485"/>
    <n v="4"/>
    <s v="Female"/>
    <n v="34"/>
    <n v="3"/>
    <n v="1"/>
    <s v="Sales Representative"/>
    <n v="3"/>
    <s v="Single"/>
    <n v="2851"/>
    <n v="9150"/>
    <n v="1"/>
    <s v="Yes"/>
    <n v="13"/>
    <n v="3"/>
    <n v="2"/>
    <n v="0"/>
    <n v="1"/>
    <n v="2"/>
    <n v="3"/>
    <n v="1"/>
    <n v="0"/>
    <n v="0"/>
    <n v="0"/>
    <x v="2"/>
  </r>
  <r>
    <n v="37"/>
    <x v="1"/>
    <s v="Travel_Rarely"/>
    <n v="921"/>
    <s v="Research &amp; Development"/>
    <n v="10"/>
    <n v="3"/>
    <s v="Medical"/>
    <n v="486"/>
    <n v="3"/>
    <s v="Female"/>
    <n v="98"/>
    <n v="3"/>
    <n v="1"/>
    <s v="Laboratory Technician"/>
    <n v="1"/>
    <s v="Married"/>
    <n v="3452"/>
    <n v="17663"/>
    <n v="6"/>
    <s v="No"/>
    <n v="20"/>
    <n v="4"/>
    <n v="2"/>
    <n v="1"/>
    <n v="17"/>
    <n v="3"/>
    <n v="3"/>
    <n v="5"/>
    <n v="4"/>
    <n v="0"/>
    <n v="3"/>
    <x v="0"/>
  </r>
  <r>
    <n v="46"/>
    <x v="1"/>
    <s v="Non-Travel"/>
    <n v="1144"/>
    <s v="Research &amp; Development"/>
    <n v="7"/>
    <n v="4"/>
    <s v="Medical"/>
    <n v="487"/>
    <n v="3"/>
    <s v="Female"/>
    <n v="30"/>
    <n v="3"/>
    <n v="2"/>
    <s v="Manufacturing Director"/>
    <n v="3"/>
    <s v="Married"/>
    <n v="5258"/>
    <n v="16044"/>
    <n v="2"/>
    <s v="No"/>
    <n v="14"/>
    <n v="3"/>
    <n v="3"/>
    <n v="0"/>
    <n v="7"/>
    <n v="2"/>
    <n v="4"/>
    <n v="1"/>
    <n v="0"/>
    <n v="0"/>
    <n v="0"/>
    <x v="1"/>
  </r>
  <r>
    <n v="41"/>
    <x v="0"/>
    <s v="Travel_Frequently"/>
    <n v="143"/>
    <s v="Sales"/>
    <n v="4"/>
    <n v="3"/>
    <s v="Marketing"/>
    <n v="488"/>
    <n v="1"/>
    <s v="Male"/>
    <n v="56"/>
    <n v="3"/>
    <n v="2"/>
    <s v="Sales Executive"/>
    <n v="2"/>
    <s v="Single"/>
    <n v="9355"/>
    <n v="9558"/>
    <n v="1"/>
    <s v="No"/>
    <n v="18"/>
    <n v="3"/>
    <n v="3"/>
    <n v="0"/>
    <n v="8"/>
    <n v="5"/>
    <n v="3"/>
    <n v="8"/>
    <n v="7"/>
    <n v="7"/>
    <n v="7"/>
    <x v="0"/>
  </r>
  <r>
    <n v="50"/>
    <x v="1"/>
    <s v="Travel_Rarely"/>
    <n v="1046"/>
    <s v="Research &amp; Development"/>
    <n v="10"/>
    <n v="3"/>
    <s v="Technical Degree"/>
    <n v="491"/>
    <n v="4"/>
    <s v="Male"/>
    <n v="100"/>
    <n v="2"/>
    <n v="3"/>
    <s v="Healthcare Representative"/>
    <n v="4"/>
    <s v="Single"/>
    <n v="10496"/>
    <n v="2755"/>
    <n v="6"/>
    <s v="No"/>
    <n v="15"/>
    <n v="3"/>
    <n v="4"/>
    <n v="0"/>
    <n v="20"/>
    <n v="2"/>
    <n v="3"/>
    <n v="4"/>
    <n v="3"/>
    <n v="1"/>
    <n v="3"/>
    <x v="1"/>
  </r>
  <r>
    <n v="40"/>
    <x v="0"/>
    <s v="Travel_Rarely"/>
    <n v="575"/>
    <s v="Sales"/>
    <n v="22"/>
    <n v="2"/>
    <s v="Marketing"/>
    <n v="492"/>
    <n v="3"/>
    <s v="Male"/>
    <n v="68"/>
    <n v="2"/>
    <n v="2"/>
    <s v="Sales Executive"/>
    <n v="3"/>
    <s v="Married"/>
    <n v="6380"/>
    <n v="6110"/>
    <n v="2"/>
    <s v="Yes"/>
    <n v="12"/>
    <n v="3"/>
    <n v="1"/>
    <n v="2"/>
    <n v="8"/>
    <n v="6"/>
    <n v="3"/>
    <n v="6"/>
    <n v="4"/>
    <n v="1"/>
    <n v="0"/>
    <x v="0"/>
  </r>
  <r>
    <n v="31"/>
    <x v="1"/>
    <s v="Travel_Rarely"/>
    <n v="408"/>
    <s v="Research &amp; Development"/>
    <n v="9"/>
    <n v="4"/>
    <s v="Life Sciences"/>
    <n v="493"/>
    <n v="3"/>
    <s v="Male"/>
    <n v="42"/>
    <n v="2"/>
    <n v="1"/>
    <s v="Research Scientist"/>
    <n v="2"/>
    <s v="Single"/>
    <n v="2657"/>
    <n v="7551"/>
    <n v="0"/>
    <s v="Yes"/>
    <n v="16"/>
    <n v="3"/>
    <n v="4"/>
    <n v="0"/>
    <n v="3"/>
    <n v="5"/>
    <n v="3"/>
    <n v="2"/>
    <n v="2"/>
    <n v="2"/>
    <n v="2"/>
    <x v="2"/>
  </r>
  <r>
    <n v="21"/>
    <x v="0"/>
    <s v="Travel_Rarely"/>
    <n v="156"/>
    <s v="Sales"/>
    <n v="12"/>
    <n v="3"/>
    <s v="Life Sciences"/>
    <n v="494"/>
    <n v="3"/>
    <s v="Female"/>
    <n v="90"/>
    <n v="4"/>
    <n v="1"/>
    <s v="Sales Representative"/>
    <n v="2"/>
    <s v="Single"/>
    <n v="2716"/>
    <n v="25422"/>
    <n v="1"/>
    <s v="No"/>
    <n v="15"/>
    <n v="3"/>
    <n v="4"/>
    <n v="0"/>
    <n v="1"/>
    <n v="0"/>
    <n v="3"/>
    <n v="1"/>
    <n v="0"/>
    <n v="0"/>
    <n v="0"/>
    <x v="2"/>
  </r>
  <r>
    <n v="29"/>
    <x v="1"/>
    <s v="Travel_Rarely"/>
    <n v="1283"/>
    <s v="Research &amp; Development"/>
    <n v="23"/>
    <n v="3"/>
    <s v="Life Sciences"/>
    <n v="495"/>
    <n v="4"/>
    <s v="Male"/>
    <n v="54"/>
    <n v="3"/>
    <n v="1"/>
    <s v="Research Scientist"/>
    <n v="4"/>
    <s v="Single"/>
    <n v="2201"/>
    <n v="18168"/>
    <n v="9"/>
    <s v="No"/>
    <n v="16"/>
    <n v="3"/>
    <n v="4"/>
    <n v="0"/>
    <n v="6"/>
    <n v="4"/>
    <n v="3"/>
    <n v="3"/>
    <n v="2"/>
    <n v="1"/>
    <n v="2"/>
    <x v="2"/>
  </r>
  <r>
    <n v="35"/>
    <x v="1"/>
    <s v="Travel_Rarely"/>
    <n v="755"/>
    <s v="Research &amp; Development"/>
    <n v="9"/>
    <n v="4"/>
    <s v="Life Sciences"/>
    <n v="496"/>
    <n v="3"/>
    <s v="Male"/>
    <n v="97"/>
    <n v="2"/>
    <n v="2"/>
    <s v="Healthcare Representative"/>
    <n v="2"/>
    <s v="Single"/>
    <n v="6540"/>
    <n v="19394"/>
    <n v="9"/>
    <s v="No"/>
    <n v="19"/>
    <n v="3"/>
    <n v="3"/>
    <n v="0"/>
    <n v="10"/>
    <n v="5"/>
    <n v="3"/>
    <n v="1"/>
    <n v="1"/>
    <n v="0"/>
    <n v="0"/>
    <x v="0"/>
  </r>
  <r>
    <n v="27"/>
    <x v="1"/>
    <s v="Travel_Rarely"/>
    <n v="1469"/>
    <s v="Research &amp; Development"/>
    <n v="1"/>
    <n v="2"/>
    <s v="Medical"/>
    <n v="497"/>
    <n v="4"/>
    <s v="Male"/>
    <n v="82"/>
    <n v="3"/>
    <n v="1"/>
    <s v="Laboratory Technician"/>
    <n v="2"/>
    <s v="Divorced"/>
    <n v="3816"/>
    <n v="17881"/>
    <n v="1"/>
    <s v="No"/>
    <n v="11"/>
    <n v="3"/>
    <n v="2"/>
    <n v="1"/>
    <n v="5"/>
    <n v="2"/>
    <n v="3"/>
    <n v="5"/>
    <n v="2"/>
    <n v="0"/>
    <n v="4"/>
    <x v="2"/>
  </r>
  <r>
    <n v="28"/>
    <x v="1"/>
    <s v="Travel_Rarely"/>
    <n v="304"/>
    <s v="Sales"/>
    <n v="9"/>
    <n v="4"/>
    <s v="Life Sciences"/>
    <n v="498"/>
    <n v="2"/>
    <s v="Male"/>
    <n v="92"/>
    <n v="3"/>
    <n v="2"/>
    <s v="Sales Executive"/>
    <n v="4"/>
    <s v="Single"/>
    <n v="5253"/>
    <n v="20750"/>
    <n v="1"/>
    <s v="No"/>
    <n v="16"/>
    <n v="3"/>
    <n v="4"/>
    <n v="0"/>
    <n v="7"/>
    <n v="1"/>
    <n v="3"/>
    <n v="7"/>
    <n v="5"/>
    <n v="0"/>
    <n v="7"/>
    <x v="2"/>
  </r>
  <r>
    <n v="49"/>
    <x v="1"/>
    <s v="Travel_Rarely"/>
    <n v="1261"/>
    <s v="Research &amp; Development"/>
    <n v="7"/>
    <n v="3"/>
    <s v="Other"/>
    <n v="499"/>
    <n v="2"/>
    <s v="Male"/>
    <n v="31"/>
    <n v="2"/>
    <n v="3"/>
    <s v="Healthcare Representative"/>
    <n v="3"/>
    <s v="Single"/>
    <n v="10965"/>
    <n v="12066"/>
    <n v="8"/>
    <s v="No"/>
    <n v="24"/>
    <n v="4"/>
    <n v="3"/>
    <n v="0"/>
    <n v="26"/>
    <n v="2"/>
    <n v="3"/>
    <n v="5"/>
    <n v="2"/>
    <n v="0"/>
    <n v="0"/>
    <x v="1"/>
  </r>
  <r>
    <n v="51"/>
    <x v="1"/>
    <s v="Travel_Rarely"/>
    <n v="1178"/>
    <s v="Sales"/>
    <n v="14"/>
    <n v="2"/>
    <s v="Life Sciences"/>
    <n v="500"/>
    <n v="3"/>
    <s v="Female"/>
    <n v="87"/>
    <n v="3"/>
    <n v="2"/>
    <s v="Sales Executive"/>
    <n v="4"/>
    <s v="Married"/>
    <n v="4936"/>
    <n v="14862"/>
    <n v="4"/>
    <s v="No"/>
    <n v="11"/>
    <n v="3"/>
    <n v="3"/>
    <n v="1"/>
    <n v="18"/>
    <n v="2"/>
    <n v="2"/>
    <n v="7"/>
    <n v="7"/>
    <n v="0"/>
    <n v="7"/>
    <x v="1"/>
  </r>
  <r>
    <n v="36"/>
    <x v="1"/>
    <s v="Travel_Rarely"/>
    <n v="329"/>
    <s v="Research &amp; Development"/>
    <n v="2"/>
    <n v="3"/>
    <s v="Life Sciences"/>
    <n v="501"/>
    <n v="4"/>
    <s v="Female"/>
    <n v="96"/>
    <n v="3"/>
    <n v="1"/>
    <s v="Research Scientist"/>
    <n v="3"/>
    <s v="Married"/>
    <n v="2543"/>
    <n v="11868"/>
    <n v="4"/>
    <s v="No"/>
    <n v="13"/>
    <n v="3"/>
    <n v="2"/>
    <n v="1"/>
    <n v="6"/>
    <n v="3"/>
    <n v="3"/>
    <n v="2"/>
    <n v="2"/>
    <n v="2"/>
    <n v="2"/>
    <x v="0"/>
  </r>
  <r>
    <n v="34"/>
    <x v="0"/>
    <s v="Non-Travel"/>
    <n v="1362"/>
    <s v="Sales"/>
    <n v="19"/>
    <n v="3"/>
    <s v="Marketing"/>
    <n v="502"/>
    <n v="1"/>
    <s v="Male"/>
    <n v="67"/>
    <n v="4"/>
    <n v="2"/>
    <s v="Sales Executive"/>
    <n v="4"/>
    <s v="Single"/>
    <n v="5304"/>
    <n v="4652"/>
    <n v="8"/>
    <s v="Yes"/>
    <n v="13"/>
    <n v="3"/>
    <n v="2"/>
    <n v="0"/>
    <n v="9"/>
    <n v="3"/>
    <n v="2"/>
    <n v="5"/>
    <n v="2"/>
    <n v="0"/>
    <n v="4"/>
    <x v="2"/>
  </r>
  <r>
    <n v="55"/>
    <x v="1"/>
    <s v="Travel_Rarely"/>
    <n v="1311"/>
    <s v="Research &amp; Development"/>
    <n v="2"/>
    <n v="3"/>
    <s v="Life Sciences"/>
    <n v="505"/>
    <n v="3"/>
    <s v="Female"/>
    <n v="97"/>
    <n v="3"/>
    <n v="4"/>
    <s v="Manager"/>
    <n v="4"/>
    <s v="Single"/>
    <n v="16659"/>
    <n v="23258"/>
    <n v="2"/>
    <s v="Yes"/>
    <n v="13"/>
    <n v="3"/>
    <n v="3"/>
    <n v="0"/>
    <n v="30"/>
    <n v="2"/>
    <n v="3"/>
    <n v="5"/>
    <n v="4"/>
    <n v="1"/>
    <n v="2"/>
    <x v="3"/>
  </r>
  <r>
    <n v="24"/>
    <x v="1"/>
    <s v="Travel_Rarely"/>
    <n v="1371"/>
    <s v="Sales"/>
    <n v="10"/>
    <n v="4"/>
    <s v="Marketing"/>
    <n v="507"/>
    <n v="4"/>
    <s v="Female"/>
    <n v="77"/>
    <n v="3"/>
    <n v="2"/>
    <s v="Sales Executive"/>
    <n v="3"/>
    <s v="Divorced"/>
    <n v="4260"/>
    <n v="5915"/>
    <n v="1"/>
    <s v="Yes"/>
    <n v="12"/>
    <n v="3"/>
    <n v="4"/>
    <n v="1"/>
    <n v="5"/>
    <n v="2"/>
    <n v="4"/>
    <n v="5"/>
    <n v="2"/>
    <n v="0"/>
    <n v="3"/>
    <x v="2"/>
  </r>
  <r>
    <n v="30"/>
    <x v="1"/>
    <s v="Travel_Rarely"/>
    <n v="202"/>
    <s v="Sales"/>
    <n v="2"/>
    <n v="1"/>
    <s v="Technical Degree"/>
    <n v="508"/>
    <n v="3"/>
    <s v="Male"/>
    <n v="72"/>
    <n v="3"/>
    <n v="1"/>
    <s v="Sales Representative"/>
    <n v="2"/>
    <s v="Married"/>
    <n v="2476"/>
    <n v="17434"/>
    <n v="1"/>
    <s v="No"/>
    <n v="18"/>
    <n v="3"/>
    <n v="1"/>
    <n v="1"/>
    <n v="1"/>
    <n v="3"/>
    <n v="3"/>
    <n v="1"/>
    <n v="0"/>
    <n v="0"/>
    <n v="0"/>
    <x v="2"/>
  </r>
  <r>
    <n v="26"/>
    <x v="0"/>
    <s v="Travel_Frequently"/>
    <n v="575"/>
    <s v="Research &amp; Development"/>
    <n v="3"/>
    <n v="1"/>
    <s v="Technical Degree"/>
    <n v="510"/>
    <n v="3"/>
    <s v="Male"/>
    <n v="73"/>
    <n v="3"/>
    <n v="1"/>
    <s v="Research Scientist"/>
    <n v="1"/>
    <s v="Single"/>
    <n v="3102"/>
    <n v="6582"/>
    <n v="0"/>
    <s v="No"/>
    <n v="22"/>
    <n v="4"/>
    <n v="3"/>
    <n v="0"/>
    <n v="7"/>
    <n v="2"/>
    <n v="3"/>
    <n v="6"/>
    <n v="4"/>
    <n v="0"/>
    <n v="4"/>
    <x v="2"/>
  </r>
  <r>
    <n v="22"/>
    <x v="1"/>
    <s v="Travel_Rarely"/>
    <n v="253"/>
    <s v="Research &amp; Development"/>
    <n v="11"/>
    <n v="3"/>
    <s v="Medical"/>
    <n v="511"/>
    <n v="1"/>
    <s v="Female"/>
    <n v="43"/>
    <n v="3"/>
    <n v="1"/>
    <s v="Research Scientist"/>
    <n v="2"/>
    <s v="Married"/>
    <n v="2244"/>
    <n v="24440"/>
    <n v="1"/>
    <s v="No"/>
    <n v="13"/>
    <n v="3"/>
    <n v="4"/>
    <n v="1"/>
    <n v="2"/>
    <n v="1"/>
    <n v="3"/>
    <n v="2"/>
    <n v="1"/>
    <n v="1"/>
    <n v="2"/>
    <x v="2"/>
  </r>
  <r>
    <n v="36"/>
    <x v="1"/>
    <s v="Travel_Rarely"/>
    <n v="164"/>
    <s v="Sales"/>
    <n v="2"/>
    <n v="2"/>
    <s v="Medical"/>
    <n v="513"/>
    <n v="2"/>
    <s v="Male"/>
    <n v="61"/>
    <n v="2"/>
    <n v="3"/>
    <s v="Sales Executive"/>
    <n v="3"/>
    <s v="Married"/>
    <n v="7596"/>
    <n v="3809"/>
    <n v="1"/>
    <s v="No"/>
    <n v="13"/>
    <n v="3"/>
    <n v="2"/>
    <n v="2"/>
    <n v="10"/>
    <n v="2"/>
    <n v="3"/>
    <n v="10"/>
    <n v="9"/>
    <n v="9"/>
    <n v="0"/>
    <x v="0"/>
  </r>
  <r>
    <n v="30"/>
    <x v="0"/>
    <s v="Travel_Frequently"/>
    <n v="464"/>
    <s v="Research &amp; Development"/>
    <n v="4"/>
    <n v="3"/>
    <s v="Technical Degree"/>
    <n v="514"/>
    <n v="3"/>
    <s v="Male"/>
    <n v="40"/>
    <n v="3"/>
    <n v="1"/>
    <s v="Research Scientist"/>
    <n v="4"/>
    <s v="Single"/>
    <n v="2285"/>
    <n v="3427"/>
    <n v="9"/>
    <s v="Yes"/>
    <n v="23"/>
    <n v="4"/>
    <n v="3"/>
    <n v="0"/>
    <n v="3"/>
    <n v="4"/>
    <n v="3"/>
    <n v="1"/>
    <n v="0"/>
    <n v="0"/>
    <n v="0"/>
    <x v="2"/>
  </r>
  <r>
    <n v="37"/>
    <x v="1"/>
    <s v="Travel_Rarely"/>
    <n v="1107"/>
    <s v="Research &amp; Development"/>
    <n v="14"/>
    <n v="3"/>
    <s v="Life Sciences"/>
    <n v="515"/>
    <n v="4"/>
    <s v="Female"/>
    <n v="95"/>
    <n v="3"/>
    <n v="1"/>
    <s v="Laboratory Technician"/>
    <n v="1"/>
    <s v="Divorced"/>
    <n v="3034"/>
    <n v="26914"/>
    <n v="1"/>
    <s v="No"/>
    <n v="12"/>
    <n v="3"/>
    <n v="3"/>
    <n v="1"/>
    <n v="18"/>
    <n v="2"/>
    <n v="2"/>
    <n v="18"/>
    <n v="7"/>
    <n v="12"/>
    <n v="17"/>
    <x v="0"/>
  </r>
  <r>
    <n v="40"/>
    <x v="1"/>
    <s v="Travel_Rarely"/>
    <n v="759"/>
    <s v="Sales"/>
    <n v="2"/>
    <n v="2"/>
    <s v="Marketing"/>
    <n v="516"/>
    <n v="4"/>
    <s v="Female"/>
    <n v="46"/>
    <n v="3"/>
    <n v="2"/>
    <s v="Sales Executive"/>
    <n v="2"/>
    <s v="Divorced"/>
    <n v="5715"/>
    <n v="22553"/>
    <n v="7"/>
    <s v="No"/>
    <n v="12"/>
    <n v="3"/>
    <n v="3"/>
    <n v="2"/>
    <n v="8"/>
    <n v="5"/>
    <n v="3"/>
    <n v="5"/>
    <n v="4"/>
    <n v="1"/>
    <n v="3"/>
    <x v="0"/>
  </r>
  <r>
    <n v="42"/>
    <x v="1"/>
    <s v="Travel_Rarely"/>
    <n v="201"/>
    <s v="Research &amp; Development"/>
    <n v="1"/>
    <n v="4"/>
    <s v="Life Sciences"/>
    <n v="517"/>
    <n v="2"/>
    <s v="Female"/>
    <n v="95"/>
    <n v="3"/>
    <n v="1"/>
    <s v="Laboratory Technician"/>
    <n v="1"/>
    <s v="Divorced"/>
    <n v="2576"/>
    <n v="20490"/>
    <n v="3"/>
    <s v="No"/>
    <n v="16"/>
    <n v="3"/>
    <n v="2"/>
    <n v="1"/>
    <n v="8"/>
    <n v="5"/>
    <n v="3"/>
    <n v="5"/>
    <n v="2"/>
    <n v="1"/>
    <n v="2"/>
    <x v="0"/>
  </r>
  <r>
    <n v="37"/>
    <x v="1"/>
    <s v="Travel_Rarely"/>
    <n v="1305"/>
    <s v="Research &amp; Development"/>
    <n v="10"/>
    <n v="4"/>
    <s v="Life Sciences"/>
    <n v="518"/>
    <n v="3"/>
    <s v="Male"/>
    <n v="49"/>
    <n v="3"/>
    <n v="2"/>
    <s v="Manufacturing Director"/>
    <n v="2"/>
    <s v="Single"/>
    <n v="4197"/>
    <n v="21123"/>
    <n v="2"/>
    <s v="Yes"/>
    <n v="12"/>
    <n v="3"/>
    <n v="4"/>
    <n v="0"/>
    <n v="18"/>
    <n v="2"/>
    <n v="2"/>
    <n v="1"/>
    <n v="0"/>
    <n v="0"/>
    <n v="1"/>
    <x v="0"/>
  </r>
  <r>
    <n v="43"/>
    <x v="1"/>
    <s v="Travel_Rarely"/>
    <n v="982"/>
    <s v="Research &amp; Development"/>
    <n v="12"/>
    <n v="3"/>
    <s v="Life Sciences"/>
    <n v="520"/>
    <n v="1"/>
    <s v="Male"/>
    <n v="59"/>
    <n v="2"/>
    <n v="4"/>
    <s v="Research Director"/>
    <n v="2"/>
    <s v="Divorced"/>
    <n v="14336"/>
    <n v="4345"/>
    <n v="1"/>
    <s v="No"/>
    <n v="11"/>
    <n v="3"/>
    <n v="3"/>
    <n v="1"/>
    <n v="25"/>
    <n v="3"/>
    <n v="3"/>
    <n v="25"/>
    <n v="10"/>
    <n v="3"/>
    <n v="9"/>
    <x v="0"/>
  </r>
  <r>
    <n v="40"/>
    <x v="1"/>
    <s v="Travel_Rarely"/>
    <n v="555"/>
    <s v="Research &amp; Development"/>
    <n v="2"/>
    <n v="3"/>
    <s v="Medical"/>
    <n v="521"/>
    <n v="2"/>
    <s v="Female"/>
    <n v="78"/>
    <n v="2"/>
    <n v="2"/>
    <s v="Laboratory Technician"/>
    <n v="3"/>
    <s v="Married"/>
    <n v="3448"/>
    <n v="13436"/>
    <n v="6"/>
    <s v="No"/>
    <n v="22"/>
    <n v="4"/>
    <n v="2"/>
    <n v="1"/>
    <n v="20"/>
    <n v="3"/>
    <n v="3"/>
    <n v="1"/>
    <n v="0"/>
    <n v="0"/>
    <n v="0"/>
    <x v="0"/>
  </r>
  <r>
    <n v="54"/>
    <x v="1"/>
    <s v="Travel_Rarely"/>
    <n v="821"/>
    <s v="Research &amp; Development"/>
    <n v="5"/>
    <n v="2"/>
    <s v="Medical"/>
    <n v="522"/>
    <n v="1"/>
    <s v="Male"/>
    <n v="86"/>
    <n v="3"/>
    <n v="5"/>
    <s v="Research Director"/>
    <n v="1"/>
    <s v="Married"/>
    <n v="19406"/>
    <n v="8509"/>
    <n v="4"/>
    <s v="No"/>
    <n v="11"/>
    <n v="3"/>
    <n v="3"/>
    <n v="1"/>
    <n v="24"/>
    <n v="4"/>
    <n v="2"/>
    <n v="4"/>
    <n v="2"/>
    <n v="1"/>
    <n v="2"/>
    <x v="1"/>
  </r>
  <r>
    <n v="34"/>
    <x v="1"/>
    <s v="Non-Travel"/>
    <n v="1381"/>
    <s v="Sales"/>
    <n v="4"/>
    <n v="4"/>
    <s v="Marketing"/>
    <n v="523"/>
    <n v="3"/>
    <s v="Female"/>
    <n v="72"/>
    <n v="3"/>
    <n v="2"/>
    <s v="Sales Executive"/>
    <n v="3"/>
    <s v="Married"/>
    <n v="6538"/>
    <n v="12740"/>
    <n v="9"/>
    <s v="No"/>
    <n v="15"/>
    <n v="3"/>
    <n v="1"/>
    <n v="1"/>
    <n v="6"/>
    <n v="3"/>
    <n v="3"/>
    <n v="3"/>
    <n v="2"/>
    <n v="1"/>
    <n v="2"/>
    <x v="2"/>
  </r>
  <r>
    <n v="31"/>
    <x v="1"/>
    <s v="Travel_Rarely"/>
    <n v="480"/>
    <s v="Research &amp; Development"/>
    <n v="7"/>
    <n v="2"/>
    <s v="Medical"/>
    <n v="524"/>
    <n v="2"/>
    <s v="Female"/>
    <n v="31"/>
    <n v="3"/>
    <n v="2"/>
    <s v="Manufacturing Director"/>
    <n v="1"/>
    <s v="Married"/>
    <n v="4306"/>
    <n v="4156"/>
    <n v="1"/>
    <s v="No"/>
    <n v="12"/>
    <n v="3"/>
    <n v="2"/>
    <n v="1"/>
    <n v="13"/>
    <n v="5"/>
    <n v="1"/>
    <n v="13"/>
    <n v="10"/>
    <n v="3"/>
    <n v="12"/>
    <x v="2"/>
  </r>
  <r>
    <n v="43"/>
    <x v="1"/>
    <s v="Travel_Frequently"/>
    <n v="313"/>
    <s v="Research &amp; Development"/>
    <n v="21"/>
    <n v="3"/>
    <s v="Medical"/>
    <n v="525"/>
    <n v="4"/>
    <s v="Male"/>
    <n v="61"/>
    <n v="3"/>
    <n v="1"/>
    <s v="Laboratory Technician"/>
    <n v="4"/>
    <s v="Married"/>
    <n v="2258"/>
    <n v="15238"/>
    <n v="7"/>
    <s v="No"/>
    <n v="20"/>
    <n v="4"/>
    <n v="1"/>
    <n v="1"/>
    <n v="8"/>
    <n v="1"/>
    <n v="3"/>
    <n v="3"/>
    <n v="2"/>
    <n v="1"/>
    <n v="2"/>
    <x v="0"/>
  </r>
  <r>
    <n v="43"/>
    <x v="1"/>
    <s v="Travel_Rarely"/>
    <n v="1473"/>
    <s v="Research &amp; Development"/>
    <n v="8"/>
    <n v="4"/>
    <s v="Other"/>
    <n v="526"/>
    <n v="3"/>
    <s v="Female"/>
    <n v="74"/>
    <n v="3"/>
    <n v="2"/>
    <s v="Healthcare Representative"/>
    <n v="3"/>
    <s v="Divorced"/>
    <n v="4522"/>
    <n v="2227"/>
    <n v="4"/>
    <s v="Yes"/>
    <n v="14"/>
    <n v="3"/>
    <n v="4"/>
    <n v="0"/>
    <n v="8"/>
    <n v="3"/>
    <n v="3"/>
    <n v="5"/>
    <n v="2"/>
    <n v="0"/>
    <n v="2"/>
    <x v="0"/>
  </r>
  <r>
    <n v="25"/>
    <x v="1"/>
    <s v="Travel_Rarely"/>
    <n v="891"/>
    <s v="Sales"/>
    <n v="4"/>
    <n v="2"/>
    <s v="Life Sciences"/>
    <n v="527"/>
    <n v="2"/>
    <s v="Female"/>
    <n v="99"/>
    <n v="2"/>
    <n v="2"/>
    <s v="Sales Executive"/>
    <n v="4"/>
    <s v="Single"/>
    <n v="4487"/>
    <n v="12090"/>
    <n v="1"/>
    <s v="Yes"/>
    <n v="11"/>
    <n v="3"/>
    <n v="2"/>
    <n v="0"/>
    <n v="5"/>
    <n v="3"/>
    <n v="3"/>
    <n v="5"/>
    <n v="4"/>
    <n v="1"/>
    <n v="3"/>
    <x v="2"/>
  </r>
  <r>
    <n v="37"/>
    <x v="1"/>
    <s v="Non-Travel"/>
    <n v="1063"/>
    <s v="Research &amp; Development"/>
    <n v="25"/>
    <n v="5"/>
    <s v="Medical"/>
    <n v="529"/>
    <n v="2"/>
    <s v="Female"/>
    <n v="72"/>
    <n v="3"/>
    <n v="2"/>
    <s v="Research Scientist"/>
    <n v="3"/>
    <s v="Married"/>
    <n v="4449"/>
    <n v="23866"/>
    <n v="3"/>
    <s v="Yes"/>
    <n v="15"/>
    <n v="3"/>
    <n v="1"/>
    <n v="2"/>
    <n v="15"/>
    <n v="2"/>
    <n v="3"/>
    <n v="13"/>
    <n v="11"/>
    <n v="10"/>
    <n v="7"/>
    <x v="0"/>
  </r>
  <r>
    <n v="31"/>
    <x v="1"/>
    <s v="Travel_Rarely"/>
    <n v="329"/>
    <s v="Research &amp; Development"/>
    <n v="1"/>
    <n v="2"/>
    <s v="Life Sciences"/>
    <n v="530"/>
    <n v="4"/>
    <s v="Male"/>
    <n v="98"/>
    <n v="2"/>
    <n v="1"/>
    <s v="Laboratory Technician"/>
    <n v="1"/>
    <s v="Married"/>
    <n v="2218"/>
    <n v="16193"/>
    <n v="1"/>
    <s v="No"/>
    <n v="12"/>
    <n v="3"/>
    <n v="3"/>
    <n v="1"/>
    <n v="4"/>
    <n v="3"/>
    <n v="3"/>
    <n v="4"/>
    <n v="2"/>
    <n v="3"/>
    <n v="2"/>
    <x v="2"/>
  </r>
  <r>
    <n v="39"/>
    <x v="1"/>
    <s v="Travel_Frequently"/>
    <n v="1218"/>
    <s v="Research &amp; Development"/>
    <n v="1"/>
    <n v="1"/>
    <s v="Life Sciences"/>
    <n v="531"/>
    <n v="2"/>
    <s v="Male"/>
    <n v="52"/>
    <n v="3"/>
    <n v="5"/>
    <s v="Manager"/>
    <n v="3"/>
    <s v="Divorced"/>
    <n v="19197"/>
    <n v="8213"/>
    <n v="1"/>
    <s v="Yes"/>
    <n v="14"/>
    <n v="3"/>
    <n v="3"/>
    <n v="1"/>
    <n v="21"/>
    <n v="3"/>
    <n v="3"/>
    <n v="21"/>
    <n v="8"/>
    <n v="1"/>
    <n v="6"/>
    <x v="0"/>
  </r>
  <r>
    <n v="56"/>
    <x v="1"/>
    <s v="Travel_Frequently"/>
    <n v="906"/>
    <s v="Sales"/>
    <n v="6"/>
    <n v="3"/>
    <s v="Life Sciences"/>
    <n v="532"/>
    <n v="3"/>
    <s v="Female"/>
    <n v="86"/>
    <n v="4"/>
    <n v="4"/>
    <s v="Sales Executive"/>
    <n v="1"/>
    <s v="Married"/>
    <n v="13212"/>
    <n v="18256"/>
    <n v="9"/>
    <s v="No"/>
    <n v="11"/>
    <n v="3"/>
    <n v="4"/>
    <n v="3"/>
    <n v="36"/>
    <n v="0"/>
    <n v="2"/>
    <n v="7"/>
    <n v="7"/>
    <n v="7"/>
    <n v="7"/>
    <x v="3"/>
  </r>
  <r>
    <n v="30"/>
    <x v="1"/>
    <s v="Travel_Rarely"/>
    <n v="1082"/>
    <s v="Sales"/>
    <n v="12"/>
    <n v="3"/>
    <s v="Technical Degree"/>
    <n v="533"/>
    <n v="2"/>
    <s v="Female"/>
    <n v="83"/>
    <n v="3"/>
    <n v="2"/>
    <s v="Sales Executive"/>
    <n v="3"/>
    <s v="Single"/>
    <n v="6577"/>
    <n v="19558"/>
    <n v="0"/>
    <s v="No"/>
    <n v="11"/>
    <n v="3"/>
    <n v="2"/>
    <n v="0"/>
    <n v="6"/>
    <n v="6"/>
    <n v="3"/>
    <n v="5"/>
    <n v="4"/>
    <n v="4"/>
    <n v="4"/>
    <x v="2"/>
  </r>
  <r>
    <n v="41"/>
    <x v="1"/>
    <s v="Travel_Rarely"/>
    <n v="645"/>
    <s v="Sales"/>
    <n v="1"/>
    <n v="3"/>
    <s v="Marketing"/>
    <n v="534"/>
    <n v="2"/>
    <s v="Male"/>
    <n v="49"/>
    <n v="4"/>
    <n v="3"/>
    <s v="Sales Executive"/>
    <n v="1"/>
    <s v="Married"/>
    <n v="8392"/>
    <n v="19566"/>
    <n v="1"/>
    <s v="No"/>
    <n v="16"/>
    <n v="3"/>
    <n v="3"/>
    <n v="1"/>
    <n v="10"/>
    <n v="2"/>
    <n v="3"/>
    <n v="10"/>
    <n v="7"/>
    <n v="0"/>
    <n v="7"/>
    <x v="0"/>
  </r>
  <r>
    <n v="28"/>
    <x v="1"/>
    <s v="Travel_Rarely"/>
    <n v="1300"/>
    <s v="Research &amp; Development"/>
    <n v="17"/>
    <n v="2"/>
    <s v="Medical"/>
    <n v="536"/>
    <n v="3"/>
    <s v="Male"/>
    <n v="79"/>
    <n v="3"/>
    <n v="2"/>
    <s v="Laboratory Technician"/>
    <n v="1"/>
    <s v="Divorced"/>
    <n v="4558"/>
    <n v="13535"/>
    <n v="1"/>
    <s v="No"/>
    <n v="12"/>
    <n v="3"/>
    <n v="4"/>
    <n v="1"/>
    <n v="10"/>
    <n v="2"/>
    <n v="3"/>
    <n v="10"/>
    <n v="0"/>
    <n v="1"/>
    <n v="8"/>
    <x v="2"/>
  </r>
  <r>
    <n v="25"/>
    <x v="0"/>
    <s v="Travel_Rarely"/>
    <n v="688"/>
    <s v="Research &amp; Development"/>
    <n v="3"/>
    <n v="3"/>
    <s v="Medical"/>
    <n v="538"/>
    <n v="1"/>
    <s v="Male"/>
    <n v="91"/>
    <n v="3"/>
    <n v="1"/>
    <s v="Laboratory Technician"/>
    <n v="1"/>
    <s v="Married"/>
    <n v="4031"/>
    <n v="9396"/>
    <n v="5"/>
    <s v="No"/>
    <n v="13"/>
    <n v="3"/>
    <n v="3"/>
    <n v="1"/>
    <n v="6"/>
    <n v="5"/>
    <n v="3"/>
    <n v="2"/>
    <n v="2"/>
    <n v="0"/>
    <n v="2"/>
    <x v="2"/>
  </r>
  <r>
    <n v="52"/>
    <x v="1"/>
    <s v="Travel_Rarely"/>
    <n v="319"/>
    <s v="Research &amp; Development"/>
    <n v="3"/>
    <n v="3"/>
    <s v="Medical"/>
    <n v="543"/>
    <n v="4"/>
    <s v="Male"/>
    <n v="39"/>
    <n v="2"/>
    <n v="3"/>
    <s v="Manufacturing Director"/>
    <n v="3"/>
    <s v="Married"/>
    <n v="7969"/>
    <n v="19609"/>
    <n v="2"/>
    <s v="Yes"/>
    <n v="14"/>
    <n v="3"/>
    <n v="3"/>
    <n v="0"/>
    <n v="28"/>
    <n v="4"/>
    <n v="3"/>
    <n v="5"/>
    <n v="4"/>
    <n v="0"/>
    <n v="4"/>
    <x v="1"/>
  </r>
  <r>
    <n v="45"/>
    <x v="1"/>
    <s v="Travel_Rarely"/>
    <n v="192"/>
    <s v="Research &amp; Development"/>
    <n v="10"/>
    <n v="2"/>
    <s v="Life Sciences"/>
    <n v="544"/>
    <n v="1"/>
    <s v="Male"/>
    <n v="69"/>
    <n v="3"/>
    <n v="1"/>
    <s v="Research Scientist"/>
    <n v="4"/>
    <s v="Married"/>
    <n v="2654"/>
    <n v="9655"/>
    <n v="3"/>
    <s v="No"/>
    <n v="21"/>
    <n v="4"/>
    <n v="4"/>
    <n v="2"/>
    <n v="8"/>
    <n v="3"/>
    <n v="2"/>
    <n v="2"/>
    <n v="2"/>
    <n v="0"/>
    <n v="2"/>
    <x v="1"/>
  </r>
  <r>
    <n v="52"/>
    <x v="1"/>
    <s v="Travel_Rarely"/>
    <n v="1490"/>
    <s v="Research &amp; Development"/>
    <n v="4"/>
    <n v="2"/>
    <s v="Life Sciences"/>
    <n v="546"/>
    <n v="4"/>
    <s v="Female"/>
    <n v="30"/>
    <n v="3"/>
    <n v="4"/>
    <s v="Manager"/>
    <n v="4"/>
    <s v="Married"/>
    <n v="16555"/>
    <n v="10310"/>
    <n v="2"/>
    <s v="No"/>
    <n v="13"/>
    <n v="3"/>
    <n v="4"/>
    <n v="0"/>
    <n v="31"/>
    <n v="2"/>
    <n v="1"/>
    <n v="5"/>
    <n v="2"/>
    <n v="1"/>
    <n v="4"/>
    <x v="1"/>
  </r>
  <r>
    <n v="42"/>
    <x v="1"/>
    <s v="Travel_Frequently"/>
    <n v="532"/>
    <s v="Research &amp; Development"/>
    <n v="29"/>
    <n v="2"/>
    <s v="Life Sciences"/>
    <n v="547"/>
    <n v="1"/>
    <s v="Female"/>
    <n v="92"/>
    <n v="3"/>
    <n v="2"/>
    <s v="Research Scientist"/>
    <n v="3"/>
    <s v="Divorced"/>
    <n v="4556"/>
    <n v="12932"/>
    <n v="2"/>
    <s v="No"/>
    <n v="11"/>
    <n v="3"/>
    <n v="2"/>
    <n v="1"/>
    <n v="19"/>
    <n v="3"/>
    <n v="3"/>
    <n v="5"/>
    <n v="4"/>
    <n v="0"/>
    <n v="2"/>
    <x v="0"/>
  </r>
  <r>
    <n v="30"/>
    <x v="1"/>
    <s v="Travel_Rarely"/>
    <n v="317"/>
    <s v="Research &amp; Development"/>
    <n v="2"/>
    <n v="3"/>
    <s v="Life Sciences"/>
    <n v="548"/>
    <n v="3"/>
    <s v="Female"/>
    <n v="43"/>
    <n v="1"/>
    <n v="2"/>
    <s v="Manufacturing Director"/>
    <n v="4"/>
    <s v="Single"/>
    <n v="6091"/>
    <n v="24793"/>
    <n v="2"/>
    <s v="No"/>
    <n v="20"/>
    <n v="4"/>
    <n v="3"/>
    <n v="0"/>
    <n v="11"/>
    <n v="2"/>
    <n v="3"/>
    <n v="5"/>
    <n v="4"/>
    <n v="0"/>
    <n v="2"/>
    <x v="2"/>
  </r>
  <r>
    <n v="60"/>
    <x v="1"/>
    <s v="Travel_Rarely"/>
    <n v="422"/>
    <s v="Research &amp; Development"/>
    <n v="7"/>
    <n v="3"/>
    <s v="Life Sciences"/>
    <n v="549"/>
    <n v="1"/>
    <s v="Female"/>
    <n v="41"/>
    <n v="3"/>
    <n v="5"/>
    <s v="Manager"/>
    <n v="1"/>
    <s v="Married"/>
    <n v="19566"/>
    <n v="3854"/>
    <n v="5"/>
    <s v="No"/>
    <n v="11"/>
    <n v="3"/>
    <n v="4"/>
    <n v="0"/>
    <n v="33"/>
    <n v="5"/>
    <n v="1"/>
    <n v="29"/>
    <n v="8"/>
    <n v="11"/>
    <n v="10"/>
    <x v="3"/>
  </r>
  <r>
    <n v="46"/>
    <x v="1"/>
    <s v="Travel_Rarely"/>
    <n v="1485"/>
    <s v="Research &amp; Development"/>
    <n v="18"/>
    <n v="3"/>
    <s v="Medical"/>
    <n v="550"/>
    <n v="3"/>
    <s v="Female"/>
    <n v="87"/>
    <n v="3"/>
    <n v="2"/>
    <s v="Manufacturing Director"/>
    <n v="3"/>
    <s v="Divorced"/>
    <n v="4810"/>
    <n v="26314"/>
    <n v="2"/>
    <s v="No"/>
    <n v="14"/>
    <n v="3"/>
    <n v="3"/>
    <n v="1"/>
    <n v="19"/>
    <n v="5"/>
    <n v="2"/>
    <n v="10"/>
    <n v="7"/>
    <n v="0"/>
    <n v="8"/>
    <x v="1"/>
  </r>
  <r>
    <n v="42"/>
    <x v="1"/>
    <s v="Travel_Frequently"/>
    <n v="1368"/>
    <s v="Research &amp; Development"/>
    <n v="28"/>
    <n v="4"/>
    <s v="Technical Degree"/>
    <n v="551"/>
    <n v="4"/>
    <s v="Female"/>
    <n v="88"/>
    <n v="2"/>
    <n v="2"/>
    <s v="Healthcare Representative"/>
    <n v="4"/>
    <s v="Married"/>
    <n v="4523"/>
    <n v="4386"/>
    <n v="0"/>
    <s v="No"/>
    <n v="11"/>
    <n v="3"/>
    <n v="4"/>
    <n v="3"/>
    <n v="7"/>
    <n v="4"/>
    <n v="4"/>
    <n v="6"/>
    <n v="5"/>
    <n v="0"/>
    <n v="4"/>
    <x v="0"/>
  </r>
  <r>
    <n v="24"/>
    <x v="0"/>
    <s v="Travel_Rarely"/>
    <n v="1448"/>
    <s v="Sales"/>
    <n v="1"/>
    <n v="1"/>
    <s v="Technical Degree"/>
    <n v="554"/>
    <n v="1"/>
    <s v="Female"/>
    <n v="62"/>
    <n v="3"/>
    <n v="1"/>
    <s v="Sales Representative"/>
    <n v="2"/>
    <s v="Single"/>
    <n v="3202"/>
    <n v="21972"/>
    <n v="1"/>
    <s v="Yes"/>
    <n v="16"/>
    <n v="3"/>
    <n v="2"/>
    <n v="0"/>
    <n v="6"/>
    <n v="4"/>
    <n v="3"/>
    <n v="5"/>
    <n v="3"/>
    <n v="1"/>
    <n v="4"/>
    <x v="2"/>
  </r>
  <r>
    <n v="34"/>
    <x v="0"/>
    <s v="Travel_Frequently"/>
    <n v="296"/>
    <s v="Sales"/>
    <n v="6"/>
    <n v="2"/>
    <s v="Marketing"/>
    <n v="555"/>
    <n v="4"/>
    <s v="Female"/>
    <n v="33"/>
    <n v="1"/>
    <n v="1"/>
    <s v="Sales Representative"/>
    <n v="3"/>
    <s v="Divorced"/>
    <n v="2351"/>
    <n v="12253"/>
    <n v="0"/>
    <s v="No"/>
    <n v="16"/>
    <n v="3"/>
    <n v="4"/>
    <n v="1"/>
    <n v="3"/>
    <n v="3"/>
    <n v="2"/>
    <n v="2"/>
    <n v="2"/>
    <n v="1"/>
    <n v="0"/>
    <x v="2"/>
  </r>
  <r>
    <n v="38"/>
    <x v="1"/>
    <s v="Travel_Frequently"/>
    <n v="1490"/>
    <s v="Research &amp; Development"/>
    <n v="2"/>
    <n v="2"/>
    <s v="Life Sciences"/>
    <n v="556"/>
    <n v="4"/>
    <s v="Male"/>
    <n v="42"/>
    <n v="3"/>
    <n v="1"/>
    <s v="Laboratory Technician"/>
    <n v="4"/>
    <s v="Married"/>
    <n v="1702"/>
    <n v="12106"/>
    <n v="1"/>
    <s v="Yes"/>
    <n v="23"/>
    <n v="4"/>
    <n v="3"/>
    <n v="1"/>
    <n v="1"/>
    <n v="3"/>
    <n v="3"/>
    <n v="1"/>
    <n v="0"/>
    <n v="0"/>
    <n v="0"/>
    <x v="0"/>
  </r>
  <r>
    <n v="40"/>
    <x v="1"/>
    <s v="Travel_Rarely"/>
    <n v="1398"/>
    <s v="Sales"/>
    <n v="2"/>
    <n v="4"/>
    <s v="Life Sciences"/>
    <n v="558"/>
    <n v="3"/>
    <s v="Female"/>
    <n v="79"/>
    <n v="3"/>
    <n v="5"/>
    <s v="Manager"/>
    <n v="3"/>
    <s v="Married"/>
    <n v="18041"/>
    <n v="13022"/>
    <n v="0"/>
    <s v="No"/>
    <n v="14"/>
    <n v="3"/>
    <n v="4"/>
    <n v="0"/>
    <n v="21"/>
    <n v="2"/>
    <n v="3"/>
    <n v="20"/>
    <n v="15"/>
    <n v="1"/>
    <n v="12"/>
    <x v="0"/>
  </r>
  <r>
    <n v="26"/>
    <x v="1"/>
    <s v="Travel_Rarely"/>
    <n v="1349"/>
    <s v="Research &amp; Development"/>
    <n v="23"/>
    <n v="3"/>
    <s v="Life Sciences"/>
    <n v="560"/>
    <n v="1"/>
    <s v="Female"/>
    <n v="90"/>
    <n v="3"/>
    <n v="1"/>
    <s v="Research Scientist"/>
    <n v="4"/>
    <s v="Divorced"/>
    <n v="2886"/>
    <n v="3032"/>
    <n v="1"/>
    <s v="No"/>
    <n v="22"/>
    <n v="4"/>
    <n v="2"/>
    <n v="2"/>
    <n v="3"/>
    <n v="3"/>
    <n v="1"/>
    <n v="3"/>
    <n v="2"/>
    <n v="0"/>
    <n v="2"/>
    <x v="2"/>
  </r>
  <r>
    <n v="30"/>
    <x v="1"/>
    <s v="Non-Travel"/>
    <n v="1400"/>
    <s v="Research &amp; Development"/>
    <n v="3"/>
    <n v="3"/>
    <s v="Life Sciences"/>
    <n v="562"/>
    <n v="3"/>
    <s v="Male"/>
    <n v="53"/>
    <n v="3"/>
    <n v="1"/>
    <s v="Laboratory Technician"/>
    <n v="4"/>
    <s v="Married"/>
    <n v="2097"/>
    <n v="16734"/>
    <n v="4"/>
    <s v="No"/>
    <n v="15"/>
    <n v="3"/>
    <n v="3"/>
    <n v="1"/>
    <n v="9"/>
    <n v="3"/>
    <n v="1"/>
    <n v="5"/>
    <n v="3"/>
    <n v="1"/>
    <n v="4"/>
    <x v="2"/>
  </r>
  <r>
    <n v="29"/>
    <x v="1"/>
    <s v="Travel_Rarely"/>
    <n v="986"/>
    <s v="Research &amp; Development"/>
    <n v="3"/>
    <n v="4"/>
    <s v="Medical"/>
    <n v="564"/>
    <n v="2"/>
    <s v="Male"/>
    <n v="93"/>
    <n v="2"/>
    <n v="3"/>
    <s v="Research Director"/>
    <n v="3"/>
    <s v="Married"/>
    <n v="11935"/>
    <n v="21526"/>
    <n v="1"/>
    <s v="No"/>
    <n v="18"/>
    <n v="3"/>
    <n v="3"/>
    <n v="0"/>
    <n v="10"/>
    <n v="2"/>
    <n v="3"/>
    <n v="10"/>
    <n v="2"/>
    <n v="0"/>
    <n v="7"/>
    <x v="2"/>
  </r>
  <r>
    <n v="29"/>
    <x v="0"/>
    <s v="Travel_Rarely"/>
    <n v="408"/>
    <s v="Research &amp; Development"/>
    <n v="25"/>
    <n v="5"/>
    <s v="Technical Degree"/>
    <n v="565"/>
    <n v="3"/>
    <s v="Female"/>
    <n v="71"/>
    <n v="2"/>
    <n v="1"/>
    <s v="Research Scientist"/>
    <n v="2"/>
    <s v="Married"/>
    <n v="2546"/>
    <n v="18300"/>
    <n v="5"/>
    <s v="No"/>
    <n v="16"/>
    <n v="3"/>
    <n v="2"/>
    <n v="0"/>
    <n v="6"/>
    <n v="2"/>
    <n v="4"/>
    <n v="2"/>
    <n v="2"/>
    <n v="1"/>
    <n v="1"/>
    <x v="2"/>
  </r>
  <r>
    <n v="19"/>
    <x v="0"/>
    <s v="Travel_Rarely"/>
    <n v="489"/>
    <s v="Human Resources"/>
    <n v="2"/>
    <n v="2"/>
    <s v="Technical Degree"/>
    <n v="566"/>
    <n v="1"/>
    <s v="Male"/>
    <n v="52"/>
    <n v="2"/>
    <n v="1"/>
    <s v="Human Resources"/>
    <n v="4"/>
    <s v="Single"/>
    <n v="2564"/>
    <n v="18437"/>
    <n v="1"/>
    <s v="No"/>
    <n v="12"/>
    <n v="3"/>
    <n v="3"/>
    <n v="0"/>
    <n v="1"/>
    <n v="3"/>
    <n v="4"/>
    <n v="1"/>
    <n v="0"/>
    <n v="0"/>
    <n v="0"/>
    <x v="2"/>
  </r>
  <r>
    <n v="30"/>
    <x v="1"/>
    <s v="Non-Travel"/>
    <n v="1398"/>
    <s v="Sales"/>
    <n v="22"/>
    <n v="4"/>
    <s v="Other"/>
    <n v="567"/>
    <n v="3"/>
    <s v="Female"/>
    <n v="69"/>
    <n v="3"/>
    <n v="3"/>
    <s v="Sales Executive"/>
    <n v="1"/>
    <s v="Married"/>
    <n v="8412"/>
    <n v="2890"/>
    <n v="0"/>
    <s v="No"/>
    <n v="11"/>
    <n v="3"/>
    <n v="3"/>
    <n v="0"/>
    <n v="10"/>
    <n v="3"/>
    <n v="3"/>
    <n v="9"/>
    <n v="8"/>
    <n v="7"/>
    <n v="8"/>
    <x v="2"/>
  </r>
  <r>
    <n v="57"/>
    <x v="1"/>
    <s v="Travel_Rarely"/>
    <n v="210"/>
    <s v="Sales"/>
    <n v="29"/>
    <n v="3"/>
    <s v="Marketing"/>
    <n v="568"/>
    <n v="1"/>
    <s v="Male"/>
    <n v="56"/>
    <n v="2"/>
    <n v="4"/>
    <s v="Manager"/>
    <n v="4"/>
    <s v="Divorced"/>
    <n v="14118"/>
    <n v="22102"/>
    <n v="3"/>
    <s v="No"/>
    <n v="12"/>
    <n v="3"/>
    <n v="3"/>
    <n v="1"/>
    <n v="32"/>
    <n v="3"/>
    <n v="2"/>
    <n v="1"/>
    <n v="0"/>
    <n v="0"/>
    <n v="0"/>
    <x v="3"/>
  </r>
  <r>
    <n v="50"/>
    <x v="1"/>
    <s v="Travel_Rarely"/>
    <n v="1099"/>
    <s v="Research &amp; Development"/>
    <n v="29"/>
    <n v="4"/>
    <s v="Life Sciences"/>
    <n v="569"/>
    <n v="2"/>
    <s v="Male"/>
    <n v="88"/>
    <n v="2"/>
    <n v="4"/>
    <s v="Manager"/>
    <n v="3"/>
    <s v="Married"/>
    <n v="17046"/>
    <n v="9314"/>
    <n v="0"/>
    <s v="No"/>
    <n v="15"/>
    <n v="3"/>
    <n v="2"/>
    <n v="1"/>
    <n v="28"/>
    <n v="2"/>
    <n v="3"/>
    <n v="27"/>
    <n v="10"/>
    <n v="15"/>
    <n v="7"/>
    <x v="1"/>
  </r>
  <r>
    <n v="30"/>
    <x v="1"/>
    <s v="Non-Travel"/>
    <n v="1116"/>
    <s v="Research &amp; Development"/>
    <n v="2"/>
    <n v="3"/>
    <s v="Medical"/>
    <n v="571"/>
    <n v="3"/>
    <s v="Female"/>
    <n v="49"/>
    <n v="3"/>
    <n v="1"/>
    <s v="Laboratory Technician"/>
    <n v="4"/>
    <s v="Single"/>
    <n v="2564"/>
    <n v="7181"/>
    <n v="0"/>
    <s v="No"/>
    <n v="14"/>
    <n v="3"/>
    <n v="3"/>
    <n v="0"/>
    <n v="12"/>
    <n v="2"/>
    <n v="2"/>
    <n v="11"/>
    <n v="7"/>
    <n v="6"/>
    <n v="7"/>
    <x v="2"/>
  </r>
  <r>
    <n v="60"/>
    <x v="1"/>
    <s v="Travel_Frequently"/>
    <n v="1499"/>
    <s v="Sales"/>
    <n v="28"/>
    <n v="3"/>
    <s v="Marketing"/>
    <n v="573"/>
    <n v="3"/>
    <s v="Female"/>
    <n v="80"/>
    <n v="2"/>
    <n v="3"/>
    <s v="Sales Executive"/>
    <n v="1"/>
    <s v="Married"/>
    <n v="10266"/>
    <n v="2845"/>
    <n v="4"/>
    <s v="No"/>
    <n v="19"/>
    <n v="3"/>
    <n v="4"/>
    <n v="0"/>
    <n v="22"/>
    <n v="5"/>
    <n v="4"/>
    <n v="18"/>
    <n v="13"/>
    <n v="13"/>
    <n v="11"/>
    <x v="3"/>
  </r>
  <r>
    <n v="47"/>
    <x v="1"/>
    <s v="Travel_Rarely"/>
    <n v="983"/>
    <s v="Research &amp; Development"/>
    <n v="2"/>
    <n v="2"/>
    <s v="Medical"/>
    <n v="574"/>
    <n v="1"/>
    <s v="Female"/>
    <n v="65"/>
    <n v="3"/>
    <n v="2"/>
    <s v="Manufacturing Director"/>
    <n v="4"/>
    <s v="Divorced"/>
    <n v="5070"/>
    <n v="7389"/>
    <n v="5"/>
    <s v="No"/>
    <n v="13"/>
    <n v="3"/>
    <n v="3"/>
    <n v="3"/>
    <n v="20"/>
    <n v="2"/>
    <n v="3"/>
    <n v="5"/>
    <n v="0"/>
    <n v="0"/>
    <n v="4"/>
    <x v="1"/>
  </r>
  <r>
    <n v="46"/>
    <x v="1"/>
    <s v="Travel_Rarely"/>
    <n v="1009"/>
    <s v="Research &amp; Development"/>
    <n v="2"/>
    <n v="3"/>
    <s v="Life Sciences"/>
    <n v="575"/>
    <n v="1"/>
    <s v="Male"/>
    <n v="51"/>
    <n v="3"/>
    <n v="4"/>
    <s v="Research Director"/>
    <n v="3"/>
    <s v="Married"/>
    <n v="17861"/>
    <n v="2288"/>
    <n v="6"/>
    <s v="No"/>
    <n v="13"/>
    <n v="3"/>
    <n v="3"/>
    <n v="0"/>
    <n v="26"/>
    <n v="2"/>
    <n v="1"/>
    <n v="3"/>
    <n v="2"/>
    <n v="0"/>
    <n v="1"/>
    <x v="1"/>
  </r>
  <r>
    <n v="35"/>
    <x v="1"/>
    <s v="Travel_Rarely"/>
    <n v="144"/>
    <s v="Research &amp; Development"/>
    <n v="22"/>
    <n v="3"/>
    <s v="Life Sciences"/>
    <n v="577"/>
    <n v="4"/>
    <s v="Male"/>
    <n v="46"/>
    <n v="1"/>
    <n v="1"/>
    <s v="Laboratory Technician"/>
    <n v="3"/>
    <s v="Single"/>
    <n v="4230"/>
    <n v="19225"/>
    <n v="0"/>
    <s v="No"/>
    <n v="15"/>
    <n v="3"/>
    <n v="3"/>
    <n v="0"/>
    <n v="6"/>
    <n v="2"/>
    <n v="3"/>
    <n v="5"/>
    <n v="4"/>
    <n v="4"/>
    <n v="3"/>
    <x v="0"/>
  </r>
  <r>
    <n v="54"/>
    <x v="1"/>
    <s v="Travel_Rarely"/>
    <n v="548"/>
    <s v="Research &amp; Development"/>
    <n v="8"/>
    <n v="4"/>
    <s v="Life Sciences"/>
    <n v="578"/>
    <n v="3"/>
    <s v="Female"/>
    <n v="42"/>
    <n v="3"/>
    <n v="2"/>
    <s v="Laboratory Technician"/>
    <n v="3"/>
    <s v="Single"/>
    <n v="3780"/>
    <n v="23428"/>
    <n v="7"/>
    <s v="No"/>
    <n v="11"/>
    <n v="3"/>
    <n v="3"/>
    <n v="0"/>
    <n v="19"/>
    <n v="3"/>
    <n v="3"/>
    <n v="1"/>
    <n v="0"/>
    <n v="0"/>
    <n v="0"/>
    <x v="1"/>
  </r>
  <r>
    <n v="34"/>
    <x v="1"/>
    <s v="Travel_Rarely"/>
    <n v="1303"/>
    <s v="Research &amp; Development"/>
    <n v="2"/>
    <n v="4"/>
    <s v="Life Sciences"/>
    <n v="579"/>
    <n v="4"/>
    <s v="Male"/>
    <n v="62"/>
    <n v="2"/>
    <n v="1"/>
    <s v="Research Scientist"/>
    <n v="3"/>
    <s v="Divorced"/>
    <n v="2768"/>
    <n v="8416"/>
    <n v="3"/>
    <s v="No"/>
    <n v="12"/>
    <n v="3"/>
    <n v="3"/>
    <n v="1"/>
    <n v="14"/>
    <n v="3"/>
    <n v="3"/>
    <n v="7"/>
    <n v="3"/>
    <n v="5"/>
    <n v="7"/>
    <x v="2"/>
  </r>
  <r>
    <n v="46"/>
    <x v="1"/>
    <s v="Travel_Rarely"/>
    <n v="1125"/>
    <s v="Sales"/>
    <n v="10"/>
    <n v="3"/>
    <s v="Marketing"/>
    <n v="580"/>
    <n v="3"/>
    <s v="Female"/>
    <n v="94"/>
    <n v="2"/>
    <n v="3"/>
    <s v="Sales Executive"/>
    <n v="4"/>
    <s v="Married"/>
    <n v="9071"/>
    <n v="11563"/>
    <n v="2"/>
    <s v="Yes"/>
    <n v="19"/>
    <n v="3"/>
    <n v="3"/>
    <n v="1"/>
    <n v="15"/>
    <n v="3"/>
    <n v="3"/>
    <n v="3"/>
    <n v="2"/>
    <n v="1"/>
    <n v="2"/>
    <x v="1"/>
  </r>
  <r>
    <n v="31"/>
    <x v="1"/>
    <s v="Travel_Rarely"/>
    <n v="1274"/>
    <s v="Research &amp; Development"/>
    <n v="9"/>
    <n v="1"/>
    <s v="Life Sciences"/>
    <n v="581"/>
    <n v="3"/>
    <s v="Male"/>
    <n v="33"/>
    <n v="3"/>
    <n v="3"/>
    <s v="Manufacturing Director"/>
    <n v="2"/>
    <s v="Divorced"/>
    <n v="10648"/>
    <n v="14394"/>
    <n v="1"/>
    <s v="No"/>
    <n v="25"/>
    <n v="4"/>
    <n v="4"/>
    <n v="1"/>
    <n v="13"/>
    <n v="6"/>
    <n v="4"/>
    <n v="13"/>
    <n v="8"/>
    <n v="0"/>
    <n v="8"/>
    <x v="2"/>
  </r>
  <r>
    <n v="33"/>
    <x v="0"/>
    <s v="Travel_Rarely"/>
    <n v="1277"/>
    <s v="Research &amp; Development"/>
    <n v="15"/>
    <n v="1"/>
    <s v="Medical"/>
    <n v="582"/>
    <n v="2"/>
    <s v="Male"/>
    <n v="56"/>
    <n v="3"/>
    <n v="3"/>
    <s v="Manager"/>
    <n v="3"/>
    <s v="Married"/>
    <n v="13610"/>
    <n v="24619"/>
    <n v="7"/>
    <s v="Yes"/>
    <n v="12"/>
    <n v="3"/>
    <n v="4"/>
    <n v="0"/>
    <n v="15"/>
    <n v="2"/>
    <n v="4"/>
    <n v="7"/>
    <n v="6"/>
    <n v="7"/>
    <n v="7"/>
    <x v="2"/>
  </r>
  <r>
    <n v="33"/>
    <x v="0"/>
    <s v="Travel_Rarely"/>
    <n v="587"/>
    <s v="Research &amp; Development"/>
    <n v="10"/>
    <n v="1"/>
    <s v="Medical"/>
    <n v="584"/>
    <n v="1"/>
    <s v="Male"/>
    <n v="38"/>
    <n v="1"/>
    <n v="1"/>
    <s v="Laboratory Technician"/>
    <n v="4"/>
    <s v="Divorced"/>
    <n v="3408"/>
    <n v="6705"/>
    <n v="7"/>
    <s v="No"/>
    <n v="13"/>
    <n v="3"/>
    <n v="1"/>
    <n v="3"/>
    <n v="8"/>
    <n v="2"/>
    <n v="3"/>
    <n v="4"/>
    <n v="3"/>
    <n v="1"/>
    <n v="3"/>
    <x v="2"/>
  </r>
  <r>
    <n v="30"/>
    <x v="1"/>
    <s v="Travel_Rarely"/>
    <n v="413"/>
    <s v="Sales"/>
    <n v="7"/>
    <n v="1"/>
    <s v="Marketing"/>
    <n v="585"/>
    <n v="4"/>
    <s v="Male"/>
    <n v="57"/>
    <n v="3"/>
    <n v="1"/>
    <s v="Sales Representative"/>
    <n v="2"/>
    <s v="Single"/>
    <n v="2983"/>
    <n v="18398"/>
    <n v="0"/>
    <s v="No"/>
    <n v="14"/>
    <n v="3"/>
    <n v="1"/>
    <n v="0"/>
    <n v="4"/>
    <n v="3"/>
    <n v="3"/>
    <n v="3"/>
    <n v="2"/>
    <n v="1"/>
    <n v="2"/>
    <x v="2"/>
  </r>
  <r>
    <n v="35"/>
    <x v="1"/>
    <s v="Travel_Rarely"/>
    <n v="1276"/>
    <s v="Research &amp; Development"/>
    <n v="16"/>
    <n v="3"/>
    <s v="Life Sciences"/>
    <n v="586"/>
    <n v="4"/>
    <s v="Male"/>
    <n v="72"/>
    <n v="3"/>
    <n v="3"/>
    <s v="Healthcare Representative"/>
    <n v="3"/>
    <s v="Married"/>
    <n v="7632"/>
    <n v="14295"/>
    <n v="4"/>
    <s v="Yes"/>
    <n v="12"/>
    <n v="3"/>
    <n v="3"/>
    <n v="0"/>
    <n v="10"/>
    <n v="2"/>
    <n v="3"/>
    <n v="8"/>
    <n v="7"/>
    <n v="0"/>
    <n v="0"/>
    <x v="0"/>
  </r>
  <r>
    <n v="31"/>
    <x v="0"/>
    <s v="Travel_Frequently"/>
    <n v="534"/>
    <s v="Research &amp; Development"/>
    <n v="20"/>
    <n v="3"/>
    <s v="Life Sciences"/>
    <n v="587"/>
    <n v="1"/>
    <s v="Male"/>
    <n v="66"/>
    <n v="3"/>
    <n v="3"/>
    <s v="Healthcare Representative"/>
    <n v="3"/>
    <s v="Married"/>
    <n v="9824"/>
    <n v="22908"/>
    <n v="3"/>
    <s v="No"/>
    <n v="12"/>
    <n v="3"/>
    <n v="1"/>
    <n v="0"/>
    <n v="12"/>
    <n v="2"/>
    <n v="3"/>
    <n v="1"/>
    <n v="0"/>
    <n v="0"/>
    <n v="0"/>
    <x v="2"/>
  </r>
  <r>
    <n v="34"/>
    <x v="0"/>
    <s v="Travel_Frequently"/>
    <n v="988"/>
    <s v="Human Resources"/>
    <n v="23"/>
    <n v="3"/>
    <s v="Human Resources"/>
    <n v="590"/>
    <n v="2"/>
    <s v="Female"/>
    <n v="43"/>
    <n v="3"/>
    <n v="3"/>
    <s v="Human Resources"/>
    <n v="1"/>
    <s v="Divorced"/>
    <n v="9950"/>
    <n v="11533"/>
    <n v="9"/>
    <s v="Yes"/>
    <n v="15"/>
    <n v="3"/>
    <n v="3"/>
    <n v="3"/>
    <n v="11"/>
    <n v="2"/>
    <n v="3"/>
    <n v="3"/>
    <n v="2"/>
    <n v="0"/>
    <n v="2"/>
    <x v="2"/>
  </r>
  <r>
    <n v="42"/>
    <x v="1"/>
    <s v="Travel_Frequently"/>
    <n v="1474"/>
    <s v="Research &amp; Development"/>
    <n v="5"/>
    <n v="2"/>
    <s v="Other"/>
    <n v="591"/>
    <n v="2"/>
    <s v="Male"/>
    <n v="97"/>
    <n v="3"/>
    <n v="1"/>
    <s v="Laboratory Technician"/>
    <n v="3"/>
    <s v="Married"/>
    <n v="2093"/>
    <n v="9260"/>
    <n v="4"/>
    <s v="No"/>
    <n v="17"/>
    <n v="3"/>
    <n v="4"/>
    <n v="1"/>
    <n v="8"/>
    <n v="4"/>
    <n v="3"/>
    <n v="2"/>
    <n v="2"/>
    <n v="2"/>
    <n v="0"/>
    <x v="0"/>
  </r>
  <r>
    <n v="36"/>
    <x v="1"/>
    <s v="Non-Travel"/>
    <n v="635"/>
    <s v="Sales"/>
    <n v="10"/>
    <n v="4"/>
    <s v="Medical"/>
    <n v="592"/>
    <n v="2"/>
    <s v="Male"/>
    <n v="32"/>
    <n v="3"/>
    <n v="3"/>
    <s v="Sales Executive"/>
    <n v="4"/>
    <s v="Single"/>
    <n v="9980"/>
    <n v="15318"/>
    <n v="1"/>
    <s v="No"/>
    <n v="14"/>
    <n v="3"/>
    <n v="4"/>
    <n v="0"/>
    <n v="10"/>
    <n v="3"/>
    <n v="2"/>
    <n v="10"/>
    <n v="3"/>
    <n v="9"/>
    <n v="7"/>
    <x v="0"/>
  </r>
  <r>
    <n v="22"/>
    <x v="0"/>
    <s v="Travel_Frequently"/>
    <n v="1368"/>
    <s v="Research &amp; Development"/>
    <n v="4"/>
    <n v="1"/>
    <s v="Technical Degree"/>
    <n v="593"/>
    <n v="3"/>
    <s v="Male"/>
    <n v="99"/>
    <n v="2"/>
    <n v="1"/>
    <s v="Laboratory Technician"/>
    <n v="3"/>
    <s v="Single"/>
    <n v="3894"/>
    <n v="9129"/>
    <n v="5"/>
    <s v="No"/>
    <n v="16"/>
    <n v="3"/>
    <n v="3"/>
    <n v="0"/>
    <n v="4"/>
    <n v="3"/>
    <n v="3"/>
    <n v="2"/>
    <n v="2"/>
    <n v="1"/>
    <n v="2"/>
    <x v="2"/>
  </r>
  <r>
    <n v="48"/>
    <x v="1"/>
    <s v="Travel_Rarely"/>
    <n v="163"/>
    <s v="Sales"/>
    <n v="2"/>
    <n v="5"/>
    <s v="Marketing"/>
    <n v="595"/>
    <n v="2"/>
    <s v="Female"/>
    <n v="37"/>
    <n v="3"/>
    <n v="2"/>
    <s v="Sales Executive"/>
    <n v="4"/>
    <s v="Married"/>
    <n v="4051"/>
    <n v="19658"/>
    <n v="2"/>
    <s v="No"/>
    <n v="14"/>
    <n v="3"/>
    <n v="1"/>
    <n v="1"/>
    <n v="14"/>
    <n v="2"/>
    <n v="3"/>
    <n v="9"/>
    <n v="7"/>
    <n v="6"/>
    <n v="7"/>
    <x v="1"/>
  </r>
  <r>
    <n v="55"/>
    <x v="1"/>
    <s v="Travel_Rarely"/>
    <n v="1117"/>
    <s v="Sales"/>
    <n v="18"/>
    <n v="5"/>
    <s v="Life Sciences"/>
    <n v="597"/>
    <n v="1"/>
    <s v="Female"/>
    <n v="83"/>
    <n v="3"/>
    <n v="4"/>
    <s v="Manager"/>
    <n v="2"/>
    <s v="Single"/>
    <n v="16835"/>
    <n v="9873"/>
    <n v="3"/>
    <s v="No"/>
    <n v="23"/>
    <n v="4"/>
    <n v="4"/>
    <n v="0"/>
    <n v="37"/>
    <n v="2"/>
    <n v="3"/>
    <n v="10"/>
    <n v="9"/>
    <n v="7"/>
    <n v="7"/>
    <x v="3"/>
  </r>
  <r>
    <n v="41"/>
    <x v="1"/>
    <s v="Non-Travel"/>
    <n v="267"/>
    <s v="Sales"/>
    <n v="10"/>
    <n v="2"/>
    <s v="Life Sciences"/>
    <n v="599"/>
    <n v="4"/>
    <s v="Male"/>
    <n v="56"/>
    <n v="3"/>
    <n v="2"/>
    <s v="Sales Executive"/>
    <n v="4"/>
    <s v="Single"/>
    <n v="6230"/>
    <n v="13430"/>
    <n v="7"/>
    <s v="No"/>
    <n v="14"/>
    <n v="3"/>
    <n v="4"/>
    <n v="0"/>
    <n v="16"/>
    <n v="3"/>
    <n v="3"/>
    <n v="14"/>
    <n v="3"/>
    <n v="1"/>
    <n v="10"/>
    <x v="0"/>
  </r>
  <r>
    <n v="35"/>
    <x v="1"/>
    <s v="Travel_Rarely"/>
    <n v="619"/>
    <s v="Sales"/>
    <n v="1"/>
    <n v="3"/>
    <s v="Marketing"/>
    <n v="600"/>
    <n v="2"/>
    <s v="Male"/>
    <n v="85"/>
    <n v="3"/>
    <n v="2"/>
    <s v="Sales Executive"/>
    <n v="3"/>
    <s v="Married"/>
    <n v="4717"/>
    <n v="18659"/>
    <n v="9"/>
    <s v="No"/>
    <n v="11"/>
    <n v="3"/>
    <n v="3"/>
    <n v="0"/>
    <n v="15"/>
    <n v="2"/>
    <n v="3"/>
    <n v="11"/>
    <n v="9"/>
    <n v="6"/>
    <n v="9"/>
    <x v="0"/>
  </r>
  <r>
    <n v="40"/>
    <x v="1"/>
    <s v="Travel_Rarely"/>
    <n v="302"/>
    <s v="Research &amp; Development"/>
    <n v="6"/>
    <n v="3"/>
    <s v="Life Sciences"/>
    <n v="601"/>
    <n v="2"/>
    <s v="Female"/>
    <n v="75"/>
    <n v="3"/>
    <n v="4"/>
    <s v="Manufacturing Director"/>
    <n v="3"/>
    <s v="Single"/>
    <n v="13237"/>
    <n v="20364"/>
    <n v="7"/>
    <s v="No"/>
    <n v="15"/>
    <n v="3"/>
    <n v="3"/>
    <n v="0"/>
    <n v="22"/>
    <n v="3"/>
    <n v="3"/>
    <n v="20"/>
    <n v="6"/>
    <n v="5"/>
    <n v="13"/>
    <x v="0"/>
  </r>
  <r>
    <n v="39"/>
    <x v="1"/>
    <s v="Travel_Frequently"/>
    <n v="443"/>
    <s v="Research &amp; Development"/>
    <n v="8"/>
    <n v="1"/>
    <s v="Life Sciences"/>
    <n v="602"/>
    <n v="3"/>
    <s v="Female"/>
    <n v="48"/>
    <n v="3"/>
    <n v="1"/>
    <s v="Laboratory Technician"/>
    <n v="3"/>
    <s v="Married"/>
    <n v="3755"/>
    <n v="17872"/>
    <n v="1"/>
    <s v="No"/>
    <n v="11"/>
    <n v="3"/>
    <n v="1"/>
    <n v="1"/>
    <n v="8"/>
    <n v="3"/>
    <n v="3"/>
    <n v="8"/>
    <n v="3"/>
    <n v="0"/>
    <n v="7"/>
    <x v="0"/>
  </r>
  <r>
    <n v="31"/>
    <x v="1"/>
    <s v="Travel_Rarely"/>
    <n v="828"/>
    <s v="Sales"/>
    <n v="2"/>
    <n v="1"/>
    <s v="Life Sciences"/>
    <n v="604"/>
    <n v="2"/>
    <s v="Male"/>
    <n v="77"/>
    <n v="3"/>
    <n v="2"/>
    <s v="Sales Executive"/>
    <n v="4"/>
    <s v="Single"/>
    <n v="6582"/>
    <n v="8346"/>
    <n v="4"/>
    <s v="Yes"/>
    <n v="13"/>
    <n v="3"/>
    <n v="3"/>
    <n v="0"/>
    <n v="10"/>
    <n v="2"/>
    <n v="4"/>
    <n v="6"/>
    <n v="5"/>
    <n v="0"/>
    <n v="5"/>
    <x v="2"/>
  </r>
  <r>
    <n v="42"/>
    <x v="1"/>
    <s v="Travel_Rarely"/>
    <n v="319"/>
    <s v="Research &amp; Development"/>
    <n v="24"/>
    <n v="3"/>
    <s v="Medical"/>
    <n v="605"/>
    <n v="4"/>
    <s v="Male"/>
    <n v="56"/>
    <n v="3"/>
    <n v="3"/>
    <s v="Manufacturing Director"/>
    <n v="1"/>
    <s v="Married"/>
    <n v="7406"/>
    <n v="6950"/>
    <n v="1"/>
    <s v="Yes"/>
    <n v="21"/>
    <n v="4"/>
    <n v="4"/>
    <n v="1"/>
    <n v="10"/>
    <n v="5"/>
    <n v="2"/>
    <n v="10"/>
    <n v="9"/>
    <n v="5"/>
    <n v="8"/>
    <x v="0"/>
  </r>
  <r>
    <n v="45"/>
    <x v="1"/>
    <s v="Travel_Rarely"/>
    <n v="561"/>
    <s v="Sales"/>
    <n v="2"/>
    <n v="3"/>
    <s v="Other"/>
    <n v="606"/>
    <n v="4"/>
    <s v="Male"/>
    <n v="61"/>
    <n v="3"/>
    <n v="2"/>
    <s v="Sales Executive"/>
    <n v="2"/>
    <s v="Married"/>
    <n v="4805"/>
    <n v="16177"/>
    <n v="0"/>
    <s v="No"/>
    <n v="19"/>
    <n v="3"/>
    <n v="2"/>
    <n v="1"/>
    <n v="9"/>
    <n v="3"/>
    <n v="4"/>
    <n v="8"/>
    <n v="7"/>
    <n v="3"/>
    <n v="7"/>
    <x v="1"/>
  </r>
  <r>
    <n v="26"/>
    <x v="0"/>
    <s v="Travel_Frequently"/>
    <n v="426"/>
    <s v="Human Resources"/>
    <n v="17"/>
    <n v="4"/>
    <s v="Life Sciences"/>
    <n v="608"/>
    <n v="2"/>
    <s v="Female"/>
    <n v="58"/>
    <n v="3"/>
    <n v="1"/>
    <s v="Human Resources"/>
    <n v="3"/>
    <s v="Divorced"/>
    <n v="2741"/>
    <n v="22808"/>
    <n v="0"/>
    <s v="Yes"/>
    <n v="11"/>
    <n v="3"/>
    <n v="2"/>
    <n v="1"/>
    <n v="8"/>
    <n v="2"/>
    <n v="2"/>
    <n v="7"/>
    <n v="7"/>
    <n v="1"/>
    <n v="0"/>
    <x v="2"/>
  </r>
  <r>
    <n v="29"/>
    <x v="1"/>
    <s v="Travel_Rarely"/>
    <n v="232"/>
    <s v="Research &amp; Development"/>
    <n v="19"/>
    <n v="3"/>
    <s v="Technical Degree"/>
    <n v="611"/>
    <n v="4"/>
    <s v="Male"/>
    <n v="34"/>
    <n v="3"/>
    <n v="2"/>
    <s v="Manufacturing Director"/>
    <n v="4"/>
    <s v="Divorced"/>
    <n v="4262"/>
    <n v="22645"/>
    <n v="4"/>
    <s v="No"/>
    <n v="12"/>
    <n v="3"/>
    <n v="2"/>
    <n v="2"/>
    <n v="8"/>
    <n v="2"/>
    <n v="4"/>
    <n v="3"/>
    <n v="2"/>
    <n v="1"/>
    <n v="2"/>
    <x v="2"/>
  </r>
  <r>
    <n v="33"/>
    <x v="1"/>
    <s v="Travel_Rarely"/>
    <n v="922"/>
    <s v="Research &amp; Development"/>
    <n v="1"/>
    <n v="5"/>
    <s v="Medical"/>
    <n v="612"/>
    <n v="1"/>
    <s v="Female"/>
    <n v="95"/>
    <n v="4"/>
    <n v="4"/>
    <s v="Research Director"/>
    <n v="3"/>
    <s v="Divorced"/>
    <n v="16184"/>
    <n v="22578"/>
    <n v="4"/>
    <s v="No"/>
    <n v="19"/>
    <n v="3"/>
    <n v="3"/>
    <n v="1"/>
    <n v="10"/>
    <n v="2"/>
    <n v="3"/>
    <n v="6"/>
    <n v="1"/>
    <n v="0"/>
    <n v="5"/>
    <x v="2"/>
  </r>
  <r>
    <n v="31"/>
    <x v="1"/>
    <s v="Travel_Rarely"/>
    <n v="688"/>
    <s v="Sales"/>
    <n v="7"/>
    <n v="3"/>
    <s v="Life Sciences"/>
    <n v="613"/>
    <n v="3"/>
    <s v="Male"/>
    <n v="44"/>
    <n v="2"/>
    <n v="3"/>
    <s v="Manager"/>
    <n v="4"/>
    <s v="Divorced"/>
    <n v="11557"/>
    <n v="25291"/>
    <n v="9"/>
    <s v="No"/>
    <n v="21"/>
    <n v="4"/>
    <n v="3"/>
    <n v="1"/>
    <n v="10"/>
    <n v="3"/>
    <n v="2"/>
    <n v="5"/>
    <n v="4"/>
    <n v="0"/>
    <n v="1"/>
    <x v="2"/>
  </r>
  <r>
    <n v="18"/>
    <x v="0"/>
    <s v="Travel_Frequently"/>
    <n v="1306"/>
    <s v="Sales"/>
    <n v="5"/>
    <n v="3"/>
    <s v="Marketing"/>
    <n v="614"/>
    <n v="2"/>
    <s v="Male"/>
    <n v="69"/>
    <n v="3"/>
    <n v="1"/>
    <s v="Sales Representative"/>
    <n v="2"/>
    <s v="Single"/>
    <n v="1878"/>
    <n v="8059"/>
    <n v="1"/>
    <s v="Yes"/>
    <n v="14"/>
    <n v="3"/>
    <n v="4"/>
    <n v="0"/>
    <n v="0"/>
    <n v="3"/>
    <n v="3"/>
    <n v="0"/>
    <n v="0"/>
    <n v="0"/>
    <n v="0"/>
    <x v="2"/>
  </r>
  <r>
    <n v="40"/>
    <x v="1"/>
    <s v="Non-Travel"/>
    <n v="1094"/>
    <s v="Sales"/>
    <n v="28"/>
    <n v="3"/>
    <s v="Other"/>
    <n v="615"/>
    <n v="3"/>
    <s v="Male"/>
    <n v="58"/>
    <n v="1"/>
    <n v="3"/>
    <s v="Sales Executive"/>
    <n v="1"/>
    <s v="Divorced"/>
    <n v="10932"/>
    <n v="11373"/>
    <n v="3"/>
    <s v="No"/>
    <n v="15"/>
    <n v="3"/>
    <n v="3"/>
    <n v="1"/>
    <n v="20"/>
    <n v="2"/>
    <n v="3"/>
    <n v="1"/>
    <n v="0"/>
    <n v="0"/>
    <n v="1"/>
    <x v="0"/>
  </r>
  <r>
    <n v="41"/>
    <x v="1"/>
    <s v="Non-Travel"/>
    <n v="509"/>
    <s v="Research &amp; Development"/>
    <n v="2"/>
    <n v="4"/>
    <s v="Other"/>
    <n v="616"/>
    <n v="1"/>
    <s v="Female"/>
    <n v="62"/>
    <n v="2"/>
    <n v="2"/>
    <s v="Healthcare Representative"/>
    <n v="3"/>
    <s v="Single"/>
    <n v="6811"/>
    <n v="2112"/>
    <n v="2"/>
    <s v="Yes"/>
    <n v="17"/>
    <n v="3"/>
    <n v="1"/>
    <n v="0"/>
    <n v="10"/>
    <n v="3"/>
    <n v="3"/>
    <n v="8"/>
    <n v="7"/>
    <n v="0"/>
    <n v="7"/>
    <x v="0"/>
  </r>
  <r>
    <n v="26"/>
    <x v="1"/>
    <s v="Travel_Rarely"/>
    <n v="775"/>
    <s v="Sales"/>
    <n v="29"/>
    <n v="2"/>
    <s v="Medical"/>
    <n v="618"/>
    <n v="1"/>
    <s v="Male"/>
    <n v="45"/>
    <n v="3"/>
    <n v="2"/>
    <s v="Sales Executive"/>
    <n v="3"/>
    <s v="Divorced"/>
    <n v="4306"/>
    <n v="4267"/>
    <n v="5"/>
    <s v="No"/>
    <n v="12"/>
    <n v="3"/>
    <n v="1"/>
    <n v="2"/>
    <n v="8"/>
    <n v="5"/>
    <n v="3"/>
    <n v="0"/>
    <n v="0"/>
    <n v="0"/>
    <n v="0"/>
    <x v="2"/>
  </r>
  <r>
    <n v="35"/>
    <x v="1"/>
    <s v="Travel_Rarely"/>
    <n v="195"/>
    <s v="Sales"/>
    <n v="1"/>
    <n v="3"/>
    <s v="Medical"/>
    <n v="620"/>
    <n v="1"/>
    <s v="Female"/>
    <n v="80"/>
    <n v="3"/>
    <n v="2"/>
    <s v="Sales Executive"/>
    <n v="3"/>
    <s v="Single"/>
    <n v="4859"/>
    <n v="6698"/>
    <n v="1"/>
    <s v="No"/>
    <n v="16"/>
    <n v="3"/>
    <n v="4"/>
    <n v="0"/>
    <n v="5"/>
    <n v="3"/>
    <n v="3"/>
    <n v="5"/>
    <n v="4"/>
    <n v="0"/>
    <n v="3"/>
    <x v="0"/>
  </r>
  <r>
    <n v="34"/>
    <x v="1"/>
    <s v="Travel_Rarely"/>
    <n v="258"/>
    <s v="Sales"/>
    <n v="21"/>
    <n v="4"/>
    <s v="Life Sciences"/>
    <n v="621"/>
    <n v="4"/>
    <s v="Male"/>
    <n v="74"/>
    <n v="4"/>
    <n v="2"/>
    <s v="Sales Executive"/>
    <n v="4"/>
    <s v="Single"/>
    <n v="5337"/>
    <n v="19921"/>
    <n v="1"/>
    <s v="No"/>
    <n v="12"/>
    <n v="3"/>
    <n v="4"/>
    <n v="0"/>
    <n v="10"/>
    <n v="3"/>
    <n v="3"/>
    <n v="10"/>
    <n v="7"/>
    <n v="5"/>
    <n v="7"/>
    <x v="2"/>
  </r>
  <r>
    <n v="26"/>
    <x v="0"/>
    <s v="Travel_Rarely"/>
    <n v="471"/>
    <s v="Research &amp; Development"/>
    <n v="24"/>
    <n v="3"/>
    <s v="Technical Degree"/>
    <n v="622"/>
    <n v="3"/>
    <s v="Male"/>
    <n v="66"/>
    <n v="1"/>
    <n v="1"/>
    <s v="Laboratory Technician"/>
    <n v="4"/>
    <s v="Single"/>
    <n v="2340"/>
    <n v="23213"/>
    <n v="1"/>
    <s v="Yes"/>
    <n v="18"/>
    <n v="3"/>
    <n v="2"/>
    <n v="0"/>
    <n v="1"/>
    <n v="3"/>
    <n v="1"/>
    <n v="1"/>
    <n v="0"/>
    <n v="0"/>
    <n v="0"/>
    <x v="2"/>
  </r>
  <r>
    <n v="37"/>
    <x v="1"/>
    <s v="Travel_Rarely"/>
    <n v="799"/>
    <s v="Research &amp; Development"/>
    <n v="1"/>
    <n v="3"/>
    <s v="Technical Degree"/>
    <n v="623"/>
    <n v="2"/>
    <s v="Female"/>
    <n v="59"/>
    <n v="3"/>
    <n v="3"/>
    <s v="Manufacturing Director"/>
    <n v="4"/>
    <s v="Single"/>
    <n v="7491"/>
    <n v="23848"/>
    <n v="4"/>
    <s v="No"/>
    <n v="17"/>
    <n v="3"/>
    <n v="4"/>
    <n v="0"/>
    <n v="12"/>
    <n v="3"/>
    <n v="4"/>
    <n v="6"/>
    <n v="5"/>
    <n v="1"/>
    <n v="2"/>
    <x v="0"/>
  </r>
  <r>
    <n v="46"/>
    <x v="1"/>
    <s v="Travel_Frequently"/>
    <n v="1034"/>
    <s v="Research &amp; Development"/>
    <n v="18"/>
    <n v="1"/>
    <s v="Medical"/>
    <n v="624"/>
    <n v="1"/>
    <s v="Female"/>
    <n v="86"/>
    <n v="3"/>
    <n v="3"/>
    <s v="Healthcare Representative"/>
    <n v="3"/>
    <s v="Married"/>
    <n v="10527"/>
    <n v="8984"/>
    <n v="5"/>
    <s v="No"/>
    <n v="11"/>
    <n v="3"/>
    <n v="4"/>
    <n v="0"/>
    <n v="28"/>
    <n v="3"/>
    <n v="2"/>
    <n v="2"/>
    <n v="2"/>
    <n v="1"/>
    <n v="2"/>
    <x v="1"/>
  </r>
  <r>
    <n v="41"/>
    <x v="1"/>
    <s v="Travel_Rarely"/>
    <n v="1276"/>
    <s v="Sales"/>
    <n v="2"/>
    <n v="5"/>
    <s v="Life Sciences"/>
    <n v="625"/>
    <n v="2"/>
    <s v="Female"/>
    <n v="91"/>
    <n v="3"/>
    <n v="4"/>
    <s v="Manager"/>
    <n v="1"/>
    <s v="Married"/>
    <n v="16595"/>
    <n v="5626"/>
    <n v="7"/>
    <s v="No"/>
    <n v="16"/>
    <n v="3"/>
    <n v="2"/>
    <n v="1"/>
    <n v="22"/>
    <n v="2"/>
    <n v="3"/>
    <n v="18"/>
    <n v="16"/>
    <n v="11"/>
    <n v="8"/>
    <x v="0"/>
  </r>
  <r>
    <n v="37"/>
    <x v="1"/>
    <s v="Non-Travel"/>
    <n v="142"/>
    <s v="Sales"/>
    <n v="9"/>
    <n v="4"/>
    <s v="Medical"/>
    <n v="626"/>
    <n v="1"/>
    <s v="Male"/>
    <n v="69"/>
    <n v="3"/>
    <n v="3"/>
    <s v="Sales Executive"/>
    <n v="2"/>
    <s v="Divorced"/>
    <n v="8834"/>
    <n v="24666"/>
    <n v="1"/>
    <s v="No"/>
    <n v="13"/>
    <n v="3"/>
    <n v="4"/>
    <n v="1"/>
    <n v="9"/>
    <n v="6"/>
    <n v="3"/>
    <n v="9"/>
    <n v="5"/>
    <n v="7"/>
    <n v="7"/>
    <x v="0"/>
  </r>
  <r>
    <n v="52"/>
    <x v="1"/>
    <s v="Travel_Rarely"/>
    <n v="956"/>
    <s v="Research &amp; Development"/>
    <n v="6"/>
    <n v="2"/>
    <s v="Technical Degree"/>
    <n v="630"/>
    <n v="4"/>
    <s v="Male"/>
    <n v="78"/>
    <n v="3"/>
    <n v="2"/>
    <s v="Research Scientist"/>
    <n v="1"/>
    <s v="Divorced"/>
    <n v="5577"/>
    <n v="22087"/>
    <n v="3"/>
    <s v="Yes"/>
    <n v="12"/>
    <n v="3"/>
    <n v="2"/>
    <n v="2"/>
    <n v="18"/>
    <n v="3"/>
    <n v="3"/>
    <n v="10"/>
    <n v="9"/>
    <n v="6"/>
    <n v="9"/>
    <x v="1"/>
  </r>
  <r>
    <n v="32"/>
    <x v="0"/>
    <s v="Non-Travel"/>
    <n v="1474"/>
    <s v="Sales"/>
    <n v="11"/>
    <n v="4"/>
    <s v="Other"/>
    <n v="631"/>
    <n v="4"/>
    <s v="Male"/>
    <n v="60"/>
    <n v="4"/>
    <n v="2"/>
    <s v="Sales Executive"/>
    <n v="3"/>
    <s v="Married"/>
    <n v="4707"/>
    <n v="23914"/>
    <n v="8"/>
    <s v="No"/>
    <n v="12"/>
    <n v="3"/>
    <n v="4"/>
    <n v="0"/>
    <n v="6"/>
    <n v="2"/>
    <n v="3"/>
    <n v="4"/>
    <n v="2"/>
    <n v="1"/>
    <n v="2"/>
    <x v="2"/>
  </r>
  <r>
    <n v="24"/>
    <x v="1"/>
    <s v="Travel_Frequently"/>
    <n v="535"/>
    <s v="Sales"/>
    <n v="24"/>
    <n v="3"/>
    <s v="Medical"/>
    <n v="632"/>
    <n v="4"/>
    <s v="Male"/>
    <n v="38"/>
    <n v="3"/>
    <n v="1"/>
    <s v="Sales Representative"/>
    <n v="4"/>
    <s v="Married"/>
    <n v="2400"/>
    <n v="5530"/>
    <n v="0"/>
    <s v="No"/>
    <n v="13"/>
    <n v="3"/>
    <n v="3"/>
    <n v="2"/>
    <n v="3"/>
    <n v="3"/>
    <n v="3"/>
    <n v="2"/>
    <n v="2"/>
    <n v="2"/>
    <n v="1"/>
    <x v="2"/>
  </r>
  <r>
    <n v="38"/>
    <x v="1"/>
    <s v="Travel_Rarely"/>
    <n v="1495"/>
    <s v="Research &amp; Development"/>
    <n v="10"/>
    <n v="3"/>
    <s v="Medical"/>
    <n v="634"/>
    <n v="3"/>
    <s v="Female"/>
    <n v="76"/>
    <n v="3"/>
    <n v="2"/>
    <s v="Healthcare Representative"/>
    <n v="3"/>
    <s v="Married"/>
    <n v="9824"/>
    <n v="22174"/>
    <n v="3"/>
    <s v="No"/>
    <n v="19"/>
    <n v="3"/>
    <n v="3"/>
    <n v="1"/>
    <n v="18"/>
    <n v="4"/>
    <n v="3"/>
    <n v="1"/>
    <n v="0"/>
    <n v="0"/>
    <n v="0"/>
    <x v="0"/>
  </r>
  <r>
    <n v="37"/>
    <x v="1"/>
    <s v="Travel_Rarely"/>
    <n v="446"/>
    <s v="Research &amp; Development"/>
    <n v="1"/>
    <n v="4"/>
    <s v="Life Sciences"/>
    <n v="635"/>
    <n v="2"/>
    <s v="Female"/>
    <n v="65"/>
    <n v="3"/>
    <n v="2"/>
    <s v="Manufacturing Director"/>
    <n v="2"/>
    <s v="Married"/>
    <n v="6447"/>
    <n v="15701"/>
    <n v="6"/>
    <s v="No"/>
    <n v="12"/>
    <n v="3"/>
    <n v="2"/>
    <n v="1"/>
    <n v="8"/>
    <n v="2"/>
    <n v="2"/>
    <n v="6"/>
    <n v="5"/>
    <n v="4"/>
    <n v="3"/>
    <x v="0"/>
  </r>
  <r>
    <n v="49"/>
    <x v="1"/>
    <s v="Travel_Rarely"/>
    <n v="1245"/>
    <s v="Research &amp; Development"/>
    <n v="18"/>
    <n v="4"/>
    <s v="Life Sciences"/>
    <n v="638"/>
    <n v="4"/>
    <s v="Male"/>
    <n v="58"/>
    <n v="2"/>
    <n v="5"/>
    <s v="Research Director"/>
    <n v="3"/>
    <s v="Divorced"/>
    <n v="19502"/>
    <n v="2125"/>
    <n v="1"/>
    <s v="Yes"/>
    <n v="17"/>
    <n v="3"/>
    <n v="3"/>
    <n v="1"/>
    <n v="31"/>
    <n v="5"/>
    <n v="3"/>
    <n v="31"/>
    <n v="9"/>
    <n v="0"/>
    <n v="9"/>
    <x v="1"/>
  </r>
  <r>
    <n v="24"/>
    <x v="1"/>
    <s v="Travel_Rarely"/>
    <n v="691"/>
    <s v="Research &amp; Development"/>
    <n v="23"/>
    <n v="3"/>
    <s v="Medical"/>
    <n v="639"/>
    <n v="2"/>
    <s v="Male"/>
    <n v="89"/>
    <n v="4"/>
    <n v="1"/>
    <s v="Research Scientist"/>
    <n v="4"/>
    <s v="Married"/>
    <n v="2725"/>
    <n v="21630"/>
    <n v="1"/>
    <s v="Yes"/>
    <n v="11"/>
    <n v="3"/>
    <n v="2"/>
    <n v="2"/>
    <n v="6"/>
    <n v="3"/>
    <n v="3"/>
    <n v="6"/>
    <n v="5"/>
    <n v="1"/>
    <n v="4"/>
    <x v="2"/>
  </r>
  <r>
    <n v="26"/>
    <x v="1"/>
    <s v="Travel_Rarely"/>
    <n v="703"/>
    <s v="Sales"/>
    <n v="28"/>
    <n v="2"/>
    <s v="Marketing"/>
    <n v="641"/>
    <n v="1"/>
    <s v="Male"/>
    <n v="66"/>
    <n v="3"/>
    <n v="2"/>
    <s v="Sales Executive"/>
    <n v="2"/>
    <s v="Married"/>
    <n v="6272"/>
    <n v="7428"/>
    <n v="1"/>
    <s v="No"/>
    <n v="20"/>
    <n v="4"/>
    <n v="4"/>
    <n v="2"/>
    <n v="6"/>
    <n v="5"/>
    <n v="4"/>
    <n v="5"/>
    <n v="3"/>
    <n v="1"/>
    <n v="4"/>
    <x v="2"/>
  </r>
  <r>
    <n v="24"/>
    <x v="1"/>
    <s v="Travel_Rarely"/>
    <n v="823"/>
    <s v="Research &amp; Development"/>
    <n v="17"/>
    <n v="2"/>
    <s v="Other"/>
    <n v="643"/>
    <n v="4"/>
    <s v="Male"/>
    <n v="94"/>
    <n v="2"/>
    <n v="1"/>
    <s v="Laboratory Technician"/>
    <n v="2"/>
    <s v="Married"/>
    <n v="2127"/>
    <n v="9100"/>
    <n v="1"/>
    <s v="No"/>
    <n v="21"/>
    <n v="4"/>
    <n v="4"/>
    <n v="1"/>
    <n v="1"/>
    <n v="2"/>
    <n v="3"/>
    <n v="1"/>
    <n v="0"/>
    <n v="0"/>
    <n v="0"/>
    <x v="2"/>
  </r>
  <r>
    <n v="50"/>
    <x v="1"/>
    <s v="Travel_Frequently"/>
    <n v="1246"/>
    <s v="Human Resources"/>
    <n v="3"/>
    <n v="3"/>
    <s v="Medical"/>
    <n v="644"/>
    <n v="1"/>
    <s v="Male"/>
    <n v="99"/>
    <n v="3"/>
    <n v="5"/>
    <s v="Manager"/>
    <n v="2"/>
    <s v="Married"/>
    <n v="18200"/>
    <n v="7999"/>
    <n v="1"/>
    <s v="No"/>
    <n v="11"/>
    <n v="3"/>
    <n v="3"/>
    <n v="1"/>
    <n v="32"/>
    <n v="2"/>
    <n v="3"/>
    <n v="32"/>
    <n v="5"/>
    <n v="10"/>
    <n v="7"/>
    <x v="1"/>
  </r>
  <r>
    <n v="25"/>
    <x v="1"/>
    <s v="Travel_Rarely"/>
    <n v="622"/>
    <s v="Sales"/>
    <n v="13"/>
    <n v="1"/>
    <s v="Medical"/>
    <n v="645"/>
    <n v="2"/>
    <s v="Male"/>
    <n v="40"/>
    <n v="3"/>
    <n v="1"/>
    <s v="Sales Representative"/>
    <n v="3"/>
    <s v="Married"/>
    <n v="2096"/>
    <n v="26376"/>
    <n v="1"/>
    <s v="No"/>
    <n v="11"/>
    <n v="3"/>
    <n v="3"/>
    <n v="0"/>
    <n v="7"/>
    <n v="1"/>
    <n v="3"/>
    <n v="7"/>
    <n v="4"/>
    <n v="0"/>
    <n v="6"/>
    <x v="2"/>
  </r>
  <r>
    <n v="24"/>
    <x v="0"/>
    <s v="Travel_Frequently"/>
    <n v="1287"/>
    <s v="Research &amp; Development"/>
    <n v="7"/>
    <n v="3"/>
    <s v="Life Sciences"/>
    <n v="647"/>
    <n v="1"/>
    <s v="Female"/>
    <n v="55"/>
    <n v="3"/>
    <n v="1"/>
    <s v="Laboratory Technician"/>
    <n v="3"/>
    <s v="Married"/>
    <n v="2886"/>
    <n v="14168"/>
    <n v="1"/>
    <s v="Yes"/>
    <n v="16"/>
    <n v="3"/>
    <n v="4"/>
    <n v="1"/>
    <n v="6"/>
    <n v="4"/>
    <n v="3"/>
    <n v="6"/>
    <n v="3"/>
    <n v="1"/>
    <n v="2"/>
    <x v="2"/>
  </r>
  <r>
    <n v="30"/>
    <x v="0"/>
    <s v="Travel_Frequently"/>
    <n v="448"/>
    <s v="Sales"/>
    <n v="12"/>
    <n v="4"/>
    <s v="Life Sciences"/>
    <n v="648"/>
    <n v="2"/>
    <s v="Male"/>
    <n v="74"/>
    <n v="2"/>
    <n v="1"/>
    <s v="Sales Representative"/>
    <n v="1"/>
    <s v="Married"/>
    <n v="2033"/>
    <n v="14470"/>
    <n v="1"/>
    <s v="No"/>
    <n v="18"/>
    <n v="3"/>
    <n v="3"/>
    <n v="1"/>
    <n v="1"/>
    <n v="2"/>
    <n v="4"/>
    <n v="1"/>
    <n v="0"/>
    <n v="0"/>
    <n v="0"/>
    <x v="2"/>
  </r>
  <r>
    <n v="34"/>
    <x v="1"/>
    <s v="Travel_Rarely"/>
    <n v="254"/>
    <s v="Research &amp; Development"/>
    <n v="1"/>
    <n v="2"/>
    <s v="Life Sciences"/>
    <n v="649"/>
    <n v="2"/>
    <s v="Male"/>
    <n v="83"/>
    <n v="2"/>
    <n v="1"/>
    <s v="Research Scientist"/>
    <n v="4"/>
    <s v="Married"/>
    <n v="3622"/>
    <n v="22794"/>
    <n v="1"/>
    <s v="Yes"/>
    <n v="13"/>
    <n v="3"/>
    <n v="4"/>
    <n v="1"/>
    <n v="6"/>
    <n v="3"/>
    <n v="3"/>
    <n v="6"/>
    <n v="5"/>
    <n v="1"/>
    <n v="3"/>
    <x v="2"/>
  </r>
  <r>
    <n v="31"/>
    <x v="0"/>
    <s v="Travel_Rarely"/>
    <n v="1365"/>
    <s v="Sales"/>
    <n v="13"/>
    <n v="4"/>
    <s v="Medical"/>
    <n v="650"/>
    <n v="2"/>
    <s v="Male"/>
    <n v="46"/>
    <n v="3"/>
    <n v="2"/>
    <s v="Sales Executive"/>
    <n v="1"/>
    <s v="Divorced"/>
    <n v="4233"/>
    <n v="11512"/>
    <n v="2"/>
    <s v="No"/>
    <n v="17"/>
    <n v="3"/>
    <n v="3"/>
    <n v="0"/>
    <n v="9"/>
    <n v="2"/>
    <n v="1"/>
    <n v="3"/>
    <n v="1"/>
    <n v="1"/>
    <n v="2"/>
    <x v="2"/>
  </r>
  <r>
    <n v="35"/>
    <x v="1"/>
    <s v="Travel_Rarely"/>
    <n v="538"/>
    <s v="Research &amp; Development"/>
    <n v="25"/>
    <n v="2"/>
    <s v="Other"/>
    <n v="652"/>
    <n v="1"/>
    <s v="Male"/>
    <n v="54"/>
    <n v="2"/>
    <n v="2"/>
    <s v="Laboratory Technician"/>
    <n v="4"/>
    <s v="Single"/>
    <n v="3681"/>
    <n v="14004"/>
    <n v="4"/>
    <s v="No"/>
    <n v="14"/>
    <n v="3"/>
    <n v="4"/>
    <n v="0"/>
    <n v="9"/>
    <n v="3"/>
    <n v="3"/>
    <n v="3"/>
    <n v="2"/>
    <n v="0"/>
    <n v="2"/>
    <x v="0"/>
  </r>
  <r>
    <n v="31"/>
    <x v="1"/>
    <s v="Travel_Rarely"/>
    <n v="525"/>
    <s v="Sales"/>
    <n v="6"/>
    <n v="4"/>
    <s v="Medical"/>
    <n v="653"/>
    <n v="1"/>
    <s v="Male"/>
    <n v="66"/>
    <n v="4"/>
    <n v="2"/>
    <s v="Sales Executive"/>
    <n v="4"/>
    <s v="Divorced"/>
    <n v="5460"/>
    <n v="6219"/>
    <n v="4"/>
    <s v="No"/>
    <n v="22"/>
    <n v="4"/>
    <n v="4"/>
    <n v="2"/>
    <n v="13"/>
    <n v="4"/>
    <n v="4"/>
    <n v="7"/>
    <n v="7"/>
    <n v="5"/>
    <n v="7"/>
    <x v="2"/>
  </r>
  <r>
    <n v="27"/>
    <x v="1"/>
    <s v="Travel_Rarely"/>
    <n v="798"/>
    <s v="Research &amp; Development"/>
    <n v="6"/>
    <n v="4"/>
    <s v="Medical"/>
    <n v="655"/>
    <n v="1"/>
    <s v="Female"/>
    <n v="66"/>
    <n v="2"/>
    <n v="1"/>
    <s v="Research Scientist"/>
    <n v="3"/>
    <s v="Divorced"/>
    <n v="2187"/>
    <n v="5013"/>
    <n v="0"/>
    <s v="No"/>
    <n v="12"/>
    <n v="3"/>
    <n v="3"/>
    <n v="2"/>
    <n v="6"/>
    <n v="5"/>
    <n v="2"/>
    <n v="5"/>
    <n v="3"/>
    <n v="0"/>
    <n v="3"/>
    <x v="2"/>
  </r>
  <r>
    <n v="37"/>
    <x v="1"/>
    <s v="Travel_Rarely"/>
    <n v="558"/>
    <s v="Sales"/>
    <n v="2"/>
    <n v="3"/>
    <s v="Marketing"/>
    <n v="656"/>
    <n v="4"/>
    <s v="Male"/>
    <n v="75"/>
    <n v="3"/>
    <n v="2"/>
    <s v="Sales Executive"/>
    <n v="3"/>
    <s v="Married"/>
    <n v="9602"/>
    <n v="3010"/>
    <n v="4"/>
    <s v="Yes"/>
    <n v="11"/>
    <n v="3"/>
    <n v="3"/>
    <n v="1"/>
    <n v="17"/>
    <n v="3"/>
    <n v="2"/>
    <n v="3"/>
    <n v="0"/>
    <n v="1"/>
    <n v="0"/>
    <x v="0"/>
  </r>
  <r>
    <n v="20"/>
    <x v="1"/>
    <s v="Travel_Rarely"/>
    <n v="959"/>
    <s v="Research &amp; Development"/>
    <n v="1"/>
    <n v="3"/>
    <s v="Life Sciences"/>
    <n v="657"/>
    <n v="4"/>
    <s v="Female"/>
    <n v="83"/>
    <n v="2"/>
    <n v="1"/>
    <s v="Research Scientist"/>
    <n v="2"/>
    <s v="Single"/>
    <n v="2836"/>
    <n v="11757"/>
    <n v="1"/>
    <s v="No"/>
    <n v="13"/>
    <n v="3"/>
    <n v="4"/>
    <n v="0"/>
    <n v="1"/>
    <n v="0"/>
    <n v="4"/>
    <n v="1"/>
    <n v="0"/>
    <n v="0"/>
    <n v="0"/>
    <x v="2"/>
  </r>
  <r>
    <n v="42"/>
    <x v="1"/>
    <s v="Travel_Rarely"/>
    <n v="622"/>
    <s v="Research &amp; Development"/>
    <n v="2"/>
    <n v="4"/>
    <s v="Life Sciences"/>
    <n v="659"/>
    <n v="3"/>
    <s v="Female"/>
    <n v="81"/>
    <n v="3"/>
    <n v="2"/>
    <s v="Healthcare Representative"/>
    <n v="4"/>
    <s v="Married"/>
    <n v="4089"/>
    <n v="5718"/>
    <n v="1"/>
    <s v="No"/>
    <n v="13"/>
    <n v="3"/>
    <n v="2"/>
    <n v="2"/>
    <n v="10"/>
    <n v="4"/>
    <n v="3"/>
    <n v="10"/>
    <n v="2"/>
    <n v="2"/>
    <n v="2"/>
    <x v="0"/>
  </r>
  <r>
    <n v="43"/>
    <x v="1"/>
    <s v="Travel_Rarely"/>
    <n v="782"/>
    <s v="Research &amp; Development"/>
    <n v="6"/>
    <n v="4"/>
    <s v="Other"/>
    <n v="661"/>
    <n v="2"/>
    <s v="Male"/>
    <n v="50"/>
    <n v="2"/>
    <n v="4"/>
    <s v="Research Director"/>
    <n v="4"/>
    <s v="Divorced"/>
    <n v="16627"/>
    <n v="2671"/>
    <n v="4"/>
    <s v="Yes"/>
    <n v="14"/>
    <n v="3"/>
    <n v="3"/>
    <n v="1"/>
    <n v="21"/>
    <n v="3"/>
    <n v="2"/>
    <n v="1"/>
    <n v="0"/>
    <n v="0"/>
    <n v="0"/>
    <x v="0"/>
  </r>
  <r>
    <n v="38"/>
    <x v="1"/>
    <s v="Travel_Rarely"/>
    <n v="362"/>
    <s v="Research &amp; Development"/>
    <n v="1"/>
    <n v="1"/>
    <s v="Life Sciences"/>
    <n v="662"/>
    <n v="3"/>
    <s v="Female"/>
    <n v="43"/>
    <n v="3"/>
    <n v="1"/>
    <s v="Research Scientist"/>
    <n v="1"/>
    <s v="Single"/>
    <n v="2619"/>
    <n v="14561"/>
    <n v="3"/>
    <s v="No"/>
    <n v="17"/>
    <n v="3"/>
    <n v="4"/>
    <n v="0"/>
    <n v="8"/>
    <n v="3"/>
    <n v="2"/>
    <n v="0"/>
    <n v="0"/>
    <n v="0"/>
    <n v="0"/>
    <x v="0"/>
  </r>
  <r>
    <n v="43"/>
    <x v="1"/>
    <s v="Travel_Frequently"/>
    <n v="1001"/>
    <s v="Research &amp; Development"/>
    <n v="9"/>
    <n v="5"/>
    <s v="Medical"/>
    <n v="663"/>
    <n v="4"/>
    <s v="Male"/>
    <n v="72"/>
    <n v="3"/>
    <n v="2"/>
    <s v="Laboratory Technician"/>
    <n v="3"/>
    <s v="Divorced"/>
    <n v="5679"/>
    <n v="19627"/>
    <n v="3"/>
    <s v="Yes"/>
    <n v="13"/>
    <n v="3"/>
    <n v="2"/>
    <n v="1"/>
    <n v="10"/>
    <n v="3"/>
    <n v="3"/>
    <n v="8"/>
    <n v="7"/>
    <n v="4"/>
    <n v="7"/>
    <x v="0"/>
  </r>
  <r>
    <n v="48"/>
    <x v="1"/>
    <s v="Travel_Rarely"/>
    <n v="1236"/>
    <s v="Research &amp; Development"/>
    <n v="1"/>
    <n v="4"/>
    <s v="Life Sciences"/>
    <n v="664"/>
    <n v="4"/>
    <s v="Female"/>
    <n v="40"/>
    <n v="2"/>
    <n v="4"/>
    <s v="Manager"/>
    <n v="1"/>
    <s v="Married"/>
    <n v="15402"/>
    <n v="17997"/>
    <n v="7"/>
    <s v="No"/>
    <n v="11"/>
    <n v="3"/>
    <n v="1"/>
    <n v="1"/>
    <n v="21"/>
    <n v="3"/>
    <n v="1"/>
    <n v="3"/>
    <n v="2"/>
    <n v="0"/>
    <n v="2"/>
    <x v="1"/>
  </r>
  <r>
    <n v="44"/>
    <x v="1"/>
    <s v="Travel_Rarely"/>
    <n v="1112"/>
    <s v="Human Resources"/>
    <n v="1"/>
    <n v="4"/>
    <s v="Life Sciences"/>
    <n v="665"/>
    <n v="1"/>
    <s v="Female"/>
    <n v="50"/>
    <n v="2"/>
    <n v="2"/>
    <s v="Human Resources"/>
    <n v="3"/>
    <s v="Single"/>
    <n v="5985"/>
    <n v="26894"/>
    <n v="4"/>
    <s v="No"/>
    <n v="11"/>
    <n v="3"/>
    <n v="2"/>
    <n v="0"/>
    <n v="10"/>
    <n v="1"/>
    <n v="4"/>
    <n v="2"/>
    <n v="2"/>
    <n v="0"/>
    <n v="2"/>
    <x v="0"/>
  </r>
  <r>
    <n v="34"/>
    <x v="1"/>
    <s v="Travel_Rarely"/>
    <n v="204"/>
    <s v="Sales"/>
    <n v="14"/>
    <n v="3"/>
    <s v="Technical Degree"/>
    <n v="666"/>
    <n v="3"/>
    <s v="Female"/>
    <n v="31"/>
    <n v="3"/>
    <n v="1"/>
    <s v="Sales Representative"/>
    <n v="3"/>
    <s v="Divorced"/>
    <n v="2579"/>
    <n v="2912"/>
    <n v="1"/>
    <s v="Yes"/>
    <n v="18"/>
    <n v="3"/>
    <n v="4"/>
    <n v="2"/>
    <n v="8"/>
    <n v="3"/>
    <n v="3"/>
    <n v="8"/>
    <n v="2"/>
    <n v="0"/>
    <n v="6"/>
    <x v="2"/>
  </r>
  <r>
    <n v="27"/>
    <x v="0"/>
    <s v="Travel_Rarely"/>
    <n v="1420"/>
    <s v="Sales"/>
    <n v="2"/>
    <n v="1"/>
    <s v="Marketing"/>
    <n v="667"/>
    <n v="3"/>
    <s v="Male"/>
    <n v="85"/>
    <n v="3"/>
    <n v="1"/>
    <s v="Sales Representative"/>
    <n v="1"/>
    <s v="Divorced"/>
    <n v="3041"/>
    <n v="16346"/>
    <n v="0"/>
    <s v="No"/>
    <n v="11"/>
    <n v="3"/>
    <n v="2"/>
    <n v="1"/>
    <n v="5"/>
    <n v="3"/>
    <n v="3"/>
    <n v="4"/>
    <n v="3"/>
    <n v="0"/>
    <n v="2"/>
    <x v="2"/>
  </r>
  <r>
    <n v="21"/>
    <x v="1"/>
    <s v="Travel_Rarely"/>
    <n v="1343"/>
    <s v="Sales"/>
    <n v="22"/>
    <n v="1"/>
    <s v="Technical Degree"/>
    <n v="669"/>
    <n v="3"/>
    <s v="Male"/>
    <n v="49"/>
    <n v="3"/>
    <n v="1"/>
    <s v="Sales Representative"/>
    <n v="3"/>
    <s v="Single"/>
    <n v="3447"/>
    <n v="24444"/>
    <n v="1"/>
    <s v="No"/>
    <n v="11"/>
    <n v="3"/>
    <n v="3"/>
    <n v="0"/>
    <n v="3"/>
    <n v="2"/>
    <n v="3"/>
    <n v="3"/>
    <n v="2"/>
    <n v="1"/>
    <n v="2"/>
    <x v="2"/>
  </r>
  <r>
    <n v="44"/>
    <x v="1"/>
    <s v="Travel_Rarely"/>
    <n v="1315"/>
    <s v="Research &amp; Development"/>
    <n v="3"/>
    <n v="4"/>
    <s v="Other"/>
    <n v="671"/>
    <n v="4"/>
    <s v="Male"/>
    <n v="35"/>
    <n v="3"/>
    <n v="5"/>
    <s v="Manager"/>
    <n v="4"/>
    <s v="Married"/>
    <n v="19513"/>
    <n v="9358"/>
    <n v="4"/>
    <s v="Yes"/>
    <n v="12"/>
    <n v="3"/>
    <n v="1"/>
    <n v="1"/>
    <n v="26"/>
    <n v="2"/>
    <n v="4"/>
    <n v="2"/>
    <n v="2"/>
    <n v="0"/>
    <n v="1"/>
    <x v="0"/>
  </r>
  <r>
    <n v="22"/>
    <x v="1"/>
    <s v="Travel_Rarely"/>
    <n v="604"/>
    <s v="Research &amp; Development"/>
    <n v="6"/>
    <n v="1"/>
    <s v="Medical"/>
    <n v="675"/>
    <n v="1"/>
    <s v="Male"/>
    <n v="69"/>
    <n v="3"/>
    <n v="1"/>
    <s v="Research Scientist"/>
    <n v="3"/>
    <s v="Married"/>
    <n v="2773"/>
    <n v="12145"/>
    <n v="0"/>
    <s v="No"/>
    <n v="20"/>
    <n v="4"/>
    <n v="4"/>
    <n v="0"/>
    <n v="3"/>
    <n v="3"/>
    <n v="3"/>
    <n v="2"/>
    <n v="2"/>
    <n v="2"/>
    <n v="2"/>
    <x v="2"/>
  </r>
  <r>
    <n v="33"/>
    <x v="1"/>
    <s v="Travel_Rarely"/>
    <n v="1216"/>
    <s v="Sales"/>
    <n v="8"/>
    <n v="4"/>
    <s v="Marketing"/>
    <n v="677"/>
    <n v="3"/>
    <s v="Male"/>
    <n v="39"/>
    <n v="3"/>
    <n v="2"/>
    <s v="Sales Executive"/>
    <n v="3"/>
    <s v="Divorced"/>
    <n v="7104"/>
    <n v="20431"/>
    <n v="0"/>
    <s v="No"/>
    <n v="12"/>
    <n v="3"/>
    <n v="4"/>
    <n v="0"/>
    <n v="6"/>
    <n v="3"/>
    <n v="3"/>
    <n v="5"/>
    <n v="0"/>
    <n v="1"/>
    <n v="2"/>
    <x v="2"/>
  </r>
  <r>
    <n v="32"/>
    <x v="1"/>
    <s v="Travel_Rarely"/>
    <n v="646"/>
    <s v="Research &amp; Development"/>
    <n v="9"/>
    <n v="4"/>
    <s v="Life Sciences"/>
    <n v="679"/>
    <n v="1"/>
    <s v="Female"/>
    <n v="92"/>
    <n v="3"/>
    <n v="2"/>
    <s v="Research Scientist"/>
    <n v="4"/>
    <s v="Married"/>
    <n v="6322"/>
    <n v="18089"/>
    <n v="1"/>
    <s v="Yes"/>
    <n v="12"/>
    <n v="3"/>
    <n v="4"/>
    <n v="1"/>
    <n v="6"/>
    <n v="2"/>
    <n v="2"/>
    <n v="6"/>
    <n v="4"/>
    <n v="0"/>
    <n v="5"/>
    <x v="2"/>
  </r>
  <r>
    <n v="30"/>
    <x v="1"/>
    <s v="Travel_Frequently"/>
    <n v="160"/>
    <s v="Research &amp; Development"/>
    <n v="3"/>
    <n v="3"/>
    <s v="Medical"/>
    <n v="680"/>
    <n v="3"/>
    <s v="Female"/>
    <n v="71"/>
    <n v="3"/>
    <n v="1"/>
    <s v="Research Scientist"/>
    <n v="3"/>
    <s v="Divorced"/>
    <n v="2083"/>
    <n v="22653"/>
    <n v="1"/>
    <s v="No"/>
    <n v="20"/>
    <n v="4"/>
    <n v="3"/>
    <n v="1"/>
    <n v="1"/>
    <n v="2"/>
    <n v="3"/>
    <n v="1"/>
    <n v="0"/>
    <n v="0"/>
    <n v="0"/>
    <x v="2"/>
  </r>
  <r>
    <n v="53"/>
    <x v="1"/>
    <s v="Travel_Rarely"/>
    <n v="238"/>
    <s v="Sales"/>
    <n v="1"/>
    <n v="1"/>
    <s v="Medical"/>
    <n v="682"/>
    <n v="4"/>
    <s v="Female"/>
    <n v="34"/>
    <n v="3"/>
    <n v="2"/>
    <s v="Sales Executive"/>
    <n v="1"/>
    <s v="Single"/>
    <n v="8381"/>
    <n v="7507"/>
    <n v="7"/>
    <s v="No"/>
    <n v="20"/>
    <n v="4"/>
    <n v="4"/>
    <n v="0"/>
    <n v="18"/>
    <n v="2"/>
    <n v="4"/>
    <n v="14"/>
    <n v="7"/>
    <n v="8"/>
    <n v="10"/>
    <x v="1"/>
  </r>
  <r>
    <n v="34"/>
    <x v="1"/>
    <s v="Travel_Rarely"/>
    <n v="1397"/>
    <s v="Research &amp; Development"/>
    <n v="1"/>
    <n v="5"/>
    <s v="Life Sciences"/>
    <n v="683"/>
    <n v="2"/>
    <s v="Male"/>
    <n v="42"/>
    <n v="3"/>
    <n v="1"/>
    <s v="Research Scientist"/>
    <n v="4"/>
    <s v="Married"/>
    <n v="2691"/>
    <n v="7660"/>
    <n v="1"/>
    <s v="No"/>
    <n v="12"/>
    <n v="3"/>
    <n v="4"/>
    <n v="1"/>
    <n v="10"/>
    <n v="4"/>
    <n v="2"/>
    <n v="10"/>
    <n v="9"/>
    <n v="8"/>
    <n v="8"/>
    <x v="2"/>
  </r>
  <r>
    <n v="45"/>
    <x v="0"/>
    <s v="Travel_Frequently"/>
    <n v="306"/>
    <s v="Sales"/>
    <n v="26"/>
    <n v="4"/>
    <s v="Life Sciences"/>
    <n v="684"/>
    <n v="1"/>
    <s v="Female"/>
    <n v="100"/>
    <n v="3"/>
    <n v="2"/>
    <s v="Sales Executive"/>
    <n v="1"/>
    <s v="Married"/>
    <n v="4286"/>
    <n v="5630"/>
    <n v="2"/>
    <s v="No"/>
    <n v="14"/>
    <n v="3"/>
    <n v="4"/>
    <n v="2"/>
    <n v="5"/>
    <n v="4"/>
    <n v="3"/>
    <n v="1"/>
    <n v="1"/>
    <n v="0"/>
    <n v="0"/>
    <x v="1"/>
  </r>
  <r>
    <n v="26"/>
    <x v="1"/>
    <s v="Travel_Rarely"/>
    <n v="991"/>
    <s v="Research &amp; Development"/>
    <n v="6"/>
    <n v="3"/>
    <s v="Life Sciences"/>
    <n v="686"/>
    <n v="3"/>
    <s v="Female"/>
    <n v="71"/>
    <n v="3"/>
    <n v="1"/>
    <s v="Laboratory Technician"/>
    <n v="4"/>
    <s v="Married"/>
    <n v="2659"/>
    <n v="17759"/>
    <n v="1"/>
    <s v="Yes"/>
    <n v="13"/>
    <n v="3"/>
    <n v="3"/>
    <n v="1"/>
    <n v="3"/>
    <n v="2"/>
    <n v="3"/>
    <n v="3"/>
    <n v="2"/>
    <n v="0"/>
    <n v="2"/>
    <x v="2"/>
  </r>
  <r>
    <n v="37"/>
    <x v="1"/>
    <s v="Travel_Rarely"/>
    <n v="482"/>
    <s v="Research &amp; Development"/>
    <n v="3"/>
    <n v="3"/>
    <s v="Other"/>
    <n v="689"/>
    <n v="3"/>
    <s v="Male"/>
    <n v="36"/>
    <n v="3"/>
    <n v="3"/>
    <s v="Manufacturing Director"/>
    <n v="3"/>
    <s v="Married"/>
    <n v="9434"/>
    <n v="9606"/>
    <n v="1"/>
    <s v="No"/>
    <n v="15"/>
    <n v="3"/>
    <n v="3"/>
    <n v="1"/>
    <n v="10"/>
    <n v="2"/>
    <n v="3"/>
    <n v="10"/>
    <n v="7"/>
    <n v="7"/>
    <n v="8"/>
    <x v="0"/>
  </r>
  <r>
    <n v="29"/>
    <x v="1"/>
    <s v="Travel_Rarely"/>
    <n v="1176"/>
    <s v="Sales"/>
    <n v="3"/>
    <n v="2"/>
    <s v="Medical"/>
    <n v="690"/>
    <n v="2"/>
    <s v="Female"/>
    <n v="62"/>
    <n v="3"/>
    <n v="2"/>
    <s v="Sales Executive"/>
    <n v="3"/>
    <s v="Married"/>
    <n v="5561"/>
    <n v="3487"/>
    <n v="1"/>
    <s v="No"/>
    <n v="14"/>
    <n v="3"/>
    <n v="1"/>
    <n v="1"/>
    <n v="6"/>
    <n v="5"/>
    <n v="2"/>
    <n v="6"/>
    <n v="0"/>
    <n v="1"/>
    <n v="2"/>
    <x v="2"/>
  </r>
  <r>
    <n v="35"/>
    <x v="1"/>
    <s v="Travel_Rarely"/>
    <n v="1017"/>
    <s v="Research &amp; Development"/>
    <n v="6"/>
    <n v="4"/>
    <s v="Life Sciences"/>
    <n v="691"/>
    <n v="2"/>
    <s v="Male"/>
    <n v="82"/>
    <n v="1"/>
    <n v="2"/>
    <s v="Research Scientist"/>
    <n v="4"/>
    <s v="Single"/>
    <n v="6646"/>
    <n v="19368"/>
    <n v="1"/>
    <s v="No"/>
    <n v="13"/>
    <n v="3"/>
    <n v="2"/>
    <n v="0"/>
    <n v="17"/>
    <n v="3"/>
    <n v="3"/>
    <n v="17"/>
    <n v="11"/>
    <n v="11"/>
    <n v="8"/>
    <x v="0"/>
  </r>
  <r>
    <n v="33"/>
    <x v="1"/>
    <s v="Travel_Frequently"/>
    <n v="1296"/>
    <s v="Research &amp; Development"/>
    <n v="6"/>
    <n v="3"/>
    <s v="Life Sciences"/>
    <n v="692"/>
    <n v="3"/>
    <s v="Male"/>
    <n v="30"/>
    <n v="3"/>
    <n v="2"/>
    <s v="Healthcare Representative"/>
    <n v="4"/>
    <s v="Divorced"/>
    <n v="7725"/>
    <n v="5335"/>
    <n v="3"/>
    <s v="No"/>
    <n v="23"/>
    <n v="4"/>
    <n v="3"/>
    <n v="1"/>
    <n v="15"/>
    <n v="2"/>
    <n v="1"/>
    <n v="13"/>
    <n v="11"/>
    <n v="4"/>
    <n v="7"/>
    <x v="2"/>
  </r>
  <r>
    <n v="54"/>
    <x v="1"/>
    <s v="Travel_Rarely"/>
    <n v="397"/>
    <s v="Human Resources"/>
    <n v="19"/>
    <n v="4"/>
    <s v="Medical"/>
    <n v="698"/>
    <n v="3"/>
    <s v="Male"/>
    <n v="88"/>
    <n v="3"/>
    <n v="3"/>
    <s v="Human Resources"/>
    <n v="2"/>
    <s v="Married"/>
    <n v="10725"/>
    <n v="6729"/>
    <n v="2"/>
    <s v="No"/>
    <n v="15"/>
    <n v="3"/>
    <n v="3"/>
    <n v="1"/>
    <n v="16"/>
    <n v="1"/>
    <n v="4"/>
    <n v="9"/>
    <n v="7"/>
    <n v="7"/>
    <n v="1"/>
    <x v="1"/>
  </r>
  <r>
    <n v="36"/>
    <x v="1"/>
    <s v="Travel_Rarely"/>
    <n v="913"/>
    <s v="Research &amp; Development"/>
    <n v="9"/>
    <n v="2"/>
    <s v="Medical"/>
    <n v="699"/>
    <n v="2"/>
    <s v="Male"/>
    <n v="48"/>
    <n v="2"/>
    <n v="2"/>
    <s v="Manufacturing Director"/>
    <n v="2"/>
    <s v="Divorced"/>
    <n v="8847"/>
    <n v="13934"/>
    <n v="2"/>
    <s v="Yes"/>
    <n v="11"/>
    <n v="3"/>
    <n v="3"/>
    <n v="1"/>
    <n v="13"/>
    <n v="2"/>
    <n v="3"/>
    <n v="3"/>
    <n v="2"/>
    <n v="0"/>
    <n v="2"/>
    <x v="0"/>
  </r>
  <r>
    <n v="27"/>
    <x v="1"/>
    <s v="Travel_Rarely"/>
    <n v="1115"/>
    <s v="Research &amp; Development"/>
    <n v="3"/>
    <n v="4"/>
    <s v="Medical"/>
    <n v="700"/>
    <n v="1"/>
    <s v="Male"/>
    <n v="54"/>
    <n v="2"/>
    <n v="1"/>
    <s v="Research Scientist"/>
    <n v="4"/>
    <s v="Single"/>
    <n v="2045"/>
    <n v="15174"/>
    <n v="0"/>
    <s v="No"/>
    <n v="13"/>
    <n v="3"/>
    <n v="4"/>
    <n v="0"/>
    <n v="5"/>
    <n v="0"/>
    <n v="3"/>
    <n v="4"/>
    <n v="2"/>
    <n v="1"/>
    <n v="1"/>
    <x v="2"/>
  </r>
  <r>
    <n v="20"/>
    <x v="0"/>
    <s v="Travel_Rarely"/>
    <n v="1362"/>
    <s v="Research &amp; Development"/>
    <n v="10"/>
    <n v="1"/>
    <s v="Medical"/>
    <n v="701"/>
    <n v="4"/>
    <s v="Male"/>
    <n v="32"/>
    <n v="3"/>
    <n v="1"/>
    <s v="Research Scientist"/>
    <n v="3"/>
    <s v="Single"/>
    <n v="1009"/>
    <n v="26999"/>
    <n v="1"/>
    <s v="Yes"/>
    <n v="11"/>
    <n v="3"/>
    <n v="4"/>
    <n v="0"/>
    <n v="1"/>
    <n v="5"/>
    <n v="3"/>
    <n v="1"/>
    <n v="0"/>
    <n v="1"/>
    <n v="1"/>
    <x v="2"/>
  </r>
  <r>
    <n v="33"/>
    <x v="0"/>
    <s v="Travel_Frequently"/>
    <n v="1076"/>
    <s v="Research &amp; Development"/>
    <n v="3"/>
    <n v="3"/>
    <s v="Life Sciences"/>
    <n v="702"/>
    <n v="1"/>
    <s v="Male"/>
    <n v="70"/>
    <n v="3"/>
    <n v="1"/>
    <s v="Research Scientist"/>
    <n v="1"/>
    <s v="Single"/>
    <n v="3348"/>
    <n v="3164"/>
    <n v="1"/>
    <s v="Yes"/>
    <n v="11"/>
    <n v="3"/>
    <n v="1"/>
    <n v="0"/>
    <n v="10"/>
    <n v="3"/>
    <n v="3"/>
    <n v="10"/>
    <n v="8"/>
    <n v="9"/>
    <n v="7"/>
    <x v="2"/>
  </r>
  <r>
    <n v="35"/>
    <x v="1"/>
    <s v="Non-Travel"/>
    <n v="727"/>
    <s v="Research &amp; Development"/>
    <n v="3"/>
    <n v="3"/>
    <s v="Life Sciences"/>
    <n v="704"/>
    <n v="3"/>
    <s v="Male"/>
    <n v="41"/>
    <n v="2"/>
    <n v="1"/>
    <s v="Laboratory Technician"/>
    <n v="3"/>
    <s v="Married"/>
    <n v="1281"/>
    <n v="16900"/>
    <n v="1"/>
    <s v="No"/>
    <n v="18"/>
    <n v="3"/>
    <n v="3"/>
    <n v="2"/>
    <n v="1"/>
    <n v="3"/>
    <n v="3"/>
    <n v="1"/>
    <n v="0"/>
    <n v="0"/>
    <n v="0"/>
    <x v="0"/>
  </r>
  <r>
    <n v="23"/>
    <x v="1"/>
    <s v="Travel_Rarely"/>
    <n v="885"/>
    <s v="Research &amp; Development"/>
    <n v="4"/>
    <n v="3"/>
    <s v="Medical"/>
    <n v="705"/>
    <n v="1"/>
    <s v="Male"/>
    <n v="58"/>
    <n v="4"/>
    <n v="1"/>
    <s v="Research Scientist"/>
    <n v="1"/>
    <s v="Married"/>
    <n v="2819"/>
    <n v="8544"/>
    <n v="2"/>
    <s v="No"/>
    <n v="16"/>
    <n v="3"/>
    <n v="1"/>
    <n v="1"/>
    <n v="5"/>
    <n v="3"/>
    <n v="4"/>
    <n v="3"/>
    <n v="2"/>
    <n v="0"/>
    <n v="2"/>
    <x v="2"/>
  </r>
  <r>
    <n v="25"/>
    <x v="1"/>
    <s v="Travel_Rarely"/>
    <n v="810"/>
    <s v="Sales"/>
    <n v="8"/>
    <n v="3"/>
    <s v="Life Sciences"/>
    <n v="707"/>
    <n v="4"/>
    <s v="Male"/>
    <n v="57"/>
    <n v="4"/>
    <n v="2"/>
    <s v="Sales Executive"/>
    <n v="2"/>
    <s v="Married"/>
    <n v="4851"/>
    <n v="15678"/>
    <n v="0"/>
    <s v="No"/>
    <n v="22"/>
    <n v="4"/>
    <n v="3"/>
    <n v="1"/>
    <n v="4"/>
    <n v="4"/>
    <n v="3"/>
    <n v="3"/>
    <n v="2"/>
    <n v="1"/>
    <n v="2"/>
    <x v="2"/>
  </r>
  <r>
    <n v="38"/>
    <x v="1"/>
    <s v="Travel_Rarely"/>
    <n v="243"/>
    <s v="Sales"/>
    <n v="7"/>
    <n v="4"/>
    <s v="Marketing"/>
    <n v="709"/>
    <n v="4"/>
    <s v="Female"/>
    <n v="46"/>
    <n v="2"/>
    <n v="2"/>
    <s v="Sales Executive"/>
    <n v="4"/>
    <s v="Single"/>
    <n v="4028"/>
    <n v="7791"/>
    <n v="0"/>
    <s v="No"/>
    <n v="20"/>
    <n v="4"/>
    <n v="1"/>
    <n v="0"/>
    <n v="8"/>
    <n v="2"/>
    <n v="3"/>
    <n v="7"/>
    <n v="7"/>
    <n v="0"/>
    <n v="5"/>
    <x v="0"/>
  </r>
  <r>
    <n v="29"/>
    <x v="1"/>
    <s v="Travel_Frequently"/>
    <n v="806"/>
    <s v="Research &amp; Development"/>
    <n v="1"/>
    <n v="4"/>
    <s v="Life Sciences"/>
    <n v="710"/>
    <n v="2"/>
    <s v="Male"/>
    <n v="76"/>
    <n v="1"/>
    <n v="1"/>
    <s v="Research Scientist"/>
    <n v="4"/>
    <s v="Divorced"/>
    <n v="2720"/>
    <n v="18959"/>
    <n v="1"/>
    <s v="No"/>
    <n v="18"/>
    <n v="3"/>
    <n v="4"/>
    <n v="1"/>
    <n v="10"/>
    <n v="5"/>
    <n v="3"/>
    <n v="10"/>
    <n v="7"/>
    <n v="2"/>
    <n v="8"/>
    <x v="2"/>
  </r>
  <r>
    <n v="48"/>
    <x v="1"/>
    <s v="Travel_Rarely"/>
    <n v="817"/>
    <s v="Sales"/>
    <n v="2"/>
    <n v="1"/>
    <s v="Marketing"/>
    <n v="712"/>
    <n v="2"/>
    <s v="Male"/>
    <n v="56"/>
    <n v="4"/>
    <n v="2"/>
    <s v="Sales Executive"/>
    <n v="2"/>
    <s v="Married"/>
    <n v="8120"/>
    <n v="18597"/>
    <n v="3"/>
    <s v="No"/>
    <n v="12"/>
    <n v="3"/>
    <n v="4"/>
    <n v="0"/>
    <n v="12"/>
    <n v="3"/>
    <n v="3"/>
    <n v="2"/>
    <n v="2"/>
    <n v="2"/>
    <n v="2"/>
    <x v="1"/>
  </r>
  <r>
    <n v="27"/>
    <x v="1"/>
    <s v="Travel_Frequently"/>
    <n v="1410"/>
    <s v="Sales"/>
    <n v="3"/>
    <n v="1"/>
    <s v="Medical"/>
    <n v="714"/>
    <n v="4"/>
    <s v="Female"/>
    <n v="71"/>
    <n v="4"/>
    <n v="2"/>
    <s v="Sales Executive"/>
    <n v="4"/>
    <s v="Divorced"/>
    <n v="4647"/>
    <n v="16673"/>
    <n v="1"/>
    <s v="Yes"/>
    <n v="20"/>
    <n v="4"/>
    <n v="2"/>
    <n v="2"/>
    <n v="6"/>
    <n v="3"/>
    <n v="3"/>
    <n v="6"/>
    <n v="5"/>
    <n v="0"/>
    <n v="4"/>
    <x v="2"/>
  </r>
  <r>
    <n v="37"/>
    <x v="1"/>
    <s v="Travel_Rarely"/>
    <n v="1225"/>
    <s v="Research &amp; Development"/>
    <n v="10"/>
    <n v="2"/>
    <s v="Life Sciences"/>
    <n v="715"/>
    <n v="4"/>
    <s v="Male"/>
    <n v="80"/>
    <n v="4"/>
    <n v="1"/>
    <s v="Research Scientist"/>
    <n v="4"/>
    <s v="Single"/>
    <n v="4680"/>
    <n v="15232"/>
    <n v="3"/>
    <s v="No"/>
    <n v="17"/>
    <n v="3"/>
    <n v="1"/>
    <n v="0"/>
    <n v="4"/>
    <n v="2"/>
    <n v="3"/>
    <n v="1"/>
    <n v="0"/>
    <n v="0"/>
    <n v="0"/>
    <x v="0"/>
  </r>
  <r>
    <n v="50"/>
    <x v="1"/>
    <s v="Travel_Rarely"/>
    <n v="1207"/>
    <s v="Research &amp; Development"/>
    <n v="28"/>
    <n v="1"/>
    <s v="Medical"/>
    <n v="716"/>
    <n v="4"/>
    <s v="Male"/>
    <n v="74"/>
    <n v="4"/>
    <n v="1"/>
    <s v="Laboratory Technician"/>
    <n v="3"/>
    <s v="Married"/>
    <n v="3221"/>
    <n v="3297"/>
    <n v="1"/>
    <s v="Yes"/>
    <n v="11"/>
    <n v="3"/>
    <n v="3"/>
    <n v="3"/>
    <n v="20"/>
    <n v="3"/>
    <n v="3"/>
    <n v="20"/>
    <n v="8"/>
    <n v="3"/>
    <n v="8"/>
    <x v="1"/>
  </r>
  <r>
    <n v="34"/>
    <x v="1"/>
    <s v="Travel_Rarely"/>
    <n v="1442"/>
    <s v="Research &amp; Development"/>
    <n v="9"/>
    <n v="3"/>
    <s v="Medical"/>
    <n v="717"/>
    <n v="4"/>
    <s v="Female"/>
    <n v="46"/>
    <n v="2"/>
    <n v="3"/>
    <s v="Healthcare Representative"/>
    <n v="2"/>
    <s v="Single"/>
    <n v="8621"/>
    <n v="17654"/>
    <n v="1"/>
    <s v="No"/>
    <n v="14"/>
    <n v="3"/>
    <n v="2"/>
    <n v="0"/>
    <n v="9"/>
    <n v="3"/>
    <n v="4"/>
    <n v="8"/>
    <n v="7"/>
    <n v="7"/>
    <n v="7"/>
    <x v="2"/>
  </r>
  <r>
    <n v="24"/>
    <x v="0"/>
    <s v="Travel_Rarely"/>
    <n v="693"/>
    <s v="Sales"/>
    <n v="3"/>
    <n v="2"/>
    <s v="Life Sciences"/>
    <n v="720"/>
    <n v="1"/>
    <s v="Female"/>
    <n v="65"/>
    <n v="3"/>
    <n v="2"/>
    <s v="Sales Executive"/>
    <n v="3"/>
    <s v="Single"/>
    <n v="4577"/>
    <n v="24785"/>
    <n v="9"/>
    <s v="No"/>
    <n v="14"/>
    <n v="3"/>
    <n v="1"/>
    <n v="0"/>
    <n v="4"/>
    <n v="3"/>
    <n v="3"/>
    <n v="2"/>
    <n v="2"/>
    <n v="2"/>
    <n v="0"/>
    <x v="2"/>
  </r>
  <r>
    <n v="39"/>
    <x v="1"/>
    <s v="Travel_Rarely"/>
    <n v="408"/>
    <s v="Research &amp; Development"/>
    <n v="2"/>
    <n v="4"/>
    <s v="Technical Degree"/>
    <n v="721"/>
    <n v="4"/>
    <s v="Female"/>
    <n v="80"/>
    <n v="2"/>
    <n v="2"/>
    <s v="Healthcare Representative"/>
    <n v="3"/>
    <s v="Single"/>
    <n v="4553"/>
    <n v="20978"/>
    <n v="1"/>
    <s v="No"/>
    <n v="11"/>
    <n v="3"/>
    <n v="1"/>
    <n v="0"/>
    <n v="20"/>
    <n v="4"/>
    <n v="3"/>
    <n v="20"/>
    <n v="7"/>
    <n v="11"/>
    <n v="10"/>
    <x v="0"/>
  </r>
  <r>
    <n v="32"/>
    <x v="1"/>
    <s v="Travel_Rarely"/>
    <n v="929"/>
    <s v="Sales"/>
    <n v="10"/>
    <n v="3"/>
    <s v="Marketing"/>
    <n v="722"/>
    <n v="4"/>
    <s v="Male"/>
    <n v="55"/>
    <n v="3"/>
    <n v="2"/>
    <s v="Sales Executive"/>
    <n v="4"/>
    <s v="Single"/>
    <n v="5396"/>
    <n v="21703"/>
    <n v="1"/>
    <s v="No"/>
    <n v="12"/>
    <n v="3"/>
    <n v="4"/>
    <n v="0"/>
    <n v="10"/>
    <n v="2"/>
    <n v="2"/>
    <n v="10"/>
    <n v="7"/>
    <n v="0"/>
    <n v="8"/>
    <x v="2"/>
  </r>
  <r>
    <n v="50"/>
    <x v="0"/>
    <s v="Travel_Frequently"/>
    <n v="562"/>
    <s v="Sales"/>
    <n v="8"/>
    <n v="2"/>
    <s v="Technical Degree"/>
    <n v="723"/>
    <n v="2"/>
    <s v="Male"/>
    <n v="50"/>
    <n v="3"/>
    <n v="2"/>
    <s v="Sales Executive"/>
    <n v="3"/>
    <s v="Married"/>
    <n v="6796"/>
    <n v="23452"/>
    <n v="3"/>
    <s v="Yes"/>
    <n v="14"/>
    <n v="3"/>
    <n v="1"/>
    <n v="1"/>
    <n v="18"/>
    <n v="4"/>
    <n v="3"/>
    <n v="4"/>
    <n v="3"/>
    <n v="1"/>
    <n v="3"/>
    <x v="1"/>
  </r>
  <r>
    <n v="38"/>
    <x v="1"/>
    <s v="Travel_Rarely"/>
    <n v="827"/>
    <s v="Research &amp; Development"/>
    <n v="1"/>
    <n v="4"/>
    <s v="Life Sciences"/>
    <n v="724"/>
    <n v="2"/>
    <s v="Female"/>
    <n v="33"/>
    <n v="4"/>
    <n v="2"/>
    <s v="Healthcare Representative"/>
    <n v="4"/>
    <s v="Single"/>
    <n v="7625"/>
    <n v="19383"/>
    <n v="0"/>
    <s v="No"/>
    <n v="13"/>
    <n v="3"/>
    <n v="3"/>
    <n v="0"/>
    <n v="10"/>
    <n v="4"/>
    <n v="2"/>
    <n v="9"/>
    <n v="7"/>
    <n v="1"/>
    <n v="8"/>
    <x v="0"/>
  </r>
  <r>
    <n v="27"/>
    <x v="1"/>
    <s v="Travel_Rarely"/>
    <n v="608"/>
    <s v="Research &amp; Development"/>
    <n v="1"/>
    <n v="2"/>
    <s v="Life Sciences"/>
    <n v="725"/>
    <n v="3"/>
    <s v="Female"/>
    <n v="68"/>
    <n v="3"/>
    <n v="3"/>
    <s v="Manufacturing Director"/>
    <n v="1"/>
    <s v="Married"/>
    <n v="7412"/>
    <n v="6009"/>
    <n v="1"/>
    <s v="No"/>
    <n v="11"/>
    <n v="3"/>
    <n v="4"/>
    <n v="0"/>
    <n v="9"/>
    <n v="3"/>
    <n v="3"/>
    <n v="9"/>
    <n v="7"/>
    <n v="0"/>
    <n v="7"/>
    <x v="2"/>
  </r>
  <r>
    <n v="32"/>
    <x v="1"/>
    <s v="Travel_Rarely"/>
    <n v="1018"/>
    <s v="Research &amp; Development"/>
    <n v="3"/>
    <n v="2"/>
    <s v="Life Sciences"/>
    <n v="727"/>
    <n v="3"/>
    <s v="Female"/>
    <n v="39"/>
    <n v="3"/>
    <n v="3"/>
    <s v="Research Director"/>
    <n v="4"/>
    <s v="Single"/>
    <n v="11159"/>
    <n v="19373"/>
    <n v="3"/>
    <s v="No"/>
    <n v="15"/>
    <n v="3"/>
    <n v="4"/>
    <n v="0"/>
    <n v="10"/>
    <n v="6"/>
    <n v="3"/>
    <n v="7"/>
    <n v="7"/>
    <n v="7"/>
    <n v="7"/>
    <x v="2"/>
  </r>
  <r>
    <n v="47"/>
    <x v="1"/>
    <s v="Travel_Rarely"/>
    <n v="703"/>
    <s v="Sales"/>
    <n v="14"/>
    <n v="4"/>
    <s v="Marketing"/>
    <n v="728"/>
    <n v="4"/>
    <s v="Male"/>
    <n v="42"/>
    <n v="3"/>
    <n v="2"/>
    <s v="Sales Executive"/>
    <n v="1"/>
    <s v="Single"/>
    <n v="4960"/>
    <n v="11825"/>
    <n v="2"/>
    <s v="No"/>
    <n v="12"/>
    <n v="3"/>
    <n v="4"/>
    <n v="0"/>
    <n v="20"/>
    <n v="2"/>
    <n v="3"/>
    <n v="7"/>
    <n v="7"/>
    <n v="1"/>
    <n v="7"/>
    <x v="1"/>
  </r>
  <r>
    <n v="40"/>
    <x v="1"/>
    <s v="Travel_Frequently"/>
    <n v="580"/>
    <s v="Sales"/>
    <n v="5"/>
    <n v="4"/>
    <s v="Life Sciences"/>
    <n v="729"/>
    <n v="4"/>
    <s v="Male"/>
    <n v="48"/>
    <n v="2"/>
    <n v="3"/>
    <s v="Sales Executive"/>
    <n v="1"/>
    <s v="Married"/>
    <n v="10475"/>
    <n v="23772"/>
    <n v="5"/>
    <s v="Yes"/>
    <n v="21"/>
    <n v="4"/>
    <n v="3"/>
    <n v="1"/>
    <n v="20"/>
    <n v="2"/>
    <n v="3"/>
    <n v="18"/>
    <n v="13"/>
    <n v="1"/>
    <n v="12"/>
    <x v="0"/>
  </r>
  <r>
    <n v="53"/>
    <x v="1"/>
    <s v="Travel_Rarely"/>
    <n v="970"/>
    <s v="Research &amp; Development"/>
    <n v="7"/>
    <n v="3"/>
    <s v="Life Sciences"/>
    <n v="730"/>
    <n v="3"/>
    <s v="Male"/>
    <n v="59"/>
    <n v="4"/>
    <n v="4"/>
    <s v="Research Director"/>
    <n v="3"/>
    <s v="Married"/>
    <n v="14814"/>
    <n v="13514"/>
    <n v="3"/>
    <s v="No"/>
    <n v="19"/>
    <n v="3"/>
    <n v="3"/>
    <n v="0"/>
    <n v="32"/>
    <n v="3"/>
    <n v="3"/>
    <n v="5"/>
    <n v="1"/>
    <n v="1"/>
    <n v="3"/>
    <x v="1"/>
  </r>
  <r>
    <n v="41"/>
    <x v="1"/>
    <s v="Travel_Rarely"/>
    <n v="427"/>
    <s v="Human Resources"/>
    <n v="10"/>
    <n v="4"/>
    <s v="Human Resources"/>
    <n v="731"/>
    <n v="2"/>
    <s v="Male"/>
    <n v="73"/>
    <n v="2"/>
    <n v="5"/>
    <s v="Manager"/>
    <n v="4"/>
    <s v="Divorced"/>
    <n v="19141"/>
    <n v="8861"/>
    <n v="3"/>
    <s v="No"/>
    <n v="15"/>
    <n v="3"/>
    <n v="2"/>
    <n v="3"/>
    <n v="23"/>
    <n v="2"/>
    <n v="2"/>
    <n v="21"/>
    <n v="6"/>
    <n v="12"/>
    <n v="6"/>
    <x v="0"/>
  </r>
  <r>
    <n v="60"/>
    <x v="1"/>
    <s v="Travel_Rarely"/>
    <n v="1179"/>
    <s v="Sales"/>
    <n v="16"/>
    <n v="4"/>
    <s v="Marketing"/>
    <n v="732"/>
    <n v="1"/>
    <s v="Male"/>
    <n v="84"/>
    <n v="3"/>
    <n v="2"/>
    <s v="Sales Executive"/>
    <n v="1"/>
    <s v="Single"/>
    <n v="5405"/>
    <n v="11924"/>
    <n v="8"/>
    <s v="No"/>
    <n v="14"/>
    <n v="3"/>
    <n v="4"/>
    <n v="0"/>
    <n v="10"/>
    <n v="1"/>
    <n v="3"/>
    <n v="2"/>
    <n v="2"/>
    <n v="2"/>
    <n v="2"/>
    <x v="3"/>
  </r>
  <r>
    <n v="27"/>
    <x v="1"/>
    <s v="Travel_Frequently"/>
    <n v="294"/>
    <s v="Research &amp; Development"/>
    <n v="10"/>
    <n v="2"/>
    <s v="Life Sciences"/>
    <n v="733"/>
    <n v="4"/>
    <s v="Male"/>
    <n v="32"/>
    <n v="3"/>
    <n v="3"/>
    <s v="Manufacturing Director"/>
    <n v="1"/>
    <s v="Divorced"/>
    <n v="8793"/>
    <n v="4809"/>
    <n v="1"/>
    <s v="No"/>
    <n v="21"/>
    <n v="4"/>
    <n v="3"/>
    <n v="2"/>
    <n v="9"/>
    <n v="4"/>
    <n v="2"/>
    <n v="9"/>
    <n v="7"/>
    <n v="1"/>
    <n v="7"/>
    <x v="2"/>
  </r>
  <r>
    <n v="41"/>
    <x v="1"/>
    <s v="Travel_Rarely"/>
    <n v="314"/>
    <s v="Human Resources"/>
    <n v="1"/>
    <n v="3"/>
    <s v="Human Resources"/>
    <n v="734"/>
    <n v="4"/>
    <s v="Male"/>
    <n v="59"/>
    <n v="2"/>
    <n v="5"/>
    <s v="Manager"/>
    <n v="3"/>
    <s v="Married"/>
    <n v="19189"/>
    <n v="19562"/>
    <n v="1"/>
    <s v="No"/>
    <n v="12"/>
    <n v="3"/>
    <n v="2"/>
    <n v="1"/>
    <n v="22"/>
    <n v="3"/>
    <n v="3"/>
    <n v="22"/>
    <n v="7"/>
    <n v="2"/>
    <n v="10"/>
    <x v="0"/>
  </r>
  <r>
    <n v="50"/>
    <x v="1"/>
    <s v="Travel_Rarely"/>
    <n v="316"/>
    <s v="Sales"/>
    <n v="8"/>
    <n v="4"/>
    <s v="Marketing"/>
    <n v="738"/>
    <n v="4"/>
    <s v="Male"/>
    <n v="54"/>
    <n v="3"/>
    <n v="1"/>
    <s v="Sales Representative"/>
    <n v="2"/>
    <s v="Married"/>
    <n v="3875"/>
    <n v="9983"/>
    <n v="7"/>
    <s v="No"/>
    <n v="15"/>
    <n v="3"/>
    <n v="4"/>
    <n v="1"/>
    <n v="4"/>
    <n v="2"/>
    <n v="3"/>
    <n v="2"/>
    <n v="2"/>
    <n v="2"/>
    <n v="2"/>
    <x v="1"/>
  </r>
  <r>
    <n v="28"/>
    <x v="0"/>
    <s v="Travel_Rarely"/>
    <n v="654"/>
    <s v="Research &amp; Development"/>
    <n v="1"/>
    <n v="2"/>
    <s v="Life Sciences"/>
    <n v="741"/>
    <n v="1"/>
    <s v="Female"/>
    <n v="67"/>
    <n v="1"/>
    <n v="1"/>
    <s v="Research Scientist"/>
    <n v="2"/>
    <s v="Single"/>
    <n v="2216"/>
    <n v="3872"/>
    <n v="7"/>
    <s v="Yes"/>
    <n v="13"/>
    <n v="3"/>
    <n v="4"/>
    <n v="0"/>
    <n v="10"/>
    <n v="4"/>
    <n v="3"/>
    <n v="7"/>
    <n v="7"/>
    <n v="3"/>
    <n v="7"/>
    <x v="2"/>
  </r>
  <r>
    <n v="36"/>
    <x v="1"/>
    <s v="Non-Travel"/>
    <n v="427"/>
    <s v="Research &amp; Development"/>
    <n v="8"/>
    <n v="3"/>
    <s v="Life Sciences"/>
    <n v="742"/>
    <n v="1"/>
    <s v="Female"/>
    <n v="63"/>
    <n v="4"/>
    <n v="3"/>
    <s v="Research Director"/>
    <n v="1"/>
    <s v="Married"/>
    <n v="11713"/>
    <n v="20335"/>
    <n v="9"/>
    <s v="No"/>
    <n v="14"/>
    <n v="3"/>
    <n v="1"/>
    <n v="1"/>
    <n v="10"/>
    <n v="2"/>
    <n v="3"/>
    <n v="8"/>
    <n v="7"/>
    <n v="0"/>
    <n v="5"/>
    <x v="0"/>
  </r>
  <r>
    <n v="38"/>
    <x v="1"/>
    <s v="Travel_Rarely"/>
    <n v="168"/>
    <s v="Research &amp; Development"/>
    <n v="1"/>
    <n v="3"/>
    <s v="Life Sciences"/>
    <n v="743"/>
    <n v="3"/>
    <s v="Female"/>
    <n v="81"/>
    <n v="3"/>
    <n v="3"/>
    <s v="Manufacturing Director"/>
    <n v="3"/>
    <s v="Single"/>
    <n v="7861"/>
    <n v="15397"/>
    <n v="4"/>
    <s v="Yes"/>
    <n v="14"/>
    <n v="3"/>
    <n v="4"/>
    <n v="0"/>
    <n v="10"/>
    <n v="4"/>
    <n v="4"/>
    <n v="1"/>
    <n v="0"/>
    <n v="0"/>
    <n v="0"/>
    <x v="0"/>
  </r>
  <r>
    <n v="44"/>
    <x v="1"/>
    <s v="Non-Travel"/>
    <n v="381"/>
    <s v="Research &amp; Development"/>
    <n v="24"/>
    <n v="3"/>
    <s v="Medical"/>
    <n v="744"/>
    <n v="1"/>
    <s v="Male"/>
    <n v="49"/>
    <n v="1"/>
    <n v="1"/>
    <s v="Laboratory Technician"/>
    <n v="3"/>
    <s v="Single"/>
    <n v="3708"/>
    <n v="2104"/>
    <n v="2"/>
    <s v="No"/>
    <n v="14"/>
    <n v="3"/>
    <n v="3"/>
    <n v="0"/>
    <n v="9"/>
    <n v="5"/>
    <n v="3"/>
    <n v="5"/>
    <n v="2"/>
    <n v="1"/>
    <n v="4"/>
    <x v="0"/>
  </r>
  <r>
    <n v="47"/>
    <x v="1"/>
    <s v="Travel_Frequently"/>
    <n v="217"/>
    <s v="Sales"/>
    <n v="3"/>
    <n v="3"/>
    <s v="Medical"/>
    <n v="746"/>
    <n v="4"/>
    <s v="Female"/>
    <n v="49"/>
    <n v="3"/>
    <n v="4"/>
    <s v="Sales Executive"/>
    <n v="3"/>
    <s v="Divorced"/>
    <n v="13770"/>
    <n v="10225"/>
    <n v="9"/>
    <s v="Yes"/>
    <n v="12"/>
    <n v="3"/>
    <n v="4"/>
    <n v="2"/>
    <n v="28"/>
    <n v="2"/>
    <n v="2"/>
    <n v="22"/>
    <n v="2"/>
    <n v="11"/>
    <n v="13"/>
    <x v="1"/>
  </r>
  <r>
    <n v="30"/>
    <x v="1"/>
    <s v="Travel_Rarely"/>
    <n v="501"/>
    <s v="Sales"/>
    <n v="27"/>
    <n v="5"/>
    <s v="Marketing"/>
    <n v="747"/>
    <n v="3"/>
    <s v="Male"/>
    <n v="99"/>
    <n v="3"/>
    <n v="2"/>
    <s v="Sales Executive"/>
    <n v="4"/>
    <s v="Divorced"/>
    <n v="5304"/>
    <n v="25275"/>
    <n v="7"/>
    <s v="No"/>
    <n v="23"/>
    <n v="4"/>
    <n v="4"/>
    <n v="1"/>
    <n v="10"/>
    <n v="2"/>
    <n v="2"/>
    <n v="8"/>
    <n v="7"/>
    <n v="7"/>
    <n v="7"/>
    <x v="2"/>
  </r>
  <r>
    <n v="29"/>
    <x v="1"/>
    <s v="Travel_Rarely"/>
    <n v="1396"/>
    <s v="Sales"/>
    <n v="10"/>
    <n v="3"/>
    <s v="Life Sciences"/>
    <n v="749"/>
    <n v="3"/>
    <s v="Male"/>
    <n v="99"/>
    <n v="3"/>
    <n v="1"/>
    <s v="Sales Representative"/>
    <n v="3"/>
    <s v="Single"/>
    <n v="2642"/>
    <n v="2755"/>
    <n v="1"/>
    <s v="No"/>
    <n v="11"/>
    <n v="3"/>
    <n v="3"/>
    <n v="0"/>
    <n v="1"/>
    <n v="6"/>
    <n v="3"/>
    <n v="1"/>
    <n v="0"/>
    <n v="0"/>
    <n v="0"/>
    <x v="2"/>
  </r>
  <r>
    <n v="42"/>
    <x v="0"/>
    <s v="Travel_Frequently"/>
    <n v="933"/>
    <s v="Research &amp; Development"/>
    <n v="19"/>
    <n v="3"/>
    <s v="Medical"/>
    <n v="752"/>
    <n v="3"/>
    <s v="Male"/>
    <n v="57"/>
    <n v="4"/>
    <n v="1"/>
    <s v="Research Scientist"/>
    <n v="3"/>
    <s v="Divorced"/>
    <n v="2759"/>
    <n v="20366"/>
    <n v="6"/>
    <s v="Yes"/>
    <n v="12"/>
    <n v="3"/>
    <n v="4"/>
    <n v="0"/>
    <n v="7"/>
    <n v="2"/>
    <n v="3"/>
    <n v="2"/>
    <n v="2"/>
    <n v="2"/>
    <n v="2"/>
    <x v="0"/>
  </r>
  <r>
    <n v="43"/>
    <x v="1"/>
    <s v="Travel_Frequently"/>
    <n v="775"/>
    <s v="Sales"/>
    <n v="15"/>
    <n v="3"/>
    <s v="Life Sciences"/>
    <n v="754"/>
    <n v="4"/>
    <s v="Male"/>
    <n v="47"/>
    <n v="2"/>
    <n v="2"/>
    <s v="Sales Executive"/>
    <n v="4"/>
    <s v="Married"/>
    <n v="6804"/>
    <n v="23683"/>
    <n v="3"/>
    <s v="No"/>
    <n v="18"/>
    <n v="3"/>
    <n v="3"/>
    <n v="1"/>
    <n v="7"/>
    <n v="5"/>
    <n v="3"/>
    <n v="2"/>
    <n v="2"/>
    <n v="2"/>
    <n v="2"/>
    <x v="0"/>
  </r>
  <r>
    <n v="34"/>
    <x v="1"/>
    <s v="Travel_Rarely"/>
    <n v="970"/>
    <s v="Research &amp; Development"/>
    <n v="8"/>
    <n v="2"/>
    <s v="Medical"/>
    <n v="757"/>
    <n v="2"/>
    <s v="Female"/>
    <n v="96"/>
    <n v="3"/>
    <n v="2"/>
    <s v="Healthcare Representative"/>
    <n v="3"/>
    <s v="Single"/>
    <n v="6142"/>
    <n v="7360"/>
    <n v="3"/>
    <s v="No"/>
    <n v="11"/>
    <n v="3"/>
    <n v="4"/>
    <n v="0"/>
    <n v="10"/>
    <n v="2"/>
    <n v="3"/>
    <n v="5"/>
    <n v="1"/>
    <n v="4"/>
    <n v="3"/>
    <x v="2"/>
  </r>
  <r>
    <n v="23"/>
    <x v="1"/>
    <s v="Travel_Rarely"/>
    <n v="650"/>
    <s v="Research &amp; Development"/>
    <n v="9"/>
    <n v="1"/>
    <s v="Medical"/>
    <n v="758"/>
    <n v="2"/>
    <s v="Male"/>
    <n v="37"/>
    <n v="3"/>
    <n v="1"/>
    <s v="Laboratory Technician"/>
    <n v="1"/>
    <s v="Married"/>
    <n v="2500"/>
    <n v="4344"/>
    <n v="1"/>
    <s v="No"/>
    <n v="14"/>
    <n v="3"/>
    <n v="4"/>
    <n v="1"/>
    <n v="5"/>
    <n v="2"/>
    <n v="4"/>
    <n v="4"/>
    <n v="3"/>
    <n v="0"/>
    <n v="2"/>
    <x v="2"/>
  </r>
  <r>
    <n v="39"/>
    <x v="1"/>
    <s v="Travel_Rarely"/>
    <n v="141"/>
    <s v="Human Resources"/>
    <n v="3"/>
    <n v="3"/>
    <s v="Human Resources"/>
    <n v="760"/>
    <n v="3"/>
    <s v="Female"/>
    <n v="44"/>
    <n v="4"/>
    <n v="2"/>
    <s v="Human Resources"/>
    <n v="2"/>
    <s v="Married"/>
    <n v="6389"/>
    <n v="18767"/>
    <n v="9"/>
    <s v="No"/>
    <n v="15"/>
    <n v="3"/>
    <n v="3"/>
    <n v="1"/>
    <n v="12"/>
    <n v="3"/>
    <n v="1"/>
    <n v="8"/>
    <n v="3"/>
    <n v="3"/>
    <n v="6"/>
    <x v="0"/>
  </r>
  <r>
    <n v="56"/>
    <x v="1"/>
    <s v="Travel_Rarely"/>
    <n v="832"/>
    <s v="Research &amp; Development"/>
    <n v="9"/>
    <n v="3"/>
    <s v="Medical"/>
    <n v="762"/>
    <n v="3"/>
    <s v="Male"/>
    <n v="81"/>
    <n v="3"/>
    <n v="4"/>
    <s v="Healthcare Representative"/>
    <n v="4"/>
    <s v="Married"/>
    <n v="11103"/>
    <n v="20420"/>
    <n v="7"/>
    <s v="No"/>
    <n v="11"/>
    <n v="3"/>
    <n v="3"/>
    <n v="0"/>
    <n v="30"/>
    <n v="1"/>
    <n v="2"/>
    <n v="10"/>
    <n v="7"/>
    <n v="1"/>
    <n v="1"/>
    <x v="3"/>
  </r>
  <r>
    <n v="40"/>
    <x v="1"/>
    <s v="Travel_Rarely"/>
    <n v="804"/>
    <s v="Research &amp; Development"/>
    <n v="2"/>
    <n v="1"/>
    <s v="Medical"/>
    <n v="763"/>
    <n v="4"/>
    <s v="Female"/>
    <n v="86"/>
    <n v="2"/>
    <n v="1"/>
    <s v="Research Scientist"/>
    <n v="4"/>
    <s v="Single"/>
    <n v="2342"/>
    <n v="22929"/>
    <n v="0"/>
    <s v="Yes"/>
    <n v="20"/>
    <n v="4"/>
    <n v="4"/>
    <n v="0"/>
    <n v="5"/>
    <n v="2"/>
    <n v="2"/>
    <n v="4"/>
    <n v="2"/>
    <n v="2"/>
    <n v="3"/>
    <x v="0"/>
  </r>
  <r>
    <n v="27"/>
    <x v="1"/>
    <s v="Travel_Rarely"/>
    <n v="975"/>
    <s v="Research &amp; Development"/>
    <n v="7"/>
    <n v="3"/>
    <s v="Medical"/>
    <n v="764"/>
    <n v="4"/>
    <s v="Female"/>
    <n v="55"/>
    <n v="2"/>
    <n v="2"/>
    <s v="Healthcare Representative"/>
    <n v="1"/>
    <s v="Single"/>
    <n v="6811"/>
    <n v="23398"/>
    <n v="8"/>
    <s v="No"/>
    <n v="19"/>
    <n v="3"/>
    <n v="1"/>
    <n v="0"/>
    <n v="9"/>
    <n v="2"/>
    <n v="1"/>
    <n v="7"/>
    <n v="6"/>
    <n v="0"/>
    <n v="7"/>
    <x v="2"/>
  </r>
  <r>
    <n v="29"/>
    <x v="1"/>
    <s v="Travel_Rarely"/>
    <n v="1090"/>
    <s v="Sales"/>
    <n v="10"/>
    <n v="3"/>
    <s v="Marketing"/>
    <n v="766"/>
    <n v="4"/>
    <s v="Male"/>
    <n v="83"/>
    <n v="3"/>
    <n v="1"/>
    <s v="Sales Representative"/>
    <n v="2"/>
    <s v="Divorced"/>
    <n v="2297"/>
    <n v="17967"/>
    <n v="1"/>
    <s v="No"/>
    <n v="14"/>
    <n v="3"/>
    <n v="4"/>
    <n v="2"/>
    <n v="2"/>
    <n v="2"/>
    <n v="3"/>
    <n v="2"/>
    <n v="2"/>
    <n v="2"/>
    <n v="2"/>
    <x v="2"/>
  </r>
  <r>
    <n v="53"/>
    <x v="1"/>
    <s v="Travel_Rarely"/>
    <n v="346"/>
    <s v="Research &amp; Development"/>
    <n v="6"/>
    <n v="3"/>
    <s v="Life Sciences"/>
    <n v="769"/>
    <n v="4"/>
    <s v="Male"/>
    <n v="86"/>
    <n v="3"/>
    <n v="2"/>
    <s v="Laboratory Technician"/>
    <n v="4"/>
    <s v="Single"/>
    <n v="2450"/>
    <n v="10919"/>
    <n v="2"/>
    <s v="No"/>
    <n v="17"/>
    <n v="3"/>
    <n v="4"/>
    <n v="0"/>
    <n v="19"/>
    <n v="4"/>
    <n v="3"/>
    <n v="2"/>
    <n v="2"/>
    <n v="2"/>
    <n v="2"/>
    <x v="1"/>
  </r>
  <r>
    <n v="35"/>
    <x v="1"/>
    <s v="Non-Travel"/>
    <n v="1225"/>
    <s v="Research &amp; Development"/>
    <n v="2"/>
    <n v="4"/>
    <s v="Life Sciences"/>
    <n v="771"/>
    <n v="4"/>
    <s v="Female"/>
    <n v="61"/>
    <n v="3"/>
    <n v="2"/>
    <s v="Healthcare Representative"/>
    <n v="1"/>
    <s v="Divorced"/>
    <n v="5093"/>
    <n v="4761"/>
    <n v="2"/>
    <s v="No"/>
    <n v="11"/>
    <n v="3"/>
    <n v="1"/>
    <n v="1"/>
    <n v="16"/>
    <n v="2"/>
    <n v="4"/>
    <n v="1"/>
    <n v="0"/>
    <n v="0"/>
    <n v="0"/>
    <x v="0"/>
  </r>
  <r>
    <n v="32"/>
    <x v="1"/>
    <s v="Travel_Frequently"/>
    <n v="430"/>
    <s v="Research &amp; Development"/>
    <n v="24"/>
    <n v="4"/>
    <s v="Life Sciences"/>
    <n v="772"/>
    <n v="1"/>
    <s v="Male"/>
    <n v="80"/>
    <n v="3"/>
    <n v="2"/>
    <s v="Laboratory Technician"/>
    <n v="4"/>
    <s v="Married"/>
    <n v="5309"/>
    <n v="21146"/>
    <n v="1"/>
    <s v="No"/>
    <n v="15"/>
    <n v="3"/>
    <n v="4"/>
    <n v="2"/>
    <n v="10"/>
    <n v="2"/>
    <n v="3"/>
    <n v="10"/>
    <n v="8"/>
    <n v="4"/>
    <n v="7"/>
    <x v="2"/>
  </r>
  <r>
    <n v="38"/>
    <x v="1"/>
    <s v="Travel_Rarely"/>
    <n v="268"/>
    <s v="Research &amp; Development"/>
    <n v="2"/>
    <n v="5"/>
    <s v="Medical"/>
    <n v="773"/>
    <n v="4"/>
    <s v="Male"/>
    <n v="92"/>
    <n v="3"/>
    <n v="1"/>
    <s v="Research Scientist"/>
    <n v="3"/>
    <s v="Married"/>
    <n v="3057"/>
    <n v="20471"/>
    <n v="6"/>
    <s v="Yes"/>
    <n v="13"/>
    <n v="3"/>
    <n v="2"/>
    <n v="1"/>
    <n v="6"/>
    <n v="0"/>
    <n v="1"/>
    <n v="1"/>
    <n v="0"/>
    <n v="0"/>
    <n v="1"/>
    <x v="0"/>
  </r>
  <r>
    <n v="34"/>
    <x v="1"/>
    <s v="Travel_Rarely"/>
    <n v="167"/>
    <s v="Research &amp; Development"/>
    <n v="8"/>
    <n v="5"/>
    <s v="Life Sciences"/>
    <n v="775"/>
    <n v="2"/>
    <s v="Female"/>
    <n v="32"/>
    <n v="3"/>
    <n v="2"/>
    <s v="Manufacturing Director"/>
    <n v="1"/>
    <s v="Divorced"/>
    <n v="5121"/>
    <n v="4187"/>
    <n v="3"/>
    <s v="No"/>
    <n v="14"/>
    <n v="3"/>
    <n v="3"/>
    <n v="1"/>
    <n v="7"/>
    <n v="3"/>
    <n v="3"/>
    <n v="0"/>
    <n v="0"/>
    <n v="0"/>
    <n v="0"/>
    <x v="2"/>
  </r>
  <r>
    <n v="52"/>
    <x v="1"/>
    <s v="Travel_Rarely"/>
    <n v="621"/>
    <s v="Sales"/>
    <n v="3"/>
    <n v="4"/>
    <s v="Marketing"/>
    <n v="776"/>
    <n v="3"/>
    <s v="Male"/>
    <n v="31"/>
    <n v="2"/>
    <n v="4"/>
    <s v="Manager"/>
    <n v="1"/>
    <s v="Married"/>
    <n v="16856"/>
    <n v="10084"/>
    <n v="1"/>
    <s v="No"/>
    <n v="11"/>
    <n v="3"/>
    <n v="1"/>
    <n v="0"/>
    <n v="34"/>
    <n v="3"/>
    <n v="4"/>
    <n v="34"/>
    <n v="6"/>
    <n v="1"/>
    <n v="16"/>
    <x v="1"/>
  </r>
  <r>
    <n v="33"/>
    <x v="0"/>
    <s v="Travel_Rarely"/>
    <n v="527"/>
    <s v="Research &amp; Development"/>
    <n v="1"/>
    <n v="4"/>
    <s v="Other"/>
    <n v="780"/>
    <n v="4"/>
    <s v="Male"/>
    <n v="63"/>
    <n v="3"/>
    <n v="1"/>
    <s v="Research Scientist"/>
    <n v="4"/>
    <s v="Single"/>
    <n v="2686"/>
    <n v="5207"/>
    <n v="1"/>
    <s v="Yes"/>
    <n v="13"/>
    <n v="3"/>
    <n v="3"/>
    <n v="0"/>
    <n v="10"/>
    <n v="2"/>
    <n v="2"/>
    <n v="10"/>
    <n v="9"/>
    <n v="7"/>
    <n v="8"/>
    <x v="2"/>
  </r>
  <r>
    <n v="25"/>
    <x v="1"/>
    <s v="Travel_Rarely"/>
    <n v="883"/>
    <s v="Sales"/>
    <n v="26"/>
    <n v="1"/>
    <s v="Medical"/>
    <n v="781"/>
    <n v="3"/>
    <s v="Female"/>
    <n v="32"/>
    <n v="3"/>
    <n v="2"/>
    <s v="Sales Executive"/>
    <n v="4"/>
    <s v="Single"/>
    <n v="6180"/>
    <n v="22807"/>
    <n v="1"/>
    <s v="No"/>
    <n v="23"/>
    <n v="4"/>
    <n v="2"/>
    <n v="0"/>
    <n v="6"/>
    <n v="5"/>
    <n v="2"/>
    <n v="6"/>
    <n v="5"/>
    <n v="1"/>
    <n v="4"/>
    <x v="2"/>
  </r>
  <r>
    <n v="45"/>
    <x v="1"/>
    <s v="Travel_Rarely"/>
    <n v="954"/>
    <s v="Sales"/>
    <n v="2"/>
    <n v="2"/>
    <s v="Technical Degree"/>
    <n v="783"/>
    <n v="2"/>
    <s v="Male"/>
    <n v="46"/>
    <n v="1"/>
    <n v="2"/>
    <s v="Sales Representative"/>
    <n v="3"/>
    <s v="Single"/>
    <n v="6632"/>
    <n v="12388"/>
    <n v="0"/>
    <s v="No"/>
    <n v="13"/>
    <n v="3"/>
    <n v="1"/>
    <n v="0"/>
    <n v="9"/>
    <n v="3"/>
    <n v="3"/>
    <n v="8"/>
    <n v="7"/>
    <n v="3"/>
    <n v="1"/>
    <x v="1"/>
  </r>
  <r>
    <n v="23"/>
    <x v="1"/>
    <s v="Travel_Rarely"/>
    <n v="310"/>
    <s v="Research &amp; Development"/>
    <n v="10"/>
    <n v="1"/>
    <s v="Medical"/>
    <n v="784"/>
    <n v="1"/>
    <s v="Male"/>
    <n v="79"/>
    <n v="4"/>
    <n v="1"/>
    <s v="Research Scientist"/>
    <n v="3"/>
    <s v="Single"/>
    <n v="3505"/>
    <n v="19630"/>
    <n v="1"/>
    <s v="No"/>
    <n v="18"/>
    <n v="3"/>
    <n v="4"/>
    <n v="0"/>
    <n v="2"/>
    <n v="3"/>
    <n v="3"/>
    <n v="2"/>
    <n v="2"/>
    <n v="0"/>
    <n v="2"/>
    <x v="2"/>
  </r>
  <r>
    <n v="47"/>
    <x v="0"/>
    <s v="Travel_Frequently"/>
    <n v="719"/>
    <s v="Sales"/>
    <n v="27"/>
    <n v="2"/>
    <s v="Life Sciences"/>
    <n v="785"/>
    <n v="2"/>
    <s v="Female"/>
    <n v="77"/>
    <n v="4"/>
    <n v="2"/>
    <s v="Sales Executive"/>
    <n v="3"/>
    <s v="Single"/>
    <n v="6397"/>
    <n v="10339"/>
    <n v="4"/>
    <s v="Yes"/>
    <n v="12"/>
    <n v="3"/>
    <n v="4"/>
    <n v="0"/>
    <n v="8"/>
    <n v="2"/>
    <n v="3"/>
    <n v="5"/>
    <n v="4"/>
    <n v="1"/>
    <n v="3"/>
    <x v="1"/>
  </r>
  <r>
    <n v="34"/>
    <x v="1"/>
    <s v="Travel_Rarely"/>
    <n v="304"/>
    <s v="Sales"/>
    <n v="2"/>
    <n v="3"/>
    <s v="Other"/>
    <n v="786"/>
    <n v="4"/>
    <s v="Male"/>
    <n v="60"/>
    <n v="3"/>
    <n v="2"/>
    <s v="Sales Executive"/>
    <n v="4"/>
    <s v="Single"/>
    <n v="6274"/>
    <n v="18686"/>
    <n v="1"/>
    <s v="No"/>
    <n v="22"/>
    <n v="4"/>
    <n v="3"/>
    <n v="0"/>
    <n v="6"/>
    <n v="5"/>
    <n v="3"/>
    <n v="6"/>
    <n v="5"/>
    <n v="1"/>
    <n v="4"/>
    <x v="2"/>
  </r>
  <r>
    <n v="55"/>
    <x v="0"/>
    <s v="Travel_Rarely"/>
    <n v="725"/>
    <s v="Research &amp; Development"/>
    <n v="2"/>
    <n v="3"/>
    <s v="Medical"/>
    <n v="787"/>
    <n v="4"/>
    <s v="Male"/>
    <n v="78"/>
    <n v="3"/>
    <n v="5"/>
    <s v="Manager"/>
    <n v="1"/>
    <s v="Married"/>
    <n v="19859"/>
    <n v="21199"/>
    <n v="5"/>
    <s v="Yes"/>
    <n v="13"/>
    <n v="3"/>
    <n v="4"/>
    <n v="1"/>
    <n v="24"/>
    <n v="2"/>
    <n v="3"/>
    <n v="5"/>
    <n v="2"/>
    <n v="1"/>
    <n v="4"/>
    <x v="3"/>
  </r>
  <r>
    <n v="36"/>
    <x v="1"/>
    <s v="Non-Travel"/>
    <n v="1434"/>
    <s v="Sales"/>
    <n v="8"/>
    <n v="4"/>
    <s v="Life Sciences"/>
    <n v="789"/>
    <n v="1"/>
    <s v="Male"/>
    <n v="76"/>
    <n v="2"/>
    <n v="3"/>
    <s v="Sales Executive"/>
    <n v="1"/>
    <s v="Single"/>
    <n v="7587"/>
    <n v="14229"/>
    <n v="1"/>
    <s v="No"/>
    <n v="15"/>
    <n v="3"/>
    <n v="2"/>
    <n v="0"/>
    <n v="10"/>
    <n v="1"/>
    <n v="3"/>
    <n v="10"/>
    <n v="7"/>
    <n v="0"/>
    <n v="9"/>
    <x v="0"/>
  </r>
  <r>
    <n v="52"/>
    <x v="1"/>
    <s v="Non-Travel"/>
    <n v="715"/>
    <s v="Research &amp; Development"/>
    <n v="19"/>
    <n v="4"/>
    <s v="Medical"/>
    <n v="791"/>
    <n v="4"/>
    <s v="Male"/>
    <n v="41"/>
    <n v="3"/>
    <n v="1"/>
    <s v="Research Scientist"/>
    <n v="4"/>
    <s v="Married"/>
    <n v="4258"/>
    <n v="26589"/>
    <n v="0"/>
    <s v="No"/>
    <n v="18"/>
    <n v="3"/>
    <n v="1"/>
    <n v="1"/>
    <n v="5"/>
    <n v="3"/>
    <n v="3"/>
    <n v="4"/>
    <n v="3"/>
    <n v="1"/>
    <n v="2"/>
    <x v="1"/>
  </r>
  <r>
    <n v="26"/>
    <x v="1"/>
    <s v="Travel_Frequently"/>
    <n v="575"/>
    <s v="Research &amp; Development"/>
    <n v="1"/>
    <n v="2"/>
    <s v="Life Sciences"/>
    <n v="792"/>
    <n v="1"/>
    <s v="Female"/>
    <n v="71"/>
    <n v="1"/>
    <n v="1"/>
    <s v="Laboratory Technician"/>
    <n v="4"/>
    <s v="Divorced"/>
    <n v="4364"/>
    <n v="5288"/>
    <n v="3"/>
    <s v="No"/>
    <n v="14"/>
    <n v="3"/>
    <n v="1"/>
    <n v="1"/>
    <n v="5"/>
    <n v="2"/>
    <n v="3"/>
    <n v="2"/>
    <n v="2"/>
    <n v="2"/>
    <n v="0"/>
    <x v="2"/>
  </r>
  <r>
    <n v="29"/>
    <x v="1"/>
    <s v="Travel_Rarely"/>
    <n v="657"/>
    <s v="Research &amp; Development"/>
    <n v="27"/>
    <n v="3"/>
    <s v="Medical"/>
    <n v="793"/>
    <n v="2"/>
    <s v="Female"/>
    <n v="66"/>
    <n v="3"/>
    <n v="2"/>
    <s v="Healthcare Representative"/>
    <n v="3"/>
    <s v="Married"/>
    <n v="4335"/>
    <n v="25549"/>
    <n v="4"/>
    <s v="No"/>
    <n v="12"/>
    <n v="3"/>
    <n v="1"/>
    <n v="1"/>
    <n v="11"/>
    <n v="3"/>
    <n v="2"/>
    <n v="8"/>
    <n v="7"/>
    <n v="1"/>
    <n v="1"/>
    <x v="2"/>
  </r>
  <r>
    <n v="26"/>
    <x v="0"/>
    <s v="Travel_Rarely"/>
    <n v="1146"/>
    <s v="Sales"/>
    <n v="8"/>
    <n v="3"/>
    <s v="Technical Degree"/>
    <n v="796"/>
    <n v="4"/>
    <s v="Male"/>
    <n v="38"/>
    <n v="2"/>
    <n v="2"/>
    <s v="Sales Executive"/>
    <n v="1"/>
    <s v="Single"/>
    <n v="5326"/>
    <n v="3064"/>
    <n v="6"/>
    <s v="No"/>
    <n v="17"/>
    <n v="3"/>
    <n v="3"/>
    <n v="0"/>
    <n v="6"/>
    <n v="2"/>
    <n v="2"/>
    <n v="4"/>
    <n v="3"/>
    <n v="1"/>
    <n v="2"/>
    <x v="2"/>
  </r>
  <r>
    <n v="34"/>
    <x v="1"/>
    <s v="Travel_Rarely"/>
    <n v="182"/>
    <s v="Research &amp; Development"/>
    <n v="1"/>
    <n v="4"/>
    <s v="Life Sciences"/>
    <n v="797"/>
    <n v="2"/>
    <s v="Female"/>
    <n v="72"/>
    <n v="4"/>
    <n v="1"/>
    <s v="Research Scientist"/>
    <n v="4"/>
    <s v="Single"/>
    <n v="3280"/>
    <n v="13551"/>
    <n v="2"/>
    <s v="No"/>
    <n v="16"/>
    <n v="3"/>
    <n v="3"/>
    <n v="0"/>
    <n v="10"/>
    <n v="2"/>
    <n v="3"/>
    <n v="4"/>
    <n v="2"/>
    <n v="1"/>
    <n v="3"/>
    <x v="2"/>
  </r>
  <r>
    <n v="54"/>
    <x v="1"/>
    <s v="Travel_Rarely"/>
    <n v="376"/>
    <s v="Research &amp; Development"/>
    <n v="19"/>
    <n v="4"/>
    <s v="Medical"/>
    <n v="799"/>
    <n v="4"/>
    <s v="Female"/>
    <n v="95"/>
    <n v="3"/>
    <n v="2"/>
    <s v="Manufacturing Director"/>
    <n v="1"/>
    <s v="Divorced"/>
    <n v="5485"/>
    <n v="22670"/>
    <n v="9"/>
    <s v="Yes"/>
    <n v="11"/>
    <n v="3"/>
    <n v="2"/>
    <n v="2"/>
    <n v="9"/>
    <n v="4"/>
    <n v="3"/>
    <n v="5"/>
    <n v="3"/>
    <n v="1"/>
    <n v="4"/>
    <x v="1"/>
  </r>
  <r>
    <n v="27"/>
    <x v="1"/>
    <s v="Travel_Frequently"/>
    <n v="829"/>
    <s v="Sales"/>
    <n v="8"/>
    <n v="1"/>
    <s v="Marketing"/>
    <n v="800"/>
    <n v="3"/>
    <s v="Male"/>
    <n v="84"/>
    <n v="3"/>
    <n v="2"/>
    <s v="Sales Executive"/>
    <n v="4"/>
    <s v="Married"/>
    <n v="4342"/>
    <n v="24008"/>
    <n v="0"/>
    <s v="No"/>
    <n v="19"/>
    <n v="3"/>
    <n v="2"/>
    <n v="1"/>
    <n v="5"/>
    <n v="3"/>
    <n v="3"/>
    <n v="4"/>
    <n v="2"/>
    <n v="1"/>
    <n v="1"/>
    <x v="2"/>
  </r>
  <r>
    <n v="37"/>
    <x v="1"/>
    <s v="Travel_Rarely"/>
    <n v="571"/>
    <s v="Research &amp; Development"/>
    <n v="10"/>
    <n v="1"/>
    <s v="Life Sciences"/>
    <n v="802"/>
    <n v="4"/>
    <s v="Female"/>
    <n v="82"/>
    <n v="3"/>
    <n v="1"/>
    <s v="Research Scientist"/>
    <n v="1"/>
    <s v="Divorced"/>
    <n v="2782"/>
    <n v="19905"/>
    <n v="0"/>
    <s v="Yes"/>
    <n v="13"/>
    <n v="3"/>
    <n v="2"/>
    <n v="2"/>
    <n v="6"/>
    <n v="3"/>
    <n v="2"/>
    <n v="5"/>
    <n v="3"/>
    <n v="4"/>
    <n v="3"/>
    <x v="0"/>
  </r>
  <r>
    <n v="38"/>
    <x v="1"/>
    <s v="Travel_Frequently"/>
    <n v="240"/>
    <s v="Research &amp; Development"/>
    <n v="2"/>
    <n v="4"/>
    <s v="Life Sciences"/>
    <n v="803"/>
    <n v="1"/>
    <s v="Female"/>
    <n v="75"/>
    <n v="4"/>
    <n v="2"/>
    <s v="Manufacturing Director"/>
    <n v="1"/>
    <s v="Single"/>
    <n v="5980"/>
    <n v="26085"/>
    <n v="6"/>
    <s v="Yes"/>
    <n v="12"/>
    <n v="3"/>
    <n v="4"/>
    <n v="0"/>
    <n v="17"/>
    <n v="2"/>
    <n v="3"/>
    <n v="15"/>
    <n v="7"/>
    <n v="4"/>
    <n v="12"/>
    <x v="0"/>
  </r>
  <r>
    <n v="34"/>
    <x v="1"/>
    <s v="Travel_Rarely"/>
    <n v="121"/>
    <s v="Research &amp; Development"/>
    <n v="2"/>
    <n v="4"/>
    <s v="Medical"/>
    <n v="804"/>
    <n v="3"/>
    <s v="Female"/>
    <n v="86"/>
    <n v="2"/>
    <n v="1"/>
    <s v="Research Scientist"/>
    <n v="1"/>
    <s v="Single"/>
    <n v="4381"/>
    <n v="7530"/>
    <n v="1"/>
    <s v="No"/>
    <n v="11"/>
    <n v="3"/>
    <n v="3"/>
    <n v="0"/>
    <n v="6"/>
    <n v="3"/>
    <n v="3"/>
    <n v="6"/>
    <n v="5"/>
    <n v="1"/>
    <n v="3"/>
    <x v="2"/>
  </r>
  <r>
    <n v="35"/>
    <x v="1"/>
    <s v="Travel_Rarely"/>
    <n v="384"/>
    <s v="Sales"/>
    <n v="8"/>
    <n v="4"/>
    <s v="Life Sciences"/>
    <n v="805"/>
    <n v="1"/>
    <s v="Female"/>
    <n v="72"/>
    <n v="3"/>
    <n v="1"/>
    <s v="Sales Representative"/>
    <n v="4"/>
    <s v="Married"/>
    <n v="2572"/>
    <n v="20317"/>
    <n v="1"/>
    <s v="No"/>
    <n v="16"/>
    <n v="3"/>
    <n v="2"/>
    <n v="1"/>
    <n v="3"/>
    <n v="1"/>
    <n v="2"/>
    <n v="3"/>
    <n v="2"/>
    <n v="0"/>
    <n v="2"/>
    <x v="0"/>
  </r>
  <r>
    <n v="30"/>
    <x v="1"/>
    <s v="Travel_Rarely"/>
    <n v="921"/>
    <s v="Research &amp; Development"/>
    <n v="1"/>
    <n v="3"/>
    <s v="Life Sciences"/>
    <n v="806"/>
    <n v="4"/>
    <s v="Male"/>
    <n v="38"/>
    <n v="1"/>
    <n v="1"/>
    <s v="Laboratory Technician"/>
    <n v="3"/>
    <s v="Married"/>
    <n v="3833"/>
    <n v="24375"/>
    <n v="3"/>
    <s v="No"/>
    <n v="21"/>
    <n v="4"/>
    <n v="3"/>
    <n v="2"/>
    <n v="7"/>
    <n v="2"/>
    <n v="3"/>
    <n v="2"/>
    <n v="2"/>
    <n v="0"/>
    <n v="2"/>
    <x v="2"/>
  </r>
  <r>
    <n v="40"/>
    <x v="1"/>
    <s v="Travel_Frequently"/>
    <n v="791"/>
    <s v="Research &amp; Development"/>
    <n v="2"/>
    <n v="2"/>
    <s v="Medical"/>
    <n v="807"/>
    <n v="3"/>
    <s v="Female"/>
    <n v="38"/>
    <n v="4"/>
    <n v="2"/>
    <s v="Healthcare Representative"/>
    <n v="2"/>
    <s v="Married"/>
    <n v="4244"/>
    <n v="9931"/>
    <n v="1"/>
    <s v="No"/>
    <n v="24"/>
    <n v="4"/>
    <n v="4"/>
    <n v="1"/>
    <n v="8"/>
    <n v="2"/>
    <n v="3"/>
    <n v="8"/>
    <n v="7"/>
    <n v="3"/>
    <n v="7"/>
    <x v="0"/>
  </r>
  <r>
    <n v="34"/>
    <x v="1"/>
    <s v="Travel_Rarely"/>
    <n v="1111"/>
    <s v="Sales"/>
    <n v="8"/>
    <n v="2"/>
    <s v="Life Sciences"/>
    <n v="808"/>
    <n v="3"/>
    <s v="Female"/>
    <n v="93"/>
    <n v="3"/>
    <n v="2"/>
    <s v="Sales Executive"/>
    <n v="1"/>
    <s v="Married"/>
    <n v="6500"/>
    <n v="13305"/>
    <n v="5"/>
    <s v="No"/>
    <n v="17"/>
    <n v="3"/>
    <n v="2"/>
    <n v="1"/>
    <n v="6"/>
    <n v="1"/>
    <n v="3"/>
    <n v="3"/>
    <n v="2"/>
    <n v="1"/>
    <n v="2"/>
    <x v="2"/>
  </r>
  <r>
    <n v="42"/>
    <x v="1"/>
    <s v="Travel_Frequently"/>
    <n v="570"/>
    <s v="Research &amp; Development"/>
    <n v="8"/>
    <n v="3"/>
    <s v="Life Sciences"/>
    <n v="809"/>
    <n v="2"/>
    <s v="Male"/>
    <n v="66"/>
    <n v="3"/>
    <n v="5"/>
    <s v="Manager"/>
    <n v="4"/>
    <s v="Divorced"/>
    <n v="18430"/>
    <n v="16225"/>
    <n v="1"/>
    <s v="No"/>
    <n v="13"/>
    <n v="3"/>
    <n v="2"/>
    <n v="1"/>
    <n v="24"/>
    <n v="4"/>
    <n v="2"/>
    <n v="24"/>
    <n v="7"/>
    <n v="14"/>
    <n v="9"/>
    <x v="0"/>
  </r>
  <r>
    <n v="23"/>
    <x v="0"/>
    <s v="Travel_Rarely"/>
    <n v="1243"/>
    <s v="Research &amp; Development"/>
    <n v="6"/>
    <n v="3"/>
    <s v="Life Sciences"/>
    <n v="811"/>
    <n v="3"/>
    <s v="Male"/>
    <n v="63"/>
    <n v="4"/>
    <n v="1"/>
    <s v="Laboratory Technician"/>
    <n v="1"/>
    <s v="Married"/>
    <n v="1601"/>
    <n v="3445"/>
    <n v="1"/>
    <s v="Yes"/>
    <n v="21"/>
    <n v="4"/>
    <n v="3"/>
    <n v="2"/>
    <n v="1"/>
    <n v="2"/>
    <n v="3"/>
    <n v="0"/>
    <n v="0"/>
    <n v="0"/>
    <n v="0"/>
    <x v="2"/>
  </r>
  <r>
    <n v="24"/>
    <x v="1"/>
    <s v="Non-Travel"/>
    <n v="1092"/>
    <s v="Research &amp; Development"/>
    <n v="9"/>
    <n v="3"/>
    <s v="Life Sciences"/>
    <n v="812"/>
    <n v="3"/>
    <s v="Male"/>
    <n v="60"/>
    <n v="2"/>
    <n v="1"/>
    <s v="Laboratory Technician"/>
    <n v="2"/>
    <s v="Divorced"/>
    <n v="2694"/>
    <n v="26551"/>
    <n v="1"/>
    <s v="No"/>
    <n v="11"/>
    <n v="3"/>
    <n v="3"/>
    <n v="3"/>
    <n v="1"/>
    <n v="4"/>
    <n v="3"/>
    <n v="1"/>
    <n v="0"/>
    <n v="0"/>
    <n v="0"/>
    <x v="2"/>
  </r>
  <r>
    <n v="52"/>
    <x v="1"/>
    <s v="Travel_Rarely"/>
    <n v="1325"/>
    <s v="Research &amp; Development"/>
    <n v="11"/>
    <n v="4"/>
    <s v="Life Sciences"/>
    <n v="813"/>
    <n v="4"/>
    <s v="Female"/>
    <n v="82"/>
    <n v="3"/>
    <n v="2"/>
    <s v="Laboratory Technician"/>
    <n v="3"/>
    <s v="Married"/>
    <n v="3149"/>
    <n v="21821"/>
    <n v="8"/>
    <s v="No"/>
    <n v="20"/>
    <n v="4"/>
    <n v="2"/>
    <n v="1"/>
    <n v="9"/>
    <n v="3"/>
    <n v="3"/>
    <n v="5"/>
    <n v="2"/>
    <n v="1"/>
    <n v="4"/>
    <x v="1"/>
  </r>
  <r>
    <n v="50"/>
    <x v="1"/>
    <s v="Travel_Rarely"/>
    <n v="691"/>
    <s v="Research &amp; Development"/>
    <n v="2"/>
    <n v="3"/>
    <s v="Medical"/>
    <n v="815"/>
    <n v="3"/>
    <s v="Male"/>
    <n v="64"/>
    <n v="3"/>
    <n v="4"/>
    <s v="Research Director"/>
    <n v="3"/>
    <s v="Married"/>
    <n v="17639"/>
    <n v="6881"/>
    <n v="5"/>
    <s v="No"/>
    <n v="16"/>
    <n v="3"/>
    <n v="4"/>
    <n v="0"/>
    <n v="30"/>
    <n v="3"/>
    <n v="3"/>
    <n v="4"/>
    <n v="3"/>
    <n v="0"/>
    <n v="3"/>
    <x v="1"/>
  </r>
  <r>
    <n v="29"/>
    <x v="0"/>
    <s v="Travel_Rarely"/>
    <n v="805"/>
    <s v="Research &amp; Development"/>
    <n v="1"/>
    <n v="2"/>
    <s v="Life Sciences"/>
    <n v="816"/>
    <n v="2"/>
    <s v="Female"/>
    <n v="36"/>
    <n v="2"/>
    <n v="1"/>
    <s v="Laboratory Technician"/>
    <n v="1"/>
    <s v="Married"/>
    <n v="2319"/>
    <n v="6689"/>
    <n v="1"/>
    <s v="Yes"/>
    <n v="11"/>
    <n v="3"/>
    <n v="4"/>
    <n v="1"/>
    <n v="1"/>
    <n v="1"/>
    <n v="3"/>
    <n v="1"/>
    <n v="0"/>
    <n v="0"/>
    <n v="0"/>
    <x v="2"/>
  </r>
  <r>
    <n v="33"/>
    <x v="1"/>
    <s v="Travel_Rarely"/>
    <n v="213"/>
    <s v="Research &amp; Development"/>
    <n v="7"/>
    <n v="3"/>
    <s v="Medical"/>
    <n v="817"/>
    <n v="3"/>
    <s v="Male"/>
    <n v="49"/>
    <n v="3"/>
    <n v="3"/>
    <s v="Research Director"/>
    <n v="3"/>
    <s v="Married"/>
    <n v="11691"/>
    <n v="25995"/>
    <n v="0"/>
    <s v="No"/>
    <n v="11"/>
    <n v="3"/>
    <n v="4"/>
    <n v="0"/>
    <n v="14"/>
    <n v="3"/>
    <n v="4"/>
    <n v="13"/>
    <n v="9"/>
    <n v="3"/>
    <n v="7"/>
    <x v="2"/>
  </r>
  <r>
    <n v="33"/>
    <x v="0"/>
    <s v="Travel_Rarely"/>
    <n v="118"/>
    <s v="Sales"/>
    <n v="16"/>
    <n v="3"/>
    <s v="Marketing"/>
    <n v="819"/>
    <n v="1"/>
    <s v="Female"/>
    <n v="69"/>
    <n v="3"/>
    <n v="2"/>
    <s v="Sales Executive"/>
    <n v="1"/>
    <s v="Single"/>
    <n v="5324"/>
    <n v="26507"/>
    <n v="5"/>
    <s v="No"/>
    <n v="15"/>
    <n v="3"/>
    <n v="3"/>
    <n v="0"/>
    <n v="6"/>
    <n v="3"/>
    <n v="3"/>
    <n v="3"/>
    <n v="2"/>
    <n v="0"/>
    <n v="2"/>
    <x v="2"/>
  </r>
  <r>
    <n v="47"/>
    <x v="1"/>
    <s v="Travel_Rarely"/>
    <n v="202"/>
    <s v="Research &amp; Development"/>
    <n v="2"/>
    <n v="2"/>
    <s v="Other"/>
    <n v="820"/>
    <n v="3"/>
    <s v="Female"/>
    <n v="33"/>
    <n v="3"/>
    <n v="4"/>
    <s v="Manager"/>
    <n v="4"/>
    <s v="Married"/>
    <n v="16752"/>
    <n v="12982"/>
    <n v="1"/>
    <s v="Yes"/>
    <n v="11"/>
    <n v="3"/>
    <n v="3"/>
    <n v="1"/>
    <n v="26"/>
    <n v="3"/>
    <n v="2"/>
    <n v="26"/>
    <n v="14"/>
    <n v="3"/>
    <n v="0"/>
    <x v="1"/>
  </r>
  <r>
    <n v="36"/>
    <x v="1"/>
    <s v="Travel_Rarely"/>
    <n v="676"/>
    <s v="Research &amp; Development"/>
    <n v="1"/>
    <n v="3"/>
    <s v="Other"/>
    <n v="823"/>
    <n v="3"/>
    <s v="Female"/>
    <n v="35"/>
    <n v="3"/>
    <n v="2"/>
    <s v="Manufacturing Director"/>
    <n v="2"/>
    <s v="Married"/>
    <n v="5228"/>
    <n v="23361"/>
    <n v="0"/>
    <s v="No"/>
    <n v="15"/>
    <n v="3"/>
    <n v="1"/>
    <n v="1"/>
    <n v="10"/>
    <n v="2"/>
    <n v="3"/>
    <n v="9"/>
    <n v="7"/>
    <n v="0"/>
    <n v="5"/>
    <x v="0"/>
  </r>
  <r>
    <n v="29"/>
    <x v="1"/>
    <s v="Travel_Rarely"/>
    <n v="1252"/>
    <s v="Research &amp; Development"/>
    <n v="23"/>
    <n v="2"/>
    <s v="Life Sciences"/>
    <n v="824"/>
    <n v="3"/>
    <s v="Male"/>
    <n v="81"/>
    <n v="4"/>
    <n v="1"/>
    <s v="Research Scientist"/>
    <n v="3"/>
    <s v="Married"/>
    <n v="2700"/>
    <n v="23779"/>
    <n v="1"/>
    <s v="No"/>
    <n v="24"/>
    <n v="4"/>
    <n v="3"/>
    <n v="1"/>
    <n v="10"/>
    <n v="3"/>
    <n v="3"/>
    <n v="10"/>
    <n v="7"/>
    <n v="0"/>
    <n v="7"/>
    <x v="2"/>
  </r>
  <r>
    <n v="58"/>
    <x v="0"/>
    <s v="Travel_Rarely"/>
    <n v="286"/>
    <s v="Research &amp; Development"/>
    <n v="2"/>
    <n v="4"/>
    <s v="Life Sciences"/>
    <n v="825"/>
    <n v="4"/>
    <s v="Male"/>
    <n v="31"/>
    <n v="3"/>
    <n v="5"/>
    <s v="Research Director"/>
    <n v="2"/>
    <s v="Single"/>
    <n v="19246"/>
    <n v="25761"/>
    <n v="7"/>
    <s v="Yes"/>
    <n v="12"/>
    <n v="3"/>
    <n v="4"/>
    <n v="0"/>
    <n v="40"/>
    <n v="2"/>
    <n v="3"/>
    <n v="31"/>
    <n v="15"/>
    <n v="13"/>
    <n v="8"/>
    <x v="3"/>
  </r>
  <r>
    <n v="35"/>
    <x v="1"/>
    <s v="Travel_Rarely"/>
    <n v="1258"/>
    <s v="Research &amp; Development"/>
    <n v="1"/>
    <n v="4"/>
    <s v="Life Sciences"/>
    <n v="826"/>
    <n v="4"/>
    <s v="Female"/>
    <n v="40"/>
    <n v="4"/>
    <n v="1"/>
    <s v="Research Scientist"/>
    <n v="3"/>
    <s v="Single"/>
    <n v="2506"/>
    <n v="13301"/>
    <n v="3"/>
    <s v="No"/>
    <n v="13"/>
    <n v="3"/>
    <n v="3"/>
    <n v="0"/>
    <n v="7"/>
    <n v="0"/>
    <n v="3"/>
    <n v="2"/>
    <n v="2"/>
    <n v="2"/>
    <n v="2"/>
    <x v="0"/>
  </r>
  <r>
    <n v="42"/>
    <x v="1"/>
    <s v="Travel_Rarely"/>
    <n v="932"/>
    <s v="Research &amp; Development"/>
    <n v="1"/>
    <n v="2"/>
    <s v="Life Sciences"/>
    <n v="827"/>
    <n v="4"/>
    <s v="Female"/>
    <n v="43"/>
    <n v="2"/>
    <n v="2"/>
    <s v="Manufacturing Director"/>
    <n v="4"/>
    <s v="Married"/>
    <n v="6062"/>
    <n v="4051"/>
    <n v="9"/>
    <s v="Yes"/>
    <n v="13"/>
    <n v="3"/>
    <n v="4"/>
    <n v="1"/>
    <n v="8"/>
    <n v="4"/>
    <n v="3"/>
    <n v="4"/>
    <n v="3"/>
    <n v="0"/>
    <n v="2"/>
    <x v="0"/>
  </r>
  <r>
    <n v="28"/>
    <x v="0"/>
    <s v="Travel_Rarely"/>
    <n v="890"/>
    <s v="Research &amp; Development"/>
    <n v="2"/>
    <n v="4"/>
    <s v="Medical"/>
    <n v="828"/>
    <n v="3"/>
    <s v="Male"/>
    <n v="46"/>
    <n v="3"/>
    <n v="1"/>
    <s v="Research Scientist"/>
    <n v="3"/>
    <s v="Single"/>
    <n v="4382"/>
    <n v="16374"/>
    <n v="6"/>
    <s v="No"/>
    <n v="17"/>
    <n v="3"/>
    <n v="4"/>
    <n v="0"/>
    <n v="5"/>
    <n v="3"/>
    <n v="2"/>
    <n v="2"/>
    <n v="2"/>
    <n v="2"/>
    <n v="1"/>
    <x v="2"/>
  </r>
  <r>
    <n v="36"/>
    <x v="1"/>
    <s v="Travel_Rarely"/>
    <n v="1041"/>
    <s v="Human Resources"/>
    <n v="13"/>
    <n v="3"/>
    <s v="Human Resources"/>
    <n v="829"/>
    <n v="3"/>
    <s v="Male"/>
    <n v="36"/>
    <n v="3"/>
    <n v="1"/>
    <s v="Human Resources"/>
    <n v="2"/>
    <s v="Married"/>
    <n v="2143"/>
    <n v="25527"/>
    <n v="4"/>
    <s v="No"/>
    <n v="13"/>
    <n v="3"/>
    <n v="2"/>
    <n v="1"/>
    <n v="8"/>
    <n v="2"/>
    <n v="3"/>
    <n v="5"/>
    <n v="2"/>
    <n v="0"/>
    <n v="4"/>
    <x v="0"/>
  </r>
  <r>
    <n v="32"/>
    <x v="1"/>
    <s v="Travel_Rarely"/>
    <n v="859"/>
    <s v="Research &amp; Development"/>
    <n v="4"/>
    <n v="3"/>
    <s v="Life Sciences"/>
    <n v="830"/>
    <n v="3"/>
    <s v="Female"/>
    <n v="98"/>
    <n v="2"/>
    <n v="2"/>
    <s v="Manufacturing Director"/>
    <n v="3"/>
    <s v="Married"/>
    <n v="6162"/>
    <n v="19124"/>
    <n v="1"/>
    <s v="No"/>
    <n v="12"/>
    <n v="3"/>
    <n v="3"/>
    <n v="1"/>
    <n v="14"/>
    <n v="3"/>
    <n v="3"/>
    <n v="14"/>
    <n v="13"/>
    <n v="6"/>
    <n v="8"/>
    <x v="2"/>
  </r>
  <r>
    <n v="40"/>
    <x v="1"/>
    <s v="Travel_Frequently"/>
    <n v="720"/>
    <s v="Research &amp; Development"/>
    <n v="16"/>
    <n v="4"/>
    <s v="Medical"/>
    <n v="832"/>
    <n v="1"/>
    <s v="Male"/>
    <n v="51"/>
    <n v="2"/>
    <n v="2"/>
    <s v="Laboratory Technician"/>
    <n v="3"/>
    <s v="Single"/>
    <n v="5094"/>
    <n v="11983"/>
    <n v="6"/>
    <s v="No"/>
    <n v="14"/>
    <n v="3"/>
    <n v="4"/>
    <n v="0"/>
    <n v="10"/>
    <n v="6"/>
    <n v="3"/>
    <n v="1"/>
    <n v="0"/>
    <n v="0"/>
    <n v="0"/>
    <x v="0"/>
  </r>
  <r>
    <n v="30"/>
    <x v="1"/>
    <s v="Travel_Rarely"/>
    <n v="946"/>
    <s v="Research &amp; Development"/>
    <n v="2"/>
    <n v="3"/>
    <s v="Medical"/>
    <n v="833"/>
    <n v="3"/>
    <s v="Female"/>
    <n v="52"/>
    <n v="2"/>
    <n v="2"/>
    <s v="Manufacturing Director"/>
    <n v="4"/>
    <s v="Single"/>
    <n v="6877"/>
    <n v="20234"/>
    <n v="5"/>
    <s v="Yes"/>
    <n v="24"/>
    <n v="4"/>
    <n v="2"/>
    <n v="0"/>
    <n v="12"/>
    <n v="4"/>
    <n v="2"/>
    <n v="0"/>
    <n v="0"/>
    <n v="0"/>
    <n v="0"/>
    <x v="2"/>
  </r>
  <r>
    <n v="45"/>
    <x v="1"/>
    <s v="Travel_Rarely"/>
    <n v="252"/>
    <s v="Research &amp; Development"/>
    <n v="2"/>
    <n v="3"/>
    <s v="Life Sciences"/>
    <n v="834"/>
    <n v="2"/>
    <s v="Female"/>
    <n v="95"/>
    <n v="2"/>
    <n v="1"/>
    <s v="Research Scientist"/>
    <n v="3"/>
    <s v="Single"/>
    <n v="2274"/>
    <n v="6153"/>
    <n v="1"/>
    <s v="No"/>
    <n v="14"/>
    <n v="3"/>
    <n v="4"/>
    <n v="0"/>
    <n v="1"/>
    <n v="3"/>
    <n v="3"/>
    <n v="1"/>
    <n v="0"/>
    <n v="0"/>
    <n v="0"/>
    <x v="1"/>
  </r>
  <r>
    <n v="42"/>
    <x v="1"/>
    <s v="Travel_Rarely"/>
    <n v="933"/>
    <s v="Research &amp; Development"/>
    <n v="29"/>
    <n v="3"/>
    <s v="Life Sciences"/>
    <n v="836"/>
    <n v="2"/>
    <s v="Male"/>
    <n v="98"/>
    <n v="3"/>
    <n v="2"/>
    <s v="Manufacturing Director"/>
    <n v="2"/>
    <s v="Married"/>
    <n v="4434"/>
    <n v="11806"/>
    <n v="1"/>
    <s v="No"/>
    <n v="13"/>
    <n v="3"/>
    <n v="4"/>
    <n v="1"/>
    <n v="10"/>
    <n v="3"/>
    <n v="2"/>
    <n v="9"/>
    <n v="8"/>
    <n v="7"/>
    <n v="8"/>
    <x v="0"/>
  </r>
  <r>
    <n v="38"/>
    <x v="1"/>
    <s v="Travel_Frequently"/>
    <n v="471"/>
    <s v="Research &amp; Development"/>
    <n v="12"/>
    <n v="3"/>
    <s v="Life Sciences"/>
    <n v="837"/>
    <n v="1"/>
    <s v="Male"/>
    <n v="45"/>
    <n v="2"/>
    <n v="2"/>
    <s v="Healthcare Representative"/>
    <n v="1"/>
    <s v="Divorced"/>
    <n v="6288"/>
    <n v="4284"/>
    <n v="2"/>
    <s v="No"/>
    <n v="15"/>
    <n v="3"/>
    <n v="3"/>
    <n v="1"/>
    <n v="13"/>
    <n v="3"/>
    <n v="2"/>
    <n v="4"/>
    <n v="3"/>
    <n v="1"/>
    <n v="2"/>
    <x v="0"/>
  </r>
  <r>
    <n v="34"/>
    <x v="1"/>
    <s v="Travel_Frequently"/>
    <n v="702"/>
    <s v="Research &amp; Development"/>
    <n v="16"/>
    <n v="4"/>
    <s v="Life Sciences"/>
    <n v="838"/>
    <n v="3"/>
    <s v="Female"/>
    <n v="100"/>
    <n v="2"/>
    <n v="1"/>
    <s v="Research Scientist"/>
    <n v="4"/>
    <s v="Single"/>
    <n v="2553"/>
    <n v="8306"/>
    <n v="1"/>
    <s v="No"/>
    <n v="16"/>
    <n v="3"/>
    <n v="3"/>
    <n v="0"/>
    <n v="6"/>
    <n v="3"/>
    <n v="3"/>
    <n v="5"/>
    <n v="2"/>
    <n v="1"/>
    <n v="3"/>
    <x v="2"/>
  </r>
  <r>
    <n v="49"/>
    <x v="0"/>
    <s v="Travel_Rarely"/>
    <n v="1184"/>
    <s v="Sales"/>
    <n v="11"/>
    <n v="3"/>
    <s v="Marketing"/>
    <n v="840"/>
    <n v="3"/>
    <s v="Female"/>
    <n v="43"/>
    <n v="3"/>
    <n v="3"/>
    <s v="Sales Executive"/>
    <n v="4"/>
    <s v="Married"/>
    <n v="7654"/>
    <n v="5860"/>
    <n v="1"/>
    <s v="No"/>
    <n v="18"/>
    <n v="3"/>
    <n v="1"/>
    <n v="2"/>
    <n v="9"/>
    <n v="3"/>
    <n v="4"/>
    <n v="9"/>
    <n v="8"/>
    <n v="7"/>
    <n v="7"/>
    <x v="1"/>
  </r>
  <r>
    <n v="55"/>
    <x v="0"/>
    <s v="Travel_Rarely"/>
    <n v="436"/>
    <s v="Sales"/>
    <n v="2"/>
    <n v="1"/>
    <s v="Medical"/>
    <n v="842"/>
    <n v="3"/>
    <s v="Male"/>
    <n v="37"/>
    <n v="3"/>
    <n v="2"/>
    <s v="Sales Executive"/>
    <n v="4"/>
    <s v="Single"/>
    <n v="5160"/>
    <n v="21519"/>
    <n v="4"/>
    <s v="No"/>
    <n v="16"/>
    <n v="3"/>
    <n v="3"/>
    <n v="0"/>
    <n v="12"/>
    <n v="3"/>
    <n v="2"/>
    <n v="9"/>
    <n v="7"/>
    <n v="7"/>
    <n v="3"/>
    <x v="3"/>
  </r>
  <r>
    <n v="43"/>
    <x v="1"/>
    <s v="Travel_Rarely"/>
    <n v="589"/>
    <s v="Research &amp; Development"/>
    <n v="14"/>
    <n v="2"/>
    <s v="Life Sciences"/>
    <n v="843"/>
    <n v="2"/>
    <s v="Male"/>
    <n v="94"/>
    <n v="3"/>
    <n v="4"/>
    <s v="Research Director"/>
    <n v="1"/>
    <s v="Married"/>
    <n v="17159"/>
    <n v="5200"/>
    <n v="6"/>
    <s v="No"/>
    <n v="24"/>
    <n v="4"/>
    <n v="3"/>
    <n v="1"/>
    <n v="22"/>
    <n v="3"/>
    <n v="3"/>
    <n v="4"/>
    <n v="1"/>
    <n v="1"/>
    <n v="0"/>
    <x v="0"/>
  </r>
  <r>
    <n v="27"/>
    <x v="1"/>
    <s v="Travel_Rarely"/>
    <n v="269"/>
    <s v="Research &amp; Development"/>
    <n v="5"/>
    <n v="1"/>
    <s v="Technical Degree"/>
    <n v="844"/>
    <n v="3"/>
    <s v="Male"/>
    <n v="42"/>
    <n v="2"/>
    <n v="3"/>
    <s v="Research Director"/>
    <n v="4"/>
    <s v="Divorced"/>
    <n v="12808"/>
    <n v="8842"/>
    <n v="1"/>
    <s v="Yes"/>
    <n v="16"/>
    <n v="3"/>
    <n v="2"/>
    <n v="1"/>
    <n v="9"/>
    <n v="3"/>
    <n v="3"/>
    <n v="9"/>
    <n v="8"/>
    <n v="0"/>
    <n v="8"/>
    <x v="2"/>
  </r>
  <r>
    <n v="35"/>
    <x v="1"/>
    <s v="Travel_Rarely"/>
    <n v="950"/>
    <s v="Research &amp; Development"/>
    <n v="7"/>
    <n v="3"/>
    <s v="Other"/>
    <n v="845"/>
    <n v="3"/>
    <s v="Male"/>
    <n v="59"/>
    <n v="3"/>
    <n v="3"/>
    <s v="Manufacturing Director"/>
    <n v="3"/>
    <s v="Single"/>
    <n v="10221"/>
    <n v="18869"/>
    <n v="3"/>
    <s v="No"/>
    <n v="21"/>
    <n v="4"/>
    <n v="2"/>
    <n v="0"/>
    <n v="17"/>
    <n v="3"/>
    <n v="4"/>
    <n v="8"/>
    <n v="5"/>
    <n v="1"/>
    <n v="6"/>
    <x v="0"/>
  </r>
  <r>
    <n v="28"/>
    <x v="1"/>
    <s v="Travel_Rarely"/>
    <n v="760"/>
    <s v="Sales"/>
    <n v="2"/>
    <n v="4"/>
    <s v="Marketing"/>
    <n v="846"/>
    <n v="2"/>
    <s v="Female"/>
    <n v="81"/>
    <n v="3"/>
    <n v="2"/>
    <s v="Sales Executive"/>
    <n v="2"/>
    <s v="Married"/>
    <n v="4779"/>
    <n v="3698"/>
    <n v="1"/>
    <s v="Yes"/>
    <n v="20"/>
    <n v="4"/>
    <n v="1"/>
    <n v="0"/>
    <n v="8"/>
    <n v="2"/>
    <n v="3"/>
    <n v="8"/>
    <n v="7"/>
    <n v="7"/>
    <n v="5"/>
    <x v="2"/>
  </r>
  <r>
    <n v="34"/>
    <x v="1"/>
    <s v="Travel_Rarely"/>
    <n v="829"/>
    <s v="Human Resources"/>
    <n v="3"/>
    <n v="2"/>
    <s v="Human Resources"/>
    <n v="847"/>
    <n v="3"/>
    <s v="Male"/>
    <n v="88"/>
    <n v="3"/>
    <n v="1"/>
    <s v="Human Resources"/>
    <n v="4"/>
    <s v="Married"/>
    <n v="3737"/>
    <n v="2243"/>
    <n v="0"/>
    <s v="No"/>
    <n v="19"/>
    <n v="3"/>
    <n v="3"/>
    <n v="1"/>
    <n v="4"/>
    <n v="1"/>
    <n v="1"/>
    <n v="3"/>
    <n v="2"/>
    <n v="0"/>
    <n v="2"/>
    <x v="2"/>
  </r>
  <r>
    <n v="26"/>
    <x v="0"/>
    <s v="Travel_Frequently"/>
    <n v="887"/>
    <s v="Research &amp; Development"/>
    <n v="5"/>
    <n v="2"/>
    <s v="Medical"/>
    <n v="848"/>
    <n v="3"/>
    <s v="Female"/>
    <n v="88"/>
    <n v="2"/>
    <n v="1"/>
    <s v="Research Scientist"/>
    <n v="3"/>
    <s v="Married"/>
    <n v="2366"/>
    <n v="20898"/>
    <n v="1"/>
    <s v="Yes"/>
    <n v="14"/>
    <n v="3"/>
    <n v="1"/>
    <n v="1"/>
    <n v="8"/>
    <n v="2"/>
    <n v="3"/>
    <n v="8"/>
    <n v="7"/>
    <n v="1"/>
    <n v="7"/>
    <x v="2"/>
  </r>
  <r>
    <n v="27"/>
    <x v="1"/>
    <s v="Non-Travel"/>
    <n v="443"/>
    <s v="Research &amp; Development"/>
    <n v="3"/>
    <n v="3"/>
    <s v="Medical"/>
    <n v="850"/>
    <n v="4"/>
    <s v="Male"/>
    <n v="50"/>
    <n v="3"/>
    <n v="1"/>
    <s v="Research Scientist"/>
    <n v="4"/>
    <s v="Married"/>
    <n v="1706"/>
    <n v="16571"/>
    <n v="1"/>
    <s v="No"/>
    <n v="11"/>
    <n v="3"/>
    <n v="3"/>
    <n v="3"/>
    <n v="0"/>
    <n v="6"/>
    <n v="2"/>
    <n v="0"/>
    <n v="0"/>
    <n v="0"/>
    <n v="0"/>
    <x v="2"/>
  </r>
  <r>
    <n v="51"/>
    <x v="1"/>
    <s v="Travel_Rarely"/>
    <n v="1318"/>
    <s v="Sales"/>
    <n v="26"/>
    <n v="4"/>
    <s v="Marketing"/>
    <n v="851"/>
    <n v="1"/>
    <s v="Female"/>
    <n v="66"/>
    <n v="3"/>
    <n v="4"/>
    <s v="Manager"/>
    <n v="3"/>
    <s v="Married"/>
    <n v="16307"/>
    <n v="5594"/>
    <n v="2"/>
    <s v="No"/>
    <n v="14"/>
    <n v="3"/>
    <n v="3"/>
    <n v="1"/>
    <n v="29"/>
    <n v="2"/>
    <n v="2"/>
    <n v="20"/>
    <n v="6"/>
    <n v="4"/>
    <n v="17"/>
    <x v="1"/>
  </r>
  <r>
    <n v="44"/>
    <x v="1"/>
    <s v="Travel_Rarely"/>
    <n v="625"/>
    <s v="Research &amp; Development"/>
    <n v="4"/>
    <n v="3"/>
    <s v="Medical"/>
    <n v="852"/>
    <n v="4"/>
    <s v="Male"/>
    <n v="50"/>
    <n v="3"/>
    <n v="2"/>
    <s v="Healthcare Representative"/>
    <n v="2"/>
    <s v="Single"/>
    <n v="5933"/>
    <n v="5197"/>
    <n v="9"/>
    <s v="No"/>
    <n v="12"/>
    <n v="3"/>
    <n v="4"/>
    <n v="0"/>
    <n v="10"/>
    <n v="2"/>
    <n v="2"/>
    <n v="5"/>
    <n v="2"/>
    <n v="2"/>
    <n v="3"/>
    <x v="0"/>
  </r>
  <r>
    <n v="25"/>
    <x v="1"/>
    <s v="Travel_Rarely"/>
    <n v="180"/>
    <s v="Research &amp; Development"/>
    <n v="2"/>
    <n v="1"/>
    <s v="Medical"/>
    <n v="854"/>
    <n v="1"/>
    <s v="Male"/>
    <n v="65"/>
    <n v="4"/>
    <n v="1"/>
    <s v="Research Scientist"/>
    <n v="1"/>
    <s v="Single"/>
    <n v="3424"/>
    <n v="21632"/>
    <n v="7"/>
    <s v="No"/>
    <n v="13"/>
    <n v="3"/>
    <n v="3"/>
    <n v="0"/>
    <n v="6"/>
    <n v="3"/>
    <n v="2"/>
    <n v="4"/>
    <n v="3"/>
    <n v="0"/>
    <n v="1"/>
    <x v="2"/>
  </r>
  <r>
    <n v="33"/>
    <x v="1"/>
    <s v="Travel_Rarely"/>
    <n v="586"/>
    <s v="Sales"/>
    <n v="1"/>
    <n v="3"/>
    <s v="Medical"/>
    <n v="855"/>
    <n v="1"/>
    <s v="Male"/>
    <n v="48"/>
    <n v="4"/>
    <n v="2"/>
    <s v="Sales Executive"/>
    <n v="1"/>
    <s v="Divorced"/>
    <n v="4037"/>
    <n v="21816"/>
    <n v="1"/>
    <s v="No"/>
    <n v="22"/>
    <n v="4"/>
    <n v="1"/>
    <n v="1"/>
    <n v="9"/>
    <n v="5"/>
    <n v="3"/>
    <n v="9"/>
    <n v="8"/>
    <n v="0"/>
    <n v="8"/>
    <x v="2"/>
  </r>
  <r>
    <n v="35"/>
    <x v="1"/>
    <s v="Travel_Rarely"/>
    <n v="1343"/>
    <s v="Research &amp; Development"/>
    <n v="27"/>
    <n v="1"/>
    <s v="Medical"/>
    <n v="856"/>
    <n v="3"/>
    <s v="Female"/>
    <n v="53"/>
    <n v="2"/>
    <n v="1"/>
    <s v="Research Scientist"/>
    <n v="1"/>
    <s v="Single"/>
    <n v="2559"/>
    <n v="17852"/>
    <n v="1"/>
    <s v="No"/>
    <n v="11"/>
    <n v="3"/>
    <n v="4"/>
    <n v="0"/>
    <n v="6"/>
    <n v="3"/>
    <n v="2"/>
    <n v="6"/>
    <n v="5"/>
    <n v="1"/>
    <n v="1"/>
    <x v="0"/>
  </r>
  <r>
    <n v="36"/>
    <x v="1"/>
    <s v="Travel_Rarely"/>
    <n v="928"/>
    <s v="Sales"/>
    <n v="1"/>
    <n v="2"/>
    <s v="Life Sciences"/>
    <n v="857"/>
    <n v="2"/>
    <s v="Male"/>
    <n v="56"/>
    <n v="3"/>
    <n v="2"/>
    <s v="Sales Executive"/>
    <n v="4"/>
    <s v="Married"/>
    <n v="6201"/>
    <n v="2823"/>
    <n v="1"/>
    <s v="Yes"/>
    <n v="14"/>
    <n v="3"/>
    <n v="4"/>
    <n v="1"/>
    <n v="18"/>
    <n v="1"/>
    <n v="2"/>
    <n v="18"/>
    <n v="14"/>
    <n v="4"/>
    <n v="11"/>
    <x v="0"/>
  </r>
  <r>
    <n v="32"/>
    <x v="1"/>
    <s v="Travel_Rarely"/>
    <n v="117"/>
    <s v="Sales"/>
    <n v="13"/>
    <n v="4"/>
    <s v="Life Sciences"/>
    <n v="859"/>
    <n v="2"/>
    <s v="Male"/>
    <n v="73"/>
    <n v="3"/>
    <n v="2"/>
    <s v="Sales Executive"/>
    <n v="4"/>
    <s v="Divorced"/>
    <n v="4403"/>
    <n v="9250"/>
    <n v="2"/>
    <s v="No"/>
    <n v="11"/>
    <n v="3"/>
    <n v="3"/>
    <n v="1"/>
    <n v="8"/>
    <n v="3"/>
    <n v="2"/>
    <n v="5"/>
    <n v="2"/>
    <n v="0"/>
    <n v="3"/>
    <x v="2"/>
  </r>
  <r>
    <n v="30"/>
    <x v="1"/>
    <s v="Travel_Frequently"/>
    <n v="1012"/>
    <s v="Research &amp; Development"/>
    <n v="5"/>
    <n v="4"/>
    <s v="Life Sciences"/>
    <n v="861"/>
    <n v="2"/>
    <s v="Male"/>
    <n v="75"/>
    <n v="2"/>
    <n v="1"/>
    <s v="Research Scientist"/>
    <n v="4"/>
    <s v="Divorced"/>
    <n v="3761"/>
    <n v="2373"/>
    <n v="9"/>
    <s v="No"/>
    <n v="12"/>
    <n v="3"/>
    <n v="2"/>
    <n v="1"/>
    <n v="10"/>
    <n v="3"/>
    <n v="2"/>
    <n v="5"/>
    <n v="4"/>
    <n v="0"/>
    <n v="3"/>
    <x v="2"/>
  </r>
  <r>
    <n v="53"/>
    <x v="1"/>
    <s v="Travel_Rarely"/>
    <n v="661"/>
    <s v="Sales"/>
    <n v="7"/>
    <n v="2"/>
    <s v="Marketing"/>
    <n v="862"/>
    <n v="1"/>
    <s v="Female"/>
    <n v="78"/>
    <n v="2"/>
    <n v="3"/>
    <s v="Sales Executive"/>
    <n v="4"/>
    <s v="Married"/>
    <n v="10934"/>
    <n v="20715"/>
    <n v="7"/>
    <s v="Yes"/>
    <n v="18"/>
    <n v="3"/>
    <n v="4"/>
    <n v="1"/>
    <n v="35"/>
    <n v="3"/>
    <n v="3"/>
    <n v="5"/>
    <n v="2"/>
    <n v="0"/>
    <n v="4"/>
    <x v="1"/>
  </r>
  <r>
    <n v="45"/>
    <x v="1"/>
    <s v="Travel_Rarely"/>
    <n v="930"/>
    <s v="Sales"/>
    <n v="9"/>
    <n v="3"/>
    <s v="Marketing"/>
    <n v="864"/>
    <n v="4"/>
    <s v="Male"/>
    <n v="74"/>
    <n v="3"/>
    <n v="3"/>
    <s v="Sales Executive"/>
    <n v="1"/>
    <s v="Divorced"/>
    <n v="10761"/>
    <n v="19239"/>
    <n v="4"/>
    <s v="Yes"/>
    <n v="12"/>
    <n v="3"/>
    <n v="3"/>
    <n v="1"/>
    <n v="18"/>
    <n v="2"/>
    <n v="3"/>
    <n v="5"/>
    <n v="4"/>
    <n v="0"/>
    <n v="2"/>
    <x v="1"/>
  </r>
  <r>
    <n v="32"/>
    <x v="1"/>
    <s v="Travel_Rarely"/>
    <n v="638"/>
    <s v="Research &amp; Development"/>
    <n v="8"/>
    <n v="2"/>
    <s v="Medical"/>
    <n v="865"/>
    <n v="3"/>
    <s v="Female"/>
    <n v="91"/>
    <n v="4"/>
    <n v="2"/>
    <s v="Research Scientist"/>
    <n v="3"/>
    <s v="Married"/>
    <n v="5175"/>
    <n v="22162"/>
    <n v="5"/>
    <s v="No"/>
    <n v="12"/>
    <n v="3"/>
    <n v="3"/>
    <n v="1"/>
    <n v="9"/>
    <n v="3"/>
    <n v="2"/>
    <n v="5"/>
    <n v="3"/>
    <n v="1"/>
    <n v="3"/>
    <x v="2"/>
  </r>
  <r>
    <n v="52"/>
    <x v="1"/>
    <s v="Travel_Frequently"/>
    <n v="890"/>
    <s v="Research &amp; Development"/>
    <n v="25"/>
    <n v="4"/>
    <s v="Medical"/>
    <n v="867"/>
    <n v="3"/>
    <s v="Female"/>
    <n v="81"/>
    <n v="2"/>
    <n v="4"/>
    <s v="Manufacturing Director"/>
    <n v="4"/>
    <s v="Married"/>
    <n v="13826"/>
    <n v="19028"/>
    <n v="3"/>
    <s v="No"/>
    <n v="22"/>
    <n v="4"/>
    <n v="3"/>
    <n v="0"/>
    <n v="31"/>
    <n v="3"/>
    <n v="3"/>
    <n v="9"/>
    <n v="8"/>
    <n v="0"/>
    <n v="0"/>
    <x v="1"/>
  </r>
  <r>
    <n v="37"/>
    <x v="1"/>
    <s v="Travel_Rarely"/>
    <n v="342"/>
    <s v="Sales"/>
    <n v="16"/>
    <n v="4"/>
    <s v="Marketing"/>
    <n v="868"/>
    <n v="4"/>
    <s v="Male"/>
    <n v="66"/>
    <n v="2"/>
    <n v="2"/>
    <s v="Sales Executive"/>
    <n v="3"/>
    <s v="Divorced"/>
    <n v="6334"/>
    <n v="24558"/>
    <n v="4"/>
    <s v="No"/>
    <n v="19"/>
    <n v="3"/>
    <n v="4"/>
    <n v="2"/>
    <n v="9"/>
    <n v="2"/>
    <n v="3"/>
    <n v="1"/>
    <n v="0"/>
    <n v="0"/>
    <n v="0"/>
    <x v="0"/>
  </r>
  <r>
    <n v="28"/>
    <x v="1"/>
    <s v="Travel_Rarely"/>
    <n v="1169"/>
    <s v="Human Resources"/>
    <n v="8"/>
    <n v="2"/>
    <s v="Medical"/>
    <n v="869"/>
    <n v="2"/>
    <s v="Male"/>
    <n v="63"/>
    <n v="2"/>
    <n v="1"/>
    <s v="Human Resources"/>
    <n v="4"/>
    <s v="Divorced"/>
    <n v="4936"/>
    <n v="23965"/>
    <n v="1"/>
    <s v="No"/>
    <n v="13"/>
    <n v="3"/>
    <n v="4"/>
    <n v="1"/>
    <n v="6"/>
    <n v="6"/>
    <n v="3"/>
    <n v="5"/>
    <n v="1"/>
    <n v="0"/>
    <n v="4"/>
    <x v="2"/>
  </r>
  <r>
    <n v="22"/>
    <x v="1"/>
    <s v="Travel_Rarely"/>
    <n v="1230"/>
    <s v="Research &amp; Development"/>
    <n v="1"/>
    <n v="2"/>
    <s v="Life Sciences"/>
    <n v="872"/>
    <n v="4"/>
    <s v="Male"/>
    <n v="33"/>
    <n v="2"/>
    <n v="2"/>
    <s v="Manufacturing Director"/>
    <n v="4"/>
    <s v="Married"/>
    <n v="4775"/>
    <n v="19146"/>
    <n v="6"/>
    <s v="No"/>
    <n v="22"/>
    <n v="4"/>
    <n v="1"/>
    <n v="2"/>
    <n v="4"/>
    <n v="2"/>
    <n v="1"/>
    <n v="2"/>
    <n v="2"/>
    <n v="2"/>
    <n v="2"/>
    <x v="2"/>
  </r>
  <r>
    <n v="44"/>
    <x v="1"/>
    <s v="Travel_Rarely"/>
    <n v="986"/>
    <s v="Research &amp; Development"/>
    <n v="8"/>
    <n v="4"/>
    <s v="Life Sciences"/>
    <n v="874"/>
    <n v="1"/>
    <s v="Male"/>
    <n v="62"/>
    <n v="4"/>
    <n v="1"/>
    <s v="Laboratory Technician"/>
    <n v="4"/>
    <s v="Married"/>
    <n v="2818"/>
    <n v="5044"/>
    <n v="2"/>
    <s v="Yes"/>
    <n v="24"/>
    <n v="4"/>
    <n v="3"/>
    <n v="1"/>
    <n v="10"/>
    <n v="2"/>
    <n v="2"/>
    <n v="3"/>
    <n v="2"/>
    <n v="0"/>
    <n v="2"/>
    <x v="0"/>
  </r>
  <r>
    <n v="42"/>
    <x v="1"/>
    <s v="Travel_Frequently"/>
    <n v="1271"/>
    <s v="Research &amp; Development"/>
    <n v="2"/>
    <n v="1"/>
    <s v="Medical"/>
    <n v="875"/>
    <n v="2"/>
    <s v="Male"/>
    <n v="35"/>
    <n v="3"/>
    <n v="1"/>
    <s v="Research Scientist"/>
    <n v="4"/>
    <s v="Single"/>
    <n v="2515"/>
    <n v="9068"/>
    <n v="5"/>
    <s v="Yes"/>
    <n v="14"/>
    <n v="3"/>
    <n v="4"/>
    <n v="0"/>
    <n v="8"/>
    <n v="2"/>
    <n v="3"/>
    <n v="2"/>
    <n v="1"/>
    <n v="2"/>
    <n v="2"/>
    <x v="0"/>
  </r>
  <r>
    <n v="36"/>
    <x v="1"/>
    <s v="Travel_Rarely"/>
    <n v="1278"/>
    <s v="Human Resources"/>
    <n v="8"/>
    <n v="3"/>
    <s v="Life Sciences"/>
    <n v="878"/>
    <n v="1"/>
    <s v="Male"/>
    <n v="77"/>
    <n v="2"/>
    <n v="1"/>
    <s v="Human Resources"/>
    <n v="1"/>
    <s v="Married"/>
    <n v="2342"/>
    <n v="8635"/>
    <n v="0"/>
    <s v="No"/>
    <n v="21"/>
    <n v="4"/>
    <n v="3"/>
    <n v="0"/>
    <n v="6"/>
    <n v="3"/>
    <n v="3"/>
    <n v="5"/>
    <n v="4"/>
    <n v="0"/>
    <n v="3"/>
    <x v="0"/>
  </r>
  <r>
    <n v="25"/>
    <x v="1"/>
    <s v="Travel_Rarely"/>
    <n v="141"/>
    <s v="Sales"/>
    <n v="3"/>
    <n v="1"/>
    <s v="Other"/>
    <n v="879"/>
    <n v="3"/>
    <s v="Male"/>
    <n v="98"/>
    <n v="3"/>
    <n v="2"/>
    <s v="Sales Executive"/>
    <n v="1"/>
    <s v="Married"/>
    <n v="4194"/>
    <n v="14363"/>
    <n v="1"/>
    <s v="Yes"/>
    <n v="18"/>
    <n v="3"/>
    <n v="4"/>
    <n v="0"/>
    <n v="5"/>
    <n v="3"/>
    <n v="3"/>
    <n v="5"/>
    <n v="3"/>
    <n v="0"/>
    <n v="3"/>
    <x v="2"/>
  </r>
  <r>
    <n v="35"/>
    <x v="1"/>
    <s v="Travel_Rarely"/>
    <n v="607"/>
    <s v="Research &amp; Development"/>
    <n v="9"/>
    <n v="3"/>
    <s v="Life Sciences"/>
    <n v="880"/>
    <n v="4"/>
    <s v="Female"/>
    <n v="66"/>
    <n v="2"/>
    <n v="3"/>
    <s v="Manufacturing Director"/>
    <n v="3"/>
    <s v="Married"/>
    <n v="10685"/>
    <n v="23457"/>
    <n v="1"/>
    <s v="Yes"/>
    <n v="20"/>
    <n v="4"/>
    <n v="2"/>
    <n v="1"/>
    <n v="17"/>
    <n v="2"/>
    <n v="3"/>
    <n v="17"/>
    <n v="14"/>
    <n v="5"/>
    <n v="15"/>
    <x v="0"/>
  </r>
  <r>
    <n v="35"/>
    <x v="0"/>
    <s v="Travel_Frequently"/>
    <n v="130"/>
    <s v="Research &amp; Development"/>
    <n v="25"/>
    <n v="4"/>
    <s v="Life Sciences"/>
    <n v="881"/>
    <n v="4"/>
    <s v="Female"/>
    <n v="96"/>
    <n v="3"/>
    <n v="1"/>
    <s v="Research Scientist"/>
    <n v="2"/>
    <s v="Divorced"/>
    <n v="2022"/>
    <n v="16612"/>
    <n v="1"/>
    <s v="Yes"/>
    <n v="19"/>
    <n v="3"/>
    <n v="1"/>
    <n v="1"/>
    <n v="10"/>
    <n v="3"/>
    <n v="2"/>
    <n v="10"/>
    <n v="2"/>
    <n v="7"/>
    <n v="8"/>
    <x v="0"/>
  </r>
  <r>
    <n v="32"/>
    <x v="1"/>
    <s v="Non-Travel"/>
    <n v="300"/>
    <s v="Research &amp; Development"/>
    <n v="1"/>
    <n v="3"/>
    <s v="Life Sciences"/>
    <n v="882"/>
    <n v="4"/>
    <s v="Male"/>
    <n v="61"/>
    <n v="3"/>
    <n v="1"/>
    <s v="Laboratory Technician"/>
    <n v="4"/>
    <s v="Divorced"/>
    <n v="2314"/>
    <n v="9148"/>
    <n v="0"/>
    <s v="No"/>
    <n v="12"/>
    <n v="3"/>
    <n v="2"/>
    <n v="1"/>
    <n v="4"/>
    <n v="2"/>
    <n v="3"/>
    <n v="3"/>
    <n v="0"/>
    <n v="0"/>
    <n v="2"/>
    <x v="2"/>
  </r>
  <r>
    <n v="25"/>
    <x v="1"/>
    <s v="Travel_Rarely"/>
    <n v="583"/>
    <s v="Sales"/>
    <n v="4"/>
    <n v="1"/>
    <s v="Marketing"/>
    <n v="885"/>
    <n v="3"/>
    <s v="Male"/>
    <n v="87"/>
    <n v="2"/>
    <n v="2"/>
    <s v="Sales Executive"/>
    <n v="1"/>
    <s v="Married"/>
    <n v="4256"/>
    <n v="18154"/>
    <n v="1"/>
    <s v="No"/>
    <n v="12"/>
    <n v="3"/>
    <n v="1"/>
    <n v="0"/>
    <n v="5"/>
    <n v="1"/>
    <n v="4"/>
    <n v="5"/>
    <n v="2"/>
    <n v="0"/>
    <n v="3"/>
    <x v="2"/>
  </r>
  <r>
    <n v="49"/>
    <x v="1"/>
    <s v="Travel_Rarely"/>
    <n v="1418"/>
    <s v="Research &amp; Development"/>
    <n v="1"/>
    <n v="3"/>
    <s v="Technical Degree"/>
    <n v="887"/>
    <n v="3"/>
    <s v="Female"/>
    <n v="36"/>
    <n v="3"/>
    <n v="1"/>
    <s v="Research Scientist"/>
    <n v="1"/>
    <s v="Married"/>
    <n v="3580"/>
    <n v="10554"/>
    <n v="2"/>
    <s v="No"/>
    <n v="16"/>
    <n v="3"/>
    <n v="2"/>
    <n v="1"/>
    <n v="7"/>
    <n v="2"/>
    <n v="3"/>
    <n v="4"/>
    <n v="2"/>
    <n v="0"/>
    <n v="2"/>
    <x v="1"/>
  </r>
  <r>
    <n v="24"/>
    <x v="1"/>
    <s v="Non-Travel"/>
    <n v="1269"/>
    <s v="Research &amp; Development"/>
    <n v="4"/>
    <n v="1"/>
    <s v="Life Sciences"/>
    <n v="888"/>
    <n v="1"/>
    <s v="Male"/>
    <n v="46"/>
    <n v="2"/>
    <n v="1"/>
    <s v="Laboratory Technician"/>
    <n v="4"/>
    <s v="Married"/>
    <n v="3162"/>
    <n v="10778"/>
    <n v="0"/>
    <s v="No"/>
    <n v="17"/>
    <n v="3"/>
    <n v="4"/>
    <n v="0"/>
    <n v="6"/>
    <n v="2"/>
    <n v="2"/>
    <n v="5"/>
    <n v="2"/>
    <n v="3"/>
    <n v="4"/>
    <x v="2"/>
  </r>
  <r>
    <n v="32"/>
    <x v="1"/>
    <s v="Travel_Frequently"/>
    <n v="379"/>
    <s v="Sales"/>
    <n v="5"/>
    <n v="2"/>
    <s v="Life Sciences"/>
    <n v="889"/>
    <n v="2"/>
    <s v="Male"/>
    <n v="48"/>
    <n v="3"/>
    <n v="2"/>
    <s v="Sales Executive"/>
    <n v="2"/>
    <s v="Married"/>
    <n v="6524"/>
    <n v="8891"/>
    <n v="1"/>
    <s v="No"/>
    <n v="14"/>
    <n v="3"/>
    <n v="4"/>
    <n v="1"/>
    <n v="10"/>
    <n v="3"/>
    <n v="3"/>
    <n v="10"/>
    <n v="8"/>
    <n v="5"/>
    <n v="3"/>
    <x v="2"/>
  </r>
  <r>
    <n v="38"/>
    <x v="1"/>
    <s v="Travel_Rarely"/>
    <n v="395"/>
    <s v="Sales"/>
    <n v="9"/>
    <n v="3"/>
    <s v="Marketing"/>
    <n v="893"/>
    <n v="2"/>
    <s v="Male"/>
    <n v="98"/>
    <n v="2"/>
    <n v="1"/>
    <s v="Sales Representative"/>
    <n v="2"/>
    <s v="Married"/>
    <n v="2899"/>
    <n v="12102"/>
    <n v="0"/>
    <s v="No"/>
    <n v="19"/>
    <n v="3"/>
    <n v="4"/>
    <n v="1"/>
    <n v="3"/>
    <n v="3"/>
    <n v="3"/>
    <n v="2"/>
    <n v="2"/>
    <n v="1"/>
    <n v="2"/>
    <x v="0"/>
  </r>
  <r>
    <n v="42"/>
    <x v="1"/>
    <s v="Travel_Rarely"/>
    <n v="1265"/>
    <s v="Research &amp; Development"/>
    <n v="3"/>
    <n v="3"/>
    <s v="Life Sciences"/>
    <n v="894"/>
    <n v="3"/>
    <s v="Female"/>
    <n v="95"/>
    <n v="4"/>
    <n v="2"/>
    <s v="Laboratory Technician"/>
    <n v="4"/>
    <s v="Married"/>
    <n v="5231"/>
    <n v="23726"/>
    <n v="2"/>
    <s v="Yes"/>
    <n v="13"/>
    <n v="3"/>
    <n v="2"/>
    <n v="1"/>
    <n v="17"/>
    <n v="1"/>
    <n v="2"/>
    <n v="5"/>
    <n v="3"/>
    <n v="1"/>
    <n v="3"/>
    <x v="0"/>
  </r>
  <r>
    <n v="31"/>
    <x v="1"/>
    <s v="Travel_Rarely"/>
    <n v="1222"/>
    <s v="Research &amp; Development"/>
    <n v="11"/>
    <n v="4"/>
    <s v="Life Sciences"/>
    <n v="895"/>
    <n v="4"/>
    <s v="Male"/>
    <n v="48"/>
    <n v="3"/>
    <n v="1"/>
    <s v="Research Scientist"/>
    <n v="4"/>
    <s v="Married"/>
    <n v="2356"/>
    <n v="14871"/>
    <n v="3"/>
    <s v="Yes"/>
    <n v="19"/>
    <n v="3"/>
    <n v="2"/>
    <n v="1"/>
    <n v="8"/>
    <n v="2"/>
    <n v="3"/>
    <n v="6"/>
    <n v="4"/>
    <n v="0"/>
    <n v="2"/>
    <x v="2"/>
  </r>
  <r>
    <n v="29"/>
    <x v="0"/>
    <s v="Travel_Rarely"/>
    <n v="341"/>
    <s v="Sales"/>
    <n v="1"/>
    <n v="3"/>
    <s v="Medical"/>
    <n v="896"/>
    <n v="2"/>
    <s v="Female"/>
    <n v="48"/>
    <n v="2"/>
    <n v="1"/>
    <s v="Sales Representative"/>
    <n v="3"/>
    <s v="Divorced"/>
    <n v="2800"/>
    <n v="23522"/>
    <n v="6"/>
    <s v="Yes"/>
    <n v="19"/>
    <n v="3"/>
    <n v="3"/>
    <n v="3"/>
    <n v="5"/>
    <n v="3"/>
    <n v="3"/>
    <n v="3"/>
    <n v="2"/>
    <n v="0"/>
    <n v="2"/>
    <x v="2"/>
  </r>
  <r>
    <n v="53"/>
    <x v="1"/>
    <s v="Travel_Rarely"/>
    <n v="868"/>
    <s v="Sales"/>
    <n v="8"/>
    <n v="3"/>
    <s v="Marketing"/>
    <n v="897"/>
    <n v="1"/>
    <s v="Male"/>
    <n v="73"/>
    <n v="3"/>
    <n v="4"/>
    <s v="Sales Executive"/>
    <n v="4"/>
    <s v="Married"/>
    <n v="11836"/>
    <n v="22789"/>
    <n v="5"/>
    <s v="No"/>
    <n v="14"/>
    <n v="3"/>
    <n v="3"/>
    <n v="1"/>
    <n v="28"/>
    <n v="3"/>
    <n v="3"/>
    <n v="2"/>
    <n v="0"/>
    <n v="2"/>
    <n v="2"/>
    <x v="1"/>
  </r>
  <r>
    <n v="35"/>
    <x v="1"/>
    <s v="Travel_Rarely"/>
    <n v="672"/>
    <s v="Research &amp; Development"/>
    <n v="25"/>
    <n v="3"/>
    <s v="Technical Degree"/>
    <n v="899"/>
    <n v="4"/>
    <s v="Male"/>
    <n v="78"/>
    <n v="2"/>
    <n v="3"/>
    <s v="Manufacturing Director"/>
    <n v="2"/>
    <s v="Married"/>
    <n v="10903"/>
    <n v="9129"/>
    <n v="3"/>
    <s v="No"/>
    <n v="16"/>
    <n v="3"/>
    <n v="1"/>
    <n v="0"/>
    <n v="16"/>
    <n v="2"/>
    <n v="3"/>
    <n v="13"/>
    <n v="10"/>
    <n v="4"/>
    <n v="8"/>
    <x v="0"/>
  </r>
  <r>
    <n v="37"/>
    <x v="1"/>
    <s v="Travel_Frequently"/>
    <n v="1231"/>
    <s v="Sales"/>
    <n v="21"/>
    <n v="2"/>
    <s v="Medical"/>
    <n v="900"/>
    <n v="3"/>
    <s v="Female"/>
    <n v="54"/>
    <n v="3"/>
    <n v="1"/>
    <s v="Sales Representative"/>
    <n v="4"/>
    <s v="Married"/>
    <n v="2973"/>
    <n v="21222"/>
    <n v="5"/>
    <s v="No"/>
    <n v="15"/>
    <n v="3"/>
    <n v="2"/>
    <n v="1"/>
    <n v="10"/>
    <n v="3"/>
    <n v="3"/>
    <n v="5"/>
    <n v="4"/>
    <n v="0"/>
    <n v="0"/>
    <x v="0"/>
  </r>
  <r>
    <n v="53"/>
    <x v="1"/>
    <s v="Travel_Rarely"/>
    <n v="102"/>
    <s v="Research &amp; Development"/>
    <n v="23"/>
    <n v="4"/>
    <s v="Life Sciences"/>
    <n v="901"/>
    <n v="4"/>
    <s v="Female"/>
    <n v="72"/>
    <n v="3"/>
    <n v="4"/>
    <s v="Research Director"/>
    <n v="4"/>
    <s v="Single"/>
    <n v="14275"/>
    <n v="20206"/>
    <n v="6"/>
    <s v="No"/>
    <n v="18"/>
    <n v="3"/>
    <n v="3"/>
    <n v="0"/>
    <n v="33"/>
    <n v="0"/>
    <n v="3"/>
    <n v="12"/>
    <n v="9"/>
    <n v="3"/>
    <n v="8"/>
    <x v="1"/>
  </r>
  <r>
    <n v="43"/>
    <x v="1"/>
    <s v="Travel_Frequently"/>
    <n v="422"/>
    <s v="Research &amp; Development"/>
    <n v="1"/>
    <n v="3"/>
    <s v="Life Sciences"/>
    <n v="902"/>
    <n v="4"/>
    <s v="Female"/>
    <n v="33"/>
    <n v="3"/>
    <n v="2"/>
    <s v="Healthcare Representative"/>
    <n v="4"/>
    <s v="Married"/>
    <n v="5562"/>
    <n v="21782"/>
    <n v="4"/>
    <s v="No"/>
    <n v="13"/>
    <n v="3"/>
    <n v="2"/>
    <n v="1"/>
    <n v="12"/>
    <n v="2"/>
    <n v="2"/>
    <n v="5"/>
    <n v="2"/>
    <n v="2"/>
    <n v="2"/>
    <x v="0"/>
  </r>
  <r>
    <n v="47"/>
    <x v="1"/>
    <s v="Travel_Rarely"/>
    <n v="249"/>
    <s v="Sales"/>
    <n v="2"/>
    <n v="2"/>
    <s v="Marketing"/>
    <n v="903"/>
    <n v="3"/>
    <s v="Female"/>
    <n v="35"/>
    <n v="3"/>
    <n v="2"/>
    <s v="Sales Executive"/>
    <n v="4"/>
    <s v="Married"/>
    <n v="4537"/>
    <n v="17783"/>
    <n v="0"/>
    <s v="Yes"/>
    <n v="22"/>
    <n v="4"/>
    <n v="1"/>
    <n v="1"/>
    <n v="8"/>
    <n v="2"/>
    <n v="3"/>
    <n v="7"/>
    <n v="6"/>
    <n v="7"/>
    <n v="7"/>
    <x v="1"/>
  </r>
  <r>
    <n v="37"/>
    <x v="1"/>
    <s v="Non-Travel"/>
    <n v="1252"/>
    <s v="Sales"/>
    <n v="19"/>
    <n v="2"/>
    <s v="Medical"/>
    <n v="904"/>
    <n v="1"/>
    <s v="Male"/>
    <n v="32"/>
    <n v="3"/>
    <n v="3"/>
    <s v="Sales Executive"/>
    <n v="2"/>
    <s v="Single"/>
    <n v="7642"/>
    <n v="4814"/>
    <n v="1"/>
    <s v="Yes"/>
    <n v="13"/>
    <n v="3"/>
    <n v="4"/>
    <n v="0"/>
    <n v="10"/>
    <n v="2"/>
    <n v="3"/>
    <n v="10"/>
    <n v="0"/>
    <n v="0"/>
    <n v="9"/>
    <x v="0"/>
  </r>
  <r>
    <n v="50"/>
    <x v="1"/>
    <s v="Non-Travel"/>
    <n v="881"/>
    <s v="Research &amp; Development"/>
    <n v="2"/>
    <n v="4"/>
    <s v="Life Sciences"/>
    <n v="905"/>
    <n v="1"/>
    <s v="Male"/>
    <n v="98"/>
    <n v="3"/>
    <n v="4"/>
    <s v="Manager"/>
    <n v="1"/>
    <s v="Divorced"/>
    <n v="17924"/>
    <n v="4544"/>
    <n v="1"/>
    <s v="No"/>
    <n v="11"/>
    <n v="3"/>
    <n v="4"/>
    <n v="1"/>
    <n v="31"/>
    <n v="3"/>
    <n v="3"/>
    <n v="31"/>
    <n v="6"/>
    <n v="14"/>
    <n v="7"/>
    <x v="1"/>
  </r>
  <r>
    <n v="39"/>
    <x v="1"/>
    <s v="Travel_Rarely"/>
    <n v="1383"/>
    <s v="Human Resources"/>
    <n v="2"/>
    <n v="3"/>
    <s v="Life Sciences"/>
    <n v="909"/>
    <n v="4"/>
    <s v="Female"/>
    <n v="42"/>
    <n v="2"/>
    <n v="2"/>
    <s v="Human Resources"/>
    <n v="4"/>
    <s v="Married"/>
    <n v="5204"/>
    <n v="7790"/>
    <n v="8"/>
    <s v="No"/>
    <n v="11"/>
    <n v="3"/>
    <n v="3"/>
    <n v="2"/>
    <n v="13"/>
    <n v="2"/>
    <n v="3"/>
    <n v="5"/>
    <n v="4"/>
    <n v="0"/>
    <n v="4"/>
    <x v="0"/>
  </r>
  <r>
    <n v="33"/>
    <x v="1"/>
    <s v="Travel_Rarely"/>
    <n v="1075"/>
    <s v="Human Resources"/>
    <n v="3"/>
    <n v="2"/>
    <s v="Human Resources"/>
    <n v="910"/>
    <n v="4"/>
    <s v="Male"/>
    <n v="57"/>
    <n v="3"/>
    <n v="1"/>
    <s v="Human Resources"/>
    <n v="2"/>
    <s v="Divorced"/>
    <n v="2277"/>
    <n v="22650"/>
    <n v="3"/>
    <s v="Yes"/>
    <n v="11"/>
    <n v="3"/>
    <n v="3"/>
    <n v="1"/>
    <n v="7"/>
    <n v="4"/>
    <n v="4"/>
    <n v="4"/>
    <n v="3"/>
    <n v="0"/>
    <n v="3"/>
    <x v="2"/>
  </r>
  <r>
    <n v="32"/>
    <x v="0"/>
    <s v="Travel_Rarely"/>
    <n v="374"/>
    <s v="Research &amp; Development"/>
    <n v="25"/>
    <n v="4"/>
    <s v="Life Sciences"/>
    <n v="911"/>
    <n v="1"/>
    <s v="Male"/>
    <n v="87"/>
    <n v="3"/>
    <n v="1"/>
    <s v="Laboratory Technician"/>
    <n v="4"/>
    <s v="Single"/>
    <n v="2795"/>
    <n v="18016"/>
    <n v="1"/>
    <s v="Yes"/>
    <n v="24"/>
    <n v="4"/>
    <n v="3"/>
    <n v="0"/>
    <n v="1"/>
    <n v="2"/>
    <n v="1"/>
    <n v="1"/>
    <n v="0"/>
    <n v="0"/>
    <n v="1"/>
    <x v="2"/>
  </r>
  <r>
    <n v="29"/>
    <x v="1"/>
    <s v="Travel_Rarely"/>
    <n v="1086"/>
    <s v="Research &amp; Development"/>
    <n v="7"/>
    <n v="1"/>
    <s v="Medical"/>
    <n v="912"/>
    <n v="1"/>
    <s v="Female"/>
    <n v="62"/>
    <n v="2"/>
    <n v="1"/>
    <s v="Laboratory Technician"/>
    <n v="4"/>
    <s v="Divorced"/>
    <n v="2532"/>
    <n v="6054"/>
    <n v="6"/>
    <s v="No"/>
    <n v="14"/>
    <n v="3"/>
    <n v="3"/>
    <n v="3"/>
    <n v="8"/>
    <n v="5"/>
    <n v="3"/>
    <n v="4"/>
    <n v="3"/>
    <n v="0"/>
    <n v="3"/>
    <x v="2"/>
  </r>
  <r>
    <n v="44"/>
    <x v="1"/>
    <s v="Travel_Rarely"/>
    <n v="661"/>
    <s v="Research &amp; Development"/>
    <n v="9"/>
    <n v="2"/>
    <s v="Life Sciences"/>
    <n v="913"/>
    <n v="2"/>
    <s v="Male"/>
    <n v="61"/>
    <n v="3"/>
    <n v="1"/>
    <s v="Research Scientist"/>
    <n v="1"/>
    <s v="Married"/>
    <n v="2559"/>
    <n v="7508"/>
    <n v="1"/>
    <s v="Yes"/>
    <n v="13"/>
    <n v="3"/>
    <n v="4"/>
    <n v="0"/>
    <n v="8"/>
    <n v="0"/>
    <n v="3"/>
    <n v="8"/>
    <n v="7"/>
    <n v="7"/>
    <n v="1"/>
    <x v="0"/>
  </r>
  <r>
    <n v="28"/>
    <x v="1"/>
    <s v="Travel_Rarely"/>
    <n v="821"/>
    <s v="Sales"/>
    <n v="5"/>
    <n v="4"/>
    <s v="Medical"/>
    <n v="916"/>
    <n v="1"/>
    <s v="Male"/>
    <n v="98"/>
    <n v="3"/>
    <n v="2"/>
    <s v="Sales Executive"/>
    <n v="4"/>
    <s v="Single"/>
    <n v="4908"/>
    <n v="24252"/>
    <n v="1"/>
    <s v="No"/>
    <n v="14"/>
    <n v="3"/>
    <n v="2"/>
    <n v="0"/>
    <n v="4"/>
    <n v="3"/>
    <n v="3"/>
    <n v="4"/>
    <n v="2"/>
    <n v="0"/>
    <n v="2"/>
    <x v="2"/>
  </r>
  <r>
    <n v="58"/>
    <x v="0"/>
    <s v="Travel_Frequently"/>
    <n v="781"/>
    <s v="Research &amp; Development"/>
    <n v="2"/>
    <n v="1"/>
    <s v="Life Sciences"/>
    <n v="918"/>
    <n v="4"/>
    <s v="Male"/>
    <n v="57"/>
    <n v="2"/>
    <n v="1"/>
    <s v="Laboratory Technician"/>
    <n v="4"/>
    <s v="Divorced"/>
    <n v="2380"/>
    <n v="13384"/>
    <n v="9"/>
    <s v="Yes"/>
    <n v="14"/>
    <n v="3"/>
    <n v="4"/>
    <n v="1"/>
    <n v="3"/>
    <n v="3"/>
    <n v="2"/>
    <n v="1"/>
    <n v="0"/>
    <n v="0"/>
    <n v="0"/>
    <x v="3"/>
  </r>
  <r>
    <n v="43"/>
    <x v="1"/>
    <s v="Travel_Rarely"/>
    <n v="177"/>
    <s v="Research &amp; Development"/>
    <n v="8"/>
    <n v="3"/>
    <s v="Life Sciences"/>
    <n v="920"/>
    <n v="1"/>
    <s v="Female"/>
    <n v="55"/>
    <n v="3"/>
    <n v="2"/>
    <s v="Manufacturing Director"/>
    <n v="2"/>
    <s v="Divorced"/>
    <n v="4765"/>
    <n v="23814"/>
    <n v="4"/>
    <s v="No"/>
    <n v="21"/>
    <n v="4"/>
    <n v="3"/>
    <n v="1"/>
    <n v="4"/>
    <n v="2"/>
    <n v="4"/>
    <n v="1"/>
    <n v="0"/>
    <n v="0"/>
    <n v="0"/>
    <x v="0"/>
  </r>
  <r>
    <n v="20"/>
    <x v="0"/>
    <s v="Travel_Rarely"/>
    <n v="500"/>
    <s v="Sales"/>
    <n v="2"/>
    <n v="3"/>
    <s v="Medical"/>
    <n v="922"/>
    <n v="3"/>
    <s v="Female"/>
    <n v="49"/>
    <n v="2"/>
    <n v="1"/>
    <s v="Sales Representative"/>
    <n v="3"/>
    <s v="Single"/>
    <n v="2044"/>
    <n v="22052"/>
    <n v="1"/>
    <s v="No"/>
    <n v="13"/>
    <n v="3"/>
    <n v="4"/>
    <n v="0"/>
    <n v="2"/>
    <n v="3"/>
    <n v="2"/>
    <n v="2"/>
    <n v="2"/>
    <n v="0"/>
    <n v="2"/>
    <x v="2"/>
  </r>
  <r>
    <n v="21"/>
    <x v="0"/>
    <s v="Travel_Rarely"/>
    <n v="1427"/>
    <s v="Research &amp; Development"/>
    <n v="18"/>
    <n v="1"/>
    <s v="Other"/>
    <n v="923"/>
    <n v="4"/>
    <s v="Female"/>
    <n v="65"/>
    <n v="3"/>
    <n v="1"/>
    <s v="Research Scientist"/>
    <n v="4"/>
    <s v="Single"/>
    <n v="2693"/>
    <n v="8870"/>
    <n v="1"/>
    <s v="No"/>
    <n v="19"/>
    <n v="3"/>
    <n v="1"/>
    <n v="0"/>
    <n v="1"/>
    <n v="3"/>
    <n v="2"/>
    <n v="1"/>
    <n v="0"/>
    <n v="0"/>
    <n v="0"/>
    <x v="2"/>
  </r>
  <r>
    <n v="36"/>
    <x v="1"/>
    <s v="Travel_Rarely"/>
    <n v="1425"/>
    <s v="Research &amp; Development"/>
    <n v="14"/>
    <n v="1"/>
    <s v="Life Sciences"/>
    <n v="924"/>
    <n v="3"/>
    <s v="Male"/>
    <n v="68"/>
    <n v="3"/>
    <n v="2"/>
    <s v="Healthcare Representative"/>
    <n v="4"/>
    <s v="Married"/>
    <n v="6586"/>
    <n v="4821"/>
    <n v="0"/>
    <s v="Yes"/>
    <n v="17"/>
    <n v="3"/>
    <n v="1"/>
    <n v="1"/>
    <n v="17"/>
    <n v="2"/>
    <n v="2"/>
    <n v="16"/>
    <n v="8"/>
    <n v="4"/>
    <n v="11"/>
    <x v="0"/>
  </r>
  <r>
    <n v="47"/>
    <x v="1"/>
    <s v="Travel_Rarely"/>
    <n v="1454"/>
    <s v="Sales"/>
    <n v="2"/>
    <n v="4"/>
    <s v="Life Sciences"/>
    <n v="925"/>
    <n v="4"/>
    <s v="Female"/>
    <n v="65"/>
    <n v="2"/>
    <n v="1"/>
    <s v="Sales Representative"/>
    <n v="4"/>
    <s v="Single"/>
    <n v="3294"/>
    <n v="13137"/>
    <n v="1"/>
    <s v="Yes"/>
    <n v="18"/>
    <n v="3"/>
    <n v="1"/>
    <n v="0"/>
    <n v="3"/>
    <n v="3"/>
    <n v="2"/>
    <n v="3"/>
    <n v="2"/>
    <n v="1"/>
    <n v="2"/>
    <x v="1"/>
  </r>
  <r>
    <n v="22"/>
    <x v="0"/>
    <s v="Travel_Rarely"/>
    <n v="617"/>
    <s v="Research &amp; Development"/>
    <n v="3"/>
    <n v="1"/>
    <s v="Life Sciences"/>
    <n v="926"/>
    <n v="2"/>
    <s v="Female"/>
    <n v="34"/>
    <n v="3"/>
    <n v="2"/>
    <s v="Manufacturing Director"/>
    <n v="3"/>
    <s v="Married"/>
    <n v="4171"/>
    <n v="10022"/>
    <n v="0"/>
    <s v="Yes"/>
    <n v="19"/>
    <n v="3"/>
    <n v="1"/>
    <n v="1"/>
    <n v="4"/>
    <n v="3"/>
    <n v="4"/>
    <n v="3"/>
    <n v="2"/>
    <n v="0"/>
    <n v="2"/>
    <x v="2"/>
  </r>
  <r>
    <n v="41"/>
    <x v="0"/>
    <s v="Travel_Rarely"/>
    <n v="1085"/>
    <s v="Research &amp; Development"/>
    <n v="2"/>
    <n v="4"/>
    <s v="Life Sciences"/>
    <n v="927"/>
    <n v="2"/>
    <s v="Female"/>
    <n v="57"/>
    <n v="1"/>
    <n v="1"/>
    <s v="Laboratory Technician"/>
    <n v="4"/>
    <s v="Divorced"/>
    <n v="2778"/>
    <n v="17725"/>
    <n v="4"/>
    <s v="Yes"/>
    <n v="13"/>
    <n v="3"/>
    <n v="3"/>
    <n v="1"/>
    <n v="10"/>
    <n v="1"/>
    <n v="2"/>
    <n v="7"/>
    <n v="7"/>
    <n v="1"/>
    <n v="0"/>
    <x v="0"/>
  </r>
  <r>
    <n v="28"/>
    <x v="1"/>
    <s v="Travel_Rarely"/>
    <n v="995"/>
    <s v="Research &amp; Development"/>
    <n v="9"/>
    <n v="3"/>
    <s v="Medical"/>
    <n v="930"/>
    <n v="3"/>
    <s v="Female"/>
    <n v="77"/>
    <n v="3"/>
    <n v="1"/>
    <s v="Research Scientist"/>
    <n v="3"/>
    <s v="Divorced"/>
    <n v="2377"/>
    <n v="9834"/>
    <n v="5"/>
    <s v="No"/>
    <n v="18"/>
    <n v="3"/>
    <n v="2"/>
    <n v="1"/>
    <n v="6"/>
    <n v="2"/>
    <n v="3"/>
    <n v="2"/>
    <n v="2"/>
    <n v="2"/>
    <n v="2"/>
    <x v="2"/>
  </r>
  <r>
    <n v="39"/>
    <x v="0"/>
    <s v="Travel_Rarely"/>
    <n v="1122"/>
    <s v="Research &amp; Development"/>
    <n v="6"/>
    <n v="3"/>
    <s v="Medical"/>
    <n v="932"/>
    <n v="4"/>
    <s v="Male"/>
    <n v="70"/>
    <n v="3"/>
    <n v="1"/>
    <s v="Laboratory Technician"/>
    <n v="1"/>
    <s v="Married"/>
    <n v="2404"/>
    <n v="4303"/>
    <n v="7"/>
    <s v="Yes"/>
    <n v="21"/>
    <n v="4"/>
    <n v="4"/>
    <n v="0"/>
    <n v="8"/>
    <n v="2"/>
    <n v="1"/>
    <n v="2"/>
    <n v="2"/>
    <n v="2"/>
    <n v="2"/>
    <x v="0"/>
  </r>
  <r>
    <n v="27"/>
    <x v="1"/>
    <s v="Travel_Rarely"/>
    <n v="618"/>
    <s v="Research &amp; Development"/>
    <n v="4"/>
    <n v="3"/>
    <s v="Life Sciences"/>
    <n v="933"/>
    <n v="2"/>
    <s v="Female"/>
    <n v="76"/>
    <n v="3"/>
    <n v="1"/>
    <s v="Research Scientist"/>
    <n v="3"/>
    <s v="Single"/>
    <n v="2318"/>
    <n v="17808"/>
    <n v="1"/>
    <s v="No"/>
    <n v="19"/>
    <n v="3"/>
    <n v="3"/>
    <n v="0"/>
    <n v="1"/>
    <n v="2"/>
    <n v="3"/>
    <n v="1"/>
    <n v="1"/>
    <n v="0"/>
    <n v="0"/>
    <x v="2"/>
  </r>
  <r>
    <n v="34"/>
    <x v="1"/>
    <s v="Travel_Rarely"/>
    <n v="546"/>
    <s v="Research &amp; Development"/>
    <n v="10"/>
    <n v="3"/>
    <s v="Life Sciences"/>
    <n v="934"/>
    <n v="2"/>
    <s v="Male"/>
    <n v="83"/>
    <n v="3"/>
    <n v="1"/>
    <s v="Laboratory Technician"/>
    <n v="2"/>
    <s v="Divorced"/>
    <n v="2008"/>
    <n v="6896"/>
    <n v="1"/>
    <s v="No"/>
    <n v="14"/>
    <n v="3"/>
    <n v="2"/>
    <n v="2"/>
    <n v="1"/>
    <n v="3"/>
    <n v="3"/>
    <n v="1"/>
    <n v="0"/>
    <n v="1"/>
    <n v="0"/>
    <x v="2"/>
  </r>
  <r>
    <n v="42"/>
    <x v="1"/>
    <s v="Travel_Rarely"/>
    <n v="462"/>
    <s v="Sales"/>
    <n v="14"/>
    <n v="2"/>
    <s v="Medical"/>
    <n v="936"/>
    <n v="3"/>
    <s v="Female"/>
    <n v="68"/>
    <n v="2"/>
    <n v="2"/>
    <s v="Sales Executive"/>
    <n v="3"/>
    <s v="Single"/>
    <n v="6244"/>
    <n v="7824"/>
    <n v="7"/>
    <s v="No"/>
    <n v="17"/>
    <n v="3"/>
    <n v="1"/>
    <n v="0"/>
    <n v="10"/>
    <n v="6"/>
    <n v="3"/>
    <n v="5"/>
    <n v="4"/>
    <n v="0"/>
    <n v="3"/>
    <x v="0"/>
  </r>
  <r>
    <n v="33"/>
    <x v="1"/>
    <s v="Travel_Rarely"/>
    <n v="1198"/>
    <s v="Research &amp; Development"/>
    <n v="1"/>
    <n v="4"/>
    <s v="Other"/>
    <n v="939"/>
    <n v="3"/>
    <s v="Male"/>
    <n v="100"/>
    <n v="2"/>
    <n v="1"/>
    <s v="Research Scientist"/>
    <n v="1"/>
    <s v="Single"/>
    <n v="2799"/>
    <n v="3339"/>
    <n v="3"/>
    <s v="Yes"/>
    <n v="11"/>
    <n v="3"/>
    <n v="2"/>
    <n v="0"/>
    <n v="6"/>
    <n v="1"/>
    <n v="3"/>
    <n v="3"/>
    <n v="2"/>
    <n v="0"/>
    <n v="2"/>
    <x v="2"/>
  </r>
  <r>
    <n v="58"/>
    <x v="1"/>
    <s v="Travel_Rarely"/>
    <n v="1272"/>
    <s v="Research &amp; Development"/>
    <n v="5"/>
    <n v="3"/>
    <s v="Technical Degree"/>
    <n v="940"/>
    <n v="3"/>
    <s v="Female"/>
    <n v="37"/>
    <n v="2"/>
    <n v="3"/>
    <s v="Healthcare Representative"/>
    <n v="2"/>
    <s v="Divorced"/>
    <n v="10552"/>
    <n v="9255"/>
    <n v="2"/>
    <s v="Yes"/>
    <n v="13"/>
    <n v="3"/>
    <n v="4"/>
    <n v="1"/>
    <n v="24"/>
    <n v="3"/>
    <n v="3"/>
    <n v="6"/>
    <n v="0"/>
    <n v="0"/>
    <n v="4"/>
    <x v="3"/>
  </r>
  <r>
    <n v="31"/>
    <x v="1"/>
    <s v="Travel_Rarely"/>
    <n v="154"/>
    <s v="Sales"/>
    <n v="7"/>
    <n v="4"/>
    <s v="Life Sciences"/>
    <n v="941"/>
    <n v="2"/>
    <s v="Male"/>
    <n v="41"/>
    <n v="2"/>
    <n v="1"/>
    <s v="Sales Representative"/>
    <n v="3"/>
    <s v="Married"/>
    <n v="2329"/>
    <n v="11737"/>
    <n v="3"/>
    <s v="No"/>
    <n v="15"/>
    <n v="3"/>
    <n v="2"/>
    <n v="0"/>
    <n v="13"/>
    <n v="2"/>
    <n v="4"/>
    <n v="7"/>
    <n v="7"/>
    <n v="5"/>
    <n v="2"/>
    <x v="2"/>
  </r>
  <r>
    <n v="35"/>
    <x v="1"/>
    <s v="Travel_Rarely"/>
    <n v="1137"/>
    <s v="Research &amp; Development"/>
    <n v="21"/>
    <n v="1"/>
    <s v="Life Sciences"/>
    <n v="942"/>
    <n v="4"/>
    <s v="Female"/>
    <n v="51"/>
    <n v="3"/>
    <n v="2"/>
    <s v="Healthcare Representative"/>
    <n v="4"/>
    <s v="Married"/>
    <n v="4014"/>
    <n v="19170"/>
    <n v="1"/>
    <s v="Yes"/>
    <n v="25"/>
    <n v="4"/>
    <n v="4"/>
    <n v="1"/>
    <n v="10"/>
    <n v="2"/>
    <n v="1"/>
    <n v="10"/>
    <n v="6"/>
    <n v="0"/>
    <n v="7"/>
    <x v="0"/>
  </r>
  <r>
    <n v="49"/>
    <x v="1"/>
    <s v="Travel_Rarely"/>
    <n v="527"/>
    <s v="Research &amp; Development"/>
    <n v="8"/>
    <n v="2"/>
    <s v="Other"/>
    <n v="944"/>
    <n v="1"/>
    <s v="Female"/>
    <n v="51"/>
    <n v="3"/>
    <n v="3"/>
    <s v="Laboratory Technician"/>
    <n v="2"/>
    <s v="Married"/>
    <n v="7403"/>
    <n v="22477"/>
    <n v="4"/>
    <s v="No"/>
    <n v="11"/>
    <n v="3"/>
    <n v="3"/>
    <n v="1"/>
    <n v="29"/>
    <n v="3"/>
    <n v="2"/>
    <n v="26"/>
    <n v="9"/>
    <n v="1"/>
    <n v="7"/>
    <x v="1"/>
  </r>
  <r>
    <n v="48"/>
    <x v="1"/>
    <s v="Travel_Rarely"/>
    <n v="1469"/>
    <s v="Research &amp; Development"/>
    <n v="20"/>
    <n v="4"/>
    <s v="Medical"/>
    <n v="945"/>
    <n v="4"/>
    <s v="Male"/>
    <n v="51"/>
    <n v="3"/>
    <n v="1"/>
    <s v="Research Scientist"/>
    <n v="3"/>
    <s v="Married"/>
    <n v="2259"/>
    <n v="5543"/>
    <n v="4"/>
    <s v="No"/>
    <n v="17"/>
    <n v="3"/>
    <n v="1"/>
    <n v="2"/>
    <n v="13"/>
    <n v="2"/>
    <n v="2"/>
    <n v="0"/>
    <n v="0"/>
    <n v="0"/>
    <n v="0"/>
    <x v="1"/>
  </r>
  <r>
    <n v="31"/>
    <x v="1"/>
    <s v="Non-Travel"/>
    <n v="1188"/>
    <s v="Sales"/>
    <n v="20"/>
    <n v="2"/>
    <s v="Marketing"/>
    <n v="947"/>
    <n v="4"/>
    <s v="Female"/>
    <n v="45"/>
    <n v="3"/>
    <n v="2"/>
    <s v="Sales Executive"/>
    <n v="3"/>
    <s v="Married"/>
    <n v="6932"/>
    <n v="24406"/>
    <n v="1"/>
    <s v="No"/>
    <n v="13"/>
    <n v="3"/>
    <n v="4"/>
    <n v="1"/>
    <n v="9"/>
    <n v="2"/>
    <n v="2"/>
    <n v="9"/>
    <n v="8"/>
    <n v="0"/>
    <n v="0"/>
    <x v="2"/>
  </r>
  <r>
    <n v="36"/>
    <x v="1"/>
    <s v="Travel_Rarely"/>
    <n v="188"/>
    <s v="Research &amp; Development"/>
    <n v="7"/>
    <n v="4"/>
    <s v="Other"/>
    <n v="949"/>
    <n v="2"/>
    <s v="Male"/>
    <n v="65"/>
    <n v="3"/>
    <n v="1"/>
    <s v="Research Scientist"/>
    <n v="4"/>
    <s v="Single"/>
    <n v="4678"/>
    <n v="23293"/>
    <n v="2"/>
    <s v="No"/>
    <n v="18"/>
    <n v="3"/>
    <n v="3"/>
    <n v="0"/>
    <n v="8"/>
    <n v="6"/>
    <n v="3"/>
    <n v="6"/>
    <n v="2"/>
    <n v="0"/>
    <n v="1"/>
    <x v="0"/>
  </r>
  <r>
    <n v="38"/>
    <x v="1"/>
    <s v="Travel_Rarely"/>
    <n v="1333"/>
    <s v="Research &amp; Development"/>
    <n v="1"/>
    <n v="3"/>
    <s v="Technical Degree"/>
    <n v="950"/>
    <n v="4"/>
    <s v="Female"/>
    <n v="80"/>
    <n v="3"/>
    <n v="3"/>
    <s v="Research Director"/>
    <n v="1"/>
    <s v="Married"/>
    <n v="13582"/>
    <n v="16292"/>
    <n v="1"/>
    <s v="No"/>
    <n v="13"/>
    <n v="3"/>
    <n v="2"/>
    <n v="1"/>
    <n v="15"/>
    <n v="3"/>
    <n v="3"/>
    <n v="15"/>
    <n v="12"/>
    <n v="5"/>
    <n v="11"/>
    <x v="0"/>
  </r>
  <r>
    <n v="32"/>
    <x v="1"/>
    <s v="Non-Travel"/>
    <n v="1184"/>
    <s v="Research &amp; Development"/>
    <n v="1"/>
    <n v="3"/>
    <s v="Life Sciences"/>
    <n v="951"/>
    <n v="3"/>
    <s v="Female"/>
    <n v="70"/>
    <n v="2"/>
    <n v="1"/>
    <s v="Laboratory Technician"/>
    <n v="2"/>
    <s v="Married"/>
    <n v="2332"/>
    <n v="3974"/>
    <n v="6"/>
    <s v="No"/>
    <n v="20"/>
    <n v="4"/>
    <n v="3"/>
    <n v="0"/>
    <n v="5"/>
    <n v="3"/>
    <n v="3"/>
    <n v="3"/>
    <n v="0"/>
    <n v="0"/>
    <n v="2"/>
    <x v="2"/>
  </r>
  <r>
    <n v="25"/>
    <x v="0"/>
    <s v="Travel_Rarely"/>
    <n v="867"/>
    <s v="Sales"/>
    <n v="19"/>
    <n v="2"/>
    <s v="Marketing"/>
    <n v="952"/>
    <n v="3"/>
    <s v="Male"/>
    <n v="36"/>
    <n v="2"/>
    <n v="1"/>
    <s v="Sales Representative"/>
    <n v="2"/>
    <s v="Married"/>
    <n v="2413"/>
    <n v="18798"/>
    <n v="1"/>
    <s v="Yes"/>
    <n v="18"/>
    <n v="3"/>
    <n v="3"/>
    <n v="3"/>
    <n v="1"/>
    <n v="2"/>
    <n v="3"/>
    <n v="1"/>
    <n v="0"/>
    <n v="0"/>
    <n v="0"/>
    <x v="2"/>
  </r>
  <r>
    <n v="40"/>
    <x v="1"/>
    <s v="Travel_Rarely"/>
    <n v="658"/>
    <s v="Sales"/>
    <n v="10"/>
    <n v="4"/>
    <s v="Marketing"/>
    <n v="954"/>
    <n v="1"/>
    <s v="Male"/>
    <n v="67"/>
    <n v="2"/>
    <n v="3"/>
    <s v="Sales Executive"/>
    <n v="2"/>
    <s v="Divorced"/>
    <n v="9705"/>
    <n v="20652"/>
    <n v="2"/>
    <s v="No"/>
    <n v="12"/>
    <n v="3"/>
    <n v="2"/>
    <n v="1"/>
    <n v="11"/>
    <n v="2"/>
    <n v="2"/>
    <n v="1"/>
    <n v="0"/>
    <n v="0"/>
    <n v="0"/>
    <x v="0"/>
  </r>
  <r>
    <n v="26"/>
    <x v="1"/>
    <s v="Travel_Frequently"/>
    <n v="1283"/>
    <s v="Sales"/>
    <n v="1"/>
    <n v="3"/>
    <s v="Medical"/>
    <n v="956"/>
    <n v="3"/>
    <s v="Male"/>
    <n v="52"/>
    <n v="2"/>
    <n v="2"/>
    <s v="Sales Executive"/>
    <n v="1"/>
    <s v="Single"/>
    <n v="4294"/>
    <n v="11148"/>
    <n v="1"/>
    <s v="No"/>
    <n v="12"/>
    <n v="3"/>
    <n v="2"/>
    <n v="0"/>
    <n v="7"/>
    <n v="2"/>
    <n v="3"/>
    <n v="7"/>
    <n v="7"/>
    <n v="0"/>
    <n v="7"/>
    <x v="2"/>
  </r>
  <r>
    <n v="41"/>
    <x v="1"/>
    <s v="Travel_Rarely"/>
    <n v="263"/>
    <s v="Research &amp; Development"/>
    <n v="6"/>
    <n v="3"/>
    <s v="Medical"/>
    <n v="957"/>
    <n v="4"/>
    <s v="Male"/>
    <n v="59"/>
    <n v="3"/>
    <n v="1"/>
    <s v="Laboratory Technician"/>
    <n v="1"/>
    <s v="Single"/>
    <n v="4721"/>
    <n v="3119"/>
    <n v="2"/>
    <s v="Yes"/>
    <n v="13"/>
    <n v="3"/>
    <n v="3"/>
    <n v="0"/>
    <n v="20"/>
    <n v="3"/>
    <n v="3"/>
    <n v="18"/>
    <n v="13"/>
    <n v="2"/>
    <n v="17"/>
    <x v="0"/>
  </r>
  <r>
    <n v="36"/>
    <x v="1"/>
    <s v="Travel_Rarely"/>
    <n v="938"/>
    <s v="Research &amp; Development"/>
    <n v="2"/>
    <n v="4"/>
    <s v="Medical"/>
    <n v="958"/>
    <n v="3"/>
    <s v="Male"/>
    <n v="79"/>
    <n v="3"/>
    <n v="1"/>
    <s v="Laboratory Technician"/>
    <n v="3"/>
    <s v="Single"/>
    <n v="2519"/>
    <n v="12287"/>
    <n v="4"/>
    <s v="No"/>
    <n v="21"/>
    <n v="4"/>
    <n v="3"/>
    <n v="0"/>
    <n v="16"/>
    <n v="6"/>
    <n v="3"/>
    <n v="11"/>
    <n v="8"/>
    <n v="3"/>
    <n v="9"/>
    <x v="0"/>
  </r>
  <r>
    <n v="19"/>
    <x v="0"/>
    <s v="Travel_Rarely"/>
    <n v="419"/>
    <s v="Sales"/>
    <n v="21"/>
    <n v="3"/>
    <s v="Other"/>
    <n v="959"/>
    <n v="4"/>
    <s v="Male"/>
    <n v="37"/>
    <n v="2"/>
    <n v="1"/>
    <s v="Sales Representative"/>
    <n v="2"/>
    <s v="Single"/>
    <n v="2121"/>
    <n v="9947"/>
    <n v="1"/>
    <s v="Yes"/>
    <n v="13"/>
    <n v="3"/>
    <n v="2"/>
    <n v="0"/>
    <n v="1"/>
    <n v="3"/>
    <n v="4"/>
    <n v="1"/>
    <n v="0"/>
    <n v="0"/>
    <n v="0"/>
    <x v="2"/>
  </r>
  <r>
    <n v="20"/>
    <x v="0"/>
    <s v="Travel_Rarely"/>
    <n v="129"/>
    <s v="Research &amp; Development"/>
    <n v="4"/>
    <n v="3"/>
    <s v="Technical Degree"/>
    <n v="960"/>
    <n v="1"/>
    <s v="Male"/>
    <n v="84"/>
    <n v="3"/>
    <n v="1"/>
    <s v="Laboratory Technician"/>
    <n v="1"/>
    <s v="Single"/>
    <n v="2973"/>
    <n v="13008"/>
    <n v="1"/>
    <s v="No"/>
    <n v="19"/>
    <n v="3"/>
    <n v="2"/>
    <n v="0"/>
    <n v="1"/>
    <n v="2"/>
    <n v="3"/>
    <n v="1"/>
    <n v="0"/>
    <n v="0"/>
    <n v="0"/>
    <x v="2"/>
  </r>
  <r>
    <n v="31"/>
    <x v="1"/>
    <s v="Travel_Rarely"/>
    <n v="616"/>
    <s v="Research &amp; Development"/>
    <n v="12"/>
    <n v="3"/>
    <s v="Medical"/>
    <n v="961"/>
    <n v="4"/>
    <s v="Female"/>
    <n v="41"/>
    <n v="3"/>
    <n v="2"/>
    <s v="Healthcare Representative"/>
    <n v="4"/>
    <s v="Married"/>
    <n v="5855"/>
    <n v="17369"/>
    <n v="0"/>
    <s v="Yes"/>
    <n v="11"/>
    <n v="3"/>
    <n v="3"/>
    <n v="2"/>
    <n v="10"/>
    <n v="2"/>
    <n v="1"/>
    <n v="9"/>
    <n v="7"/>
    <n v="8"/>
    <n v="5"/>
    <x v="2"/>
  </r>
  <r>
    <n v="40"/>
    <x v="1"/>
    <s v="Travel_Frequently"/>
    <n v="1469"/>
    <s v="Research &amp; Development"/>
    <n v="9"/>
    <n v="4"/>
    <s v="Medical"/>
    <n v="964"/>
    <n v="4"/>
    <s v="Male"/>
    <n v="35"/>
    <n v="3"/>
    <n v="1"/>
    <s v="Research Scientist"/>
    <n v="2"/>
    <s v="Divorced"/>
    <n v="3617"/>
    <n v="25063"/>
    <n v="8"/>
    <s v="Yes"/>
    <n v="14"/>
    <n v="3"/>
    <n v="4"/>
    <n v="1"/>
    <n v="3"/>
    <n v="2"/>
    <n v="3"/>
    <n v="1"/>
    <n v="1"/>
    <n v="0"/>
    <n v="0"/>
    <x v="0"/>
  </r>
  <r>
    <n v="32"/>
    <x v="1"/>
    <s v="Travel_Rarely"/>
    <n v="498"/>
    <s v="Research &amp; Development"/>
    <n v="3"/>
    <n v="4"/>
    <s v="Medical"/>
    <n v="966"/>
    <n v="3"/>
    <s v="Female"/>
    <n v="93"/>
    <n v="3"/>
    <n v="2"/>
    <s v="Manufacturing Director"/>
    <n v="1"/>
    <s v="Married"/>
    <n v="6725"/>
    <n v="13554"/>
    <n v="1"/>
    <s v="No"/>
    <n v="12"/>
    <n v="3"/>
    <n v="3"/>
    <n v="1"/>
    <n v="8"/>
    <n v="2"/>
    <n v="4"/>
    <n v="8"/>
    <n v="7"/>
    <n v="6"/>
    <n v="3"/>
    <x v="2"/>
  </r>
  <r>
    <n v="36"/>
    <x v="0"/>
    <s v="Travel_Rarely"/>
    <n v="530"/>
    <s v="Sales"/>
    <n v="3"/>
    <n v="1"/>
    <s v="Life Sciences"/>
    <n v="967"/>
    <n v="3"/>
    <s v="Male"/>
    <n v="51"/>
    <n v="2"/>
    <n v="3"/>
    <s v="Sales Executive"/>
    <n v="4"/>
    <s v="Married"/>
    <n v="10325"/>
    <n v="5518"/>
    <n v="1"/>
    <s v="Yes"/>
    <n v="11"/>
    <n v="3"/>
    <n v="1"/>
    <n v="1"/>
    <n v="16"/>
    <n v="6"/>
    <n v="3"/>
    <n v="16"/>
    <n v="7"/>
    <n v="3"/>
    <n v="7"/>
    <x v="0"/>
  </r>
  <r>
    <n v="33"/>
    <x v="1"/>
    <s v="Travel_Rarely"/>
    <n v="1069"/>
    <s v="Research &amp; Development"/>
    <n v="1"/>
    <n v="3"/>
    <s v="Life Sciences"/>
    <n v="969"/>
    <n v="2"/>
    <s v="Female"/>
    <n v="42"/>
    <n v="2"/>
    <n v="2"/>
    <s v="Healthcare Representative"/>
    <n v="4"/>
    <s v="Single"/>
    <n v="6949"/>
    <n v="12291"/>
    <n v="0"/>
    <s v="No"/>
    <n v="14"/>
    <n v="3"/>
    <n v="1"/>
    <n v="0"/>
    <n v="6"/>
    <n v="3"/>
    <n v="3"/>
    <n v="5"/>
    <n v="0"/>
    <n v="1"/>
    <n v="4"/>
    <x v="2"/>
  </r>
  <r>
    <n v="37"/>
    <x v="0"/>
    <s v="Travel_Rarely"/>
    <n v="625"/>
    <s v="Sales"/>
    <n v="1"/>
    <n v="4"/>
    <s v="Life Sciences"/>
    <n v="970"/>
    <n v="1"/>
    <s v="Male"/>
    <n v="46"/>
    <n v="2"/>
    <n v="3"/>
    <s v="Sales Executive"/>
    <n v="3"/>
    <s v="Married"/>
    <n v="10609"/>
    <n v="14922"/>
    <n v="5"/>
    <s v="No"/>
    <n v="11"/>
    <n v="3"/>
    <n v="3"/>
    <n v="0"/>
    <n v="17"/>
    <n v="2"/>
    <n v="1"/>
    <n v="14"/>
    <n v="1"/>
    <n v="11"/>
    <n v="7"/>
    <x v="0"/>
  </r>
  <r>
    <n v="45"/>
    <x v="1"/>
    <s v="Non-Travel"/>
    <n v="805"/>
    <s v="Research &amp; Development"/>
    <n v="4"/>
    <n v="2"/>
    <s v="Life Sciences"/>
    <n v="972"/>
    <n v="3"/>
    <s v="Male"/>
    <n v="57"/>
    <n v="3"/>
    <n v="2"/>
    <s v="Laboratory Technician"/>
    <n v="2"/>
    <s v="Married"/>
    <n v="4447"/>
    <n v="23163"/>
    <n v="1"/>
    <s v="No"/>
    <n v="12"/>
    <n v="3"/>
    <n v="2"/>
    <n v="0"/>
    <n v="9"/>
    <n v="5"/>
    <n v="2"/>
    <n v="9"/>
    <n v="7"/>
    <n v="0"/>
    <n v="8"/>
    <x v="1"/>
  </r>
  <r>
    <n v="29"/>
    <x v="1"/>
    <s v="Travel_Frequently"/>
    <n v="1404"/>
    <s v="Sales"/>
    <n v="20"/>
    <n v="3"/>
    <s v="Technical Degree"/>
    <n v="974"/>
    <n v="3"/>
    <s v="Female"/>
    <n v="84"/>
    <n v="3"/>
    <n v="1"/>
    <s v="Sales Representative"/>
    <n v="4"/>
    <s v="Married"/>
    <n v="2157"/>
    <n v="18203"/>
    <n v="1"/>
    <s v="No"/>
    <n v="15"/>
    <n v="3"/>
    <n v="2"/>
    <n v="1"/>
    <n v="3"/>
    <n v="5"/>
    <n v="3"/>
    <n v="3"/>
    <n v="1"/>
    <n v="0"/>
    <n v="2"/>
    <x v="2"/>
  </r>
  <r>
    <n v="35"/>
    <x v="1"/>
    <s v="Travel_Rarely"/>
    <n v="1219"/>
    <s v="Sales"/>
    <n v="18"/>
    <n v="3"/>
    <s v="Medical"/>
    <n v="975"/>
    <n v="3"/>
    <s v="Female"/>
    <n v="86"/>
    <n v="3"/>
    <n v="2"/>
    <s v="Sales Executive"/>
    <n v="3"/>
    <s v="Married"/>
    <n v="4601"/>
    <n v="6179"/>
    <n v="1"/>
    <s v="No"/>
    <n v="16"/>
    <n v="3"/>
    <n v="2"/>
    <n v="0"/>
    <n v="5"/>
    <n v="3"/>
    <n v="3"/>
    <n v="5"/>
    <n v="2"/>
    <n v="1"/>
    <n v="0"/>
    <x v="0"/>
  </r>
  <r>
    <n v="52"/>
    <x v="1"/>
    <s v="Travel_Rarely"/>
    <n v="1053"/>
    <s v="Research &amp; Development"/>
    <n v="1"/>
    <n v="2"/>
    <s v="Life Sciences"/>
    <n v="976"/>
    <n v="4"/>
    <s v="Male"/>
    <n v="70"/>
    <n v="3"/>
    <n v="4"/>
    <s v="Manager"/>
    <n v="4"/>
    <s v="Married"/>
    <n v="17099"/>
    <n v="13829"/>
    <n v="2"/>
    <s v="No"/>
    <n v="15"/>
    <n v="3"/>
    <n v="2"/>
    <n v="1"/>
    <n v="26"/>
    <n v="2"/>
    <n v="2"/>
    <n v="9"/>
    <n v="8"/>
    <n v="7"/>
    <n v="8"/>
    <x v="1"/>
  </r>
  <r>
    <n v="58"/>
    <x v="0"/>
    <s v="Travel_Rarely"/>
    <n v="289"/>
    <s v="Research &amp; Development"/>
    <n v="2"/>
    <n v="3"/>
    <s v="Technical Degree"/>
    <n v="977"/>
    <n v="4"/>
    <s v="Male"/>
    <n v="51"/>
    <n v="3"/>
    <n v="1"/>
    <s v="Research Scientist"/>
    <n v="3"/>
    <s v="Single"/>
    <n v="2479"/>
    <n v="26227"/>
    <n v="4"/>
    <s v="No"/>
    <n v="24"/>
    <n v="4"/>
    <n v="1"/>
    <n v="0"/>
    <n v="7"/>
    <n v="4"/>
    <n v="3"/>
    <n v="1"/>
    <n v="0"/>
    <n v="0"/>
    <n v="0"/>
    <x v="3"/>
  </r>
  <r>
    <n v="53"/>
    <x v="1"/>
    <s v="Travel_Rarely"/>
    <n v="1376"/>
    <s v="Sales"/>
    <n v="2"/>
    <n v="2"/>
    <s v="Medical"/>
    <n v="981"/>
    <n v="3"/>
    <s v="Male"/>
    <n v="45"/>
    <n v="3"/>
    <n v="4"/>
    <s v="Manager"/>
    <n v="3"/>
    <s v="Divorced"/>
    <n v="14852"/>
    <n v="13938"/>
    <n v="6"/>
    <s v="No"/>
    <n v="13"/>
    <n v="3"/>
    <n v="3"/>
    <n v="1"/>
    <n v="22"/>
    <n v="3"/>
    <n v="4"/>
    <n v="17"/>
    <n v="13"/>
    <n v="15"/>
    <n v="2"/>
    <x v="1"/>
  </r>
  <r>
    <n v="30"/>
    <x v="1"/>
    <s v="Travel_Rarely"/>
    <n v="231"/>
    <s v="Sales"/>
    <n v="8"/>
    <n v="2"/>
    <s v="Other"/>
    <n v="982"/>
    <n v="3"/>
    <s v="Male"/>
    <n v="62"/>
    <n v="3"/>
    <n v="3"/>
    <s v="Sales Executive"/>
    <n v="3"/>
    <s v="Divorced"/>
    <n v="7264"/>
    <n v="9977"/>
    <n v="5"/>
    <s v="No"/>
    <n v="11"/>
    <n v="3"/>
    <n v="1"/>
    <n v="1"/>
    <n v="10"/>
    <n v="2"/>
    <n v="4"/>
    <n v="8"/>
    <n v="4"/>
    <n v="7"/>
    <n v="7"/>
    <x v="2"/>
  </r>
  <r>
    <n v="38"/>
    <x v="1"/>
    <s v="Non-Travel"/>
    <n v="152"/>
    <s v="Sales"/>
    <n v="10"/>
    <n v="3"/>
    <s v="Technical Degree"/>
    <n v="983"/>
    <n v="3"/>
    <s v="Female"/>
    <n v="85"/>
    <n v="3"/>
    <n v="2"/>
    <s v="Sales Executive"/>
    <n v="4"/>
    <s v="Single"/>
    <n v="5666"/>
    <n v="19899"/>
    <n v="1"/>
    <s v="Yes"/>
    <n v="13"/>
    <n v="3"/>
    <n v="2"/>
    <n v="0"/>
    <n v="6"/>
    <n v="1"/>
    <n v="3"/>
    <n v="5"/>
    <n v="3"/>
    <n v="1"/>
    <n v="3"/>
    <x v="0"/>
  </r>
  <r>
    <n v="35"/>
    <x v="1"/>
    <s v="Travel_Rarely"/>
    <n v="882"/>
    <s v="Sales"/>
    <n v="3"/>
    <n v="4"/>
    <s v="Life Sciences"/>
    <n v="984"/>
    <n v="4"/>
    <s v="Male"/>
    <n v="92"/>
    <n v="3"/>
    <n v="3"/>
    <s v="Sales Executive"/>
    <n v="4"/>
    <s v="Divorced"/>
    <n v="7823"/>
    <n v="6812"/>
    <n v="6"/>
    <s v="No"/>
    <n v="13"/>
    <n v="3"/>
    <n v="2"/>
    <n v="1"/>
    <n v="12"/>
    <n v="2"/>
    <n v="3"/>
    <n v="10"/>
    <n v="9"/>
    <n v="0"/>
    <n v="8"/>
    <x v="0"/>
  </r>
  <r>
    <n v="39"/>
    <x v="1"/>
    <s v="Travel_Rarely"/>
    <n v="903"/>
    <s v="Sales"/>
    <n v="2"/>
    <n v="5"/>
    <s v="Life Sciences"/>
    <n v="985"/>
    <n v="1"/>
    <s v="Male"/>
    <n v="41"/>
    <n v="4"/>
    <n v="3"/>
    <s v="Sales Executive"/>
    <n v="3"/>
    <s v="Single"/>
    <n v="7880"/>
    <n v="2560"/>
    <n v="0"/>
    <s v="No"/>
    <n v="18"/>
    <n v="3"/>
    <n v="4"/>
    <n v="0"/>
    <n v="9"/>
    <n v="3"/>
    <n v="3"/>
    <n v="8"/>
    <n v="7"/>
    <n v="0"/>
    <n v="7"/>
    <x v="0"/>
  </r>
  <r>
    <n v="40"/>
    <x v="0"/>
    <s v="Non-Travel"/>
    <n v="1479"/>
    <s v="Sales"/>
    <n v="24"/>
    <n v="3"/>
    <s v="Life Sciences"/>
    <n v="986"/>
    <n v="2"/>
    <s v="Female"/>
    <n v="100"/>
    <n v="4"/>
    <n v="4"/>
    <s v="Sales Executive"/>
    <n v="2"/>
    <s v="Single"/>
    <n v="13194"/>
    <n v="17071"/>
    <n v="4"/>
    <s v="Yes"/>
    <n v="16"/>
    <n v="3"/>
    <n v="4"/>
    <n v="0"/>
    <n v="22"/>
    <n v="2"/>
    <n v="2"/>
    <n v="1"/>
    <n v="0"/>
    <n v="0"/>
    <n v="0"/>
    <x v="0"/>
  </r>
  <r>
    <n v="47"/>
    <x v="1"/>
    <s v="Travel_Frequently"/>
    <n v="1379"/>
    <s v="Research &amp; Development"/>
    <n v="16"/>
    <n v="4"/>
    <s v="Medical"/>
    <n v="987"/>
    <n v="3"/>
    <s v="Male"/>
    <n v="64"/>
    <n v="4"/>
    <n v="2"/>
    <s v="Manufacturing Director"/>
    <n v="3"/>
    <s v="Divorced"/>
    <n v="5067"/>
    <n v="6759"/>
    <n v="1"/>
    <s v="Yes"/>
    <n v="19"/>
    <n v="3"/>
    <n v="3"/>
    <n v="0"/>
    <n v="20"/>
    <n v="3"/>
    <n v="4"/>
    <n v="19"/>
    <n v="10"/>
    <n v="2"/>
    <n v="7"/>
    <x v="1"/>
  </r>
  <r>
    <n v="36"/>
    <x v="1"/>
    <s v="Non-Travel"/>
    <n v="1229"/>
    <s v="Sales"/>
    <n v="8"/>
    <n v="4"/>
    <s v="Technical Degree"/>
    <n v="990"/>
    <n v="1"/>
    <s v="Male"/>
    <n v="84"/>
    <n v="3"/>
    <n v="2"/>
    <s v="Sales Executive"/>
    <n v="4"/>
    <s v="Divorced"/>
    <n v="5079"/>
    <n v="25952"/>
    <n v="4"/>
    <s v="No"/>
    <n v="13"/>
    <n v="3"/>
    <n v="4"/>
    <n v="2"/>
    <n v="12"/>
    <n v="3"/>
    <n v="3"/>
    <n v="7"/>
    <n v="7"/>
    <n v="0"/>
    <n v="7"/>
    <x v="0"/>
  </r>
  <r>
    <n v="31"/>
    <x v="0"/>
    <s v="Non-Travel"/>
    <n v="335"/>
    <s v="Research &amp; Development"/>
    <n v="9"/>
    <n v="2"/>
    <s v="Medical"/>
    <n v="991"/>
    <n v="3"/>
    <s v="Male"/>
    <n v="46"/>
    <n v="2"/>
    <n v="1"/>
    <s v="Research Scientist"/>
    <n v="1"/>
    <s v="Single"/>
    <n v="2321"/>
    <n v="10322"/>
    <n v="0"/>
    <s v="Yes"/>
    <n v="22"/>
    <n v="4"/>
    <n v="1"/>
    <n v="0"/>
    <n v="4"/>
    <n v="0"/>
    <n v="3"/>
    <n v="3"/>
    <n v="2"/>
    <n v="1"/>
    <n v="2"/>
    <x v="2"/>
  </r>
  <r>
    <n v="33"/>
    <x v="1"/>
    <s v="Non-Travel"/>
    <n v="722"/>
    <s v="Sales"/>
    <n v="17"/>
    <n v="3"/>
    <s v="Life Sciences"/>
    <n v="992"/>
    <n v="4"/>
    <s v="Male"/>
    <n v="38"/>
    <n v="3"/>
    <n v="4"/>
    <s v="Manager"/>
    <n v="3"/>
    <s v="Single"/>
    <n v="17444"/>
    <n v="20489"/>
    <n v="1"/>
    <s v="No"/>
    <n v="11"/>
    <n v="3"/>
    <n v="4"/>
    <n v="0"/>
    <n v="10"/>
    <n v="2"/>
    <n v="3"/>
    <n v="10"/>
    <n v="8"/>
    <n v="6"/>
    <n v="0"/>
    <x v="2"/>
  </r>
  <r>
    <n v="29"/>
    <x v="0"/>
    <s v="Travel_Rarely"/>
    <n v="906"/>
    <s v="Research &amp; Development"/>
    <n v="10"/>
    <n v="3"/>
    <s v="Life Sciences"/>
    <n v="994"/>
    <n v="4"/>
    <s v="Female"/>
    <n v="92"/>
    <n v="2"/>
    <n v="1"/>
    <s v="Research Scientist"/>
    <n v="1"/>
    <s v="Single"/>
    <n v="2404"/>
    <n v="11479"/>
    <n v="6"/>
    <s v="Yes"/>
    <n v="20"/>
    <n v="4"/>
    <n v="3"/>
    <n v="0"/>
    <n v="3"/>
    <n v="5"/>
    <n v="3"/>
    <n v="0"/>
    <n v="0"/>
    <n v="0"/>
    <n v="0"/>
    <x v="2"/>
  </r>
  <r>
    <n v="33"/>
    <x v="1"/>
    <s v="Travel_Rarely"/>
    <n v="461"/>
    <s v="Research &amp; Development"/>
    <n v="13"/>
    <n v="1"/>
    <s v="Life Sciences"/>
    <n v="995"/>
    <n v="2"/>
    <s v="Female"/>
    <n v="53"/>
    <n v="3"/>
    <n v="1"/>
    <s v="Research Scientist"/>
    <n v="4"/>
    <s v="Single"/>
    <n v="3452"/>
    <n v="17241"/>
    <n v="3"/>
    <s v="No"/>
    <n v="18"/>
    <n v="3"/>
    <n v="1"/>
    <n v="0"/>
    <n v="5"/>
    <n v="4"/>
    <n v="3"/>
    <n v="3"/>
    <n v="2"/>
    <n v="0"/>
    <n v="2"/>
    <x v="2"/>
  </r>
  <r>
    <n v="45"/>
    <x v="1"/>
    <s v="Travel_Rarely"/>
    <n v="974"/>
    <s v="Research &amp; Development"/>
    <n v="1"/>
    <n v="4"/>
    <s v="Medical"/>
    <n v="996"/>
    <n v="4"/>
    <s v="Female"/>
    <n v="91"/>
    <n v="3"/>
    <n v="1"/>
    <s v="Laboratory Technician"/>
    <n v="4"/>
    <s v="Divorced"/>
    <n v="2270"/>
    <n v="11005"/>
    <n v="3"/>
    <s v="No"/>
    <n v="14"/>
    <n v="3"/>
    <n v="4"/>
    <n v="2"/>
    <n v="8"/>
    <n v="2"/>
    <n v="3"/>
    <n v="5"/>
    <n v="3"/>
    <n v="0"/>
    <n v="2"/>
    <x v="1"/>
  </r>
  <r>
    <n v="50"/>
    <x v="1"/>
    <s v="Travel_Rarely"/>
    <n v="1126"/>
    <s v="Research &amp; Development"/>
    <n v="1"/>
    <n v="2"/>
    <s v="Medical"/>
    <n v="997"/>
    <n v="4"/>
    <s v="Male"/>
    <n v="66"/>
    <n v="3"/>
    <n v="4"/>
    <s v="Research Director"/>
    <n v="4"/>
    <s v="Divorced"/>
    <n v="17399"/>
    <n v="6615"/>
    <n v="9"/>
    <s v="No"/>
    <n v="22"/>
    <n v="4"/>
    <n v="3"/>
    <n v="1"/>
    <n v="32"/>
    <n v="1"/>
    <n v="2"/>
    <n v="5"/>
    <n v="4"/>
    <n v="1"/>
    <n v="3"/>
    <x v="1"/>
  </r>
  <r>
    <n v="33"/>
    <x v="1"/>
    <s v="Travel_Frequently"/>
    <n v="827"/>
    <s v="Research &amp; Development"/>
    <n v="1"/>
    <n v="4"/>
    <s v="Other"/>
    <n v="998"/>
    <n v="3"/>
    <s v="Female"/>
    <n v="84"/>
    <n v="4"/>
    <n v="2"/>
    <s v="Healthcare Representative"/>
    <n v="2"/>
    <s v="Married"/>
    <n v="5488"/>
    <n v="20161"/>
    <n v="1"/>
    <s v="Yes"/>
    <n v="13"/>
    <n v="3"/>
    <n v="1"/>
    <n v="1"/>
    <n v="6"/>
    <n v="2"/>
    <n v="3"/>
    <n v="6"/>
    <n v="5"/>
    <n v="1"/>
    <n v="2"/>
    <x v="2"/>
  </r>
  <r>
    <n v="41"/>
    <x v="1"/>
    <s v="Travel_Frequently"/>
    <n v="840"/>
    <s v="Research &amp; Development"/>
    <n v="9"/>
    <n v="3"/>
    <s v="Medical"/>
    <n v="999"/>
    <n v="1"/>
    <s v="Male"/>
    <n v="64"/>
    <n v="3"/>
    <n v="5"/>
    <s v="Research Director"/>
    <n v="3"/>
    <s v="Divorced"/>
    <n v="19419"/>
    <n v="3735"/>
    <n v="2"/>
    <s v="No"/>
    <n v="17"/>
    <n v="3"/>
    <n v="2"/>
    <n v="1"/>
    <n v="21"/>
    <n v="2"/>
    <n v="4"/>
    <n v="18"/>
    <n v="16"/>
    <n v="0"/>
    <n v="11"/>
    <x v="0"/>
  </r>
  <r>
    <n v="27"/>
    <x v="1"/>
    <s v="Travel_Rarely"/>
    <n v="1134"/>
    <s v="Research &amp; Development"/>
    <n v="16"/>
    <n v="4"/>
    <s v="Technical Degree"/>
    <n v="1001"/>
    <n v="3"/>
    <s v="Female"/>
    <n v="37"/>
    <n v="3"/>
    <n v="1"/>
    <s v="Laboratory Technician"/>
    <n v="2"/>
    <s v="Married"/>
    <n v="2811"/>
    <n v="12086"/>
    <n v="9"/>
    <s v="No"/>
    <n v="14"/>
    <n v="3"/>
    <n v="2"/>
    <n v="1"/>
    <n v="4"/>
    <n v="2"/>
    <n v="3"/>
    <n v="2"/>
    <n v="2"/>
    <n v="2"/>
    <n v="2"/>
    <x v="2"/>
  </r>
  <r>
    <n v="45"/>
    <x v="1"/>
    <s v="Non-Travel"/>
    <n v="248"/>
    <s v="Research &amp; Development"/>
    <n v="23"/>
    <n v="2"/>
    <s v="Life Sciences"/>
    <n v="1002"/>
    <n v="4"/>
    <s v="Male"/>
    <n v="42"/>
    <n v="3"/>
    <n v="2"/>
    <s v="Laboratory Technician"/>
    <n v="1"/>
    <s v="Married"/>
    <n v="3633"/>
    <n v="14039"/>
    <n v="1"/>
    <s v="Yes"/>
    <n v="15"/>
    <n v="3"/>
    <n v="3"/>
    <n v="1"/>
    <n v="9"/>
    <n v="2"/>
    <n v="3"/>
    <n v="9"/>
    <n v="8"/>
    <n v="0"/>
    <n v="8"/>
    <x v="1"/>
  </r>
  <r>
    <n v="47"/>
    <x v="1"/>
    <s v="Travel_Rarely"/>
    <n v="955"/>
    <s v="Sales"/>
    <n v="4"/>
    <n v="2"/>
    <s v="Life Sciences"/>
    <n v="1003"/>
    <n v="4"/>
    <s v="Female"/>
    <n v="83"/>
    <n v="3"/>
    <n v="2"/>
    <s v="Sales Executive"/>
    <n v="4"/>
    <s v="Single"/>
    <n v="4163"/>
    <n v="8571"/>
    <n v="1"/>
    <s v="Yes"/>
    <n v="17"/>
    <n v="3"/>
    <n v="3"/>
    <n v="0"/>
    <n v="9"/>
    <n v="0"/>
    <n v="3"/>
    <n v="9"/>
    <n v="0"/>
    <n v="0"/>
    <n v="7"/>
    <x v="1"/>
  </r>
  <r>
    <n v="30"/>
    <x v="0"/>
    <s v="Travel_Rarely"/>
    <n v="138"/>
    <s v="Research &amp; Development"/>
    <n v="22"/>
    <n v="3"/>
    <s v="Life Sciences"/>
    <n v="1004"/>
    <n v="1"/>
    <s v="Female"/>
    <n v="48"/>
    <n v="3"/>
    <n v="1"/>
    <s v="Research Scientist"/>
    <n v="3"/>
    <s v="Married"/>
    <n v="2132"/>
    <n v="11539"/>
    <n v="4"/>
    <s v="Yes"/>
    <n v="11"/>
    <n v="3"/>
    <n v="2"/>
    <n v="0"/>
    <n v="7"/>
    <n v="2"/>
    <n v="3"/>
    <n v="5"/>
    <n v="2"/>
    <n v="0"/>
    <n v="1"/>
    <x v="2"/>
  </r>
  <r>
    <n v="50"/>
    <x v="1"/>
    <s v="Travel_Rarely"/>
    <n v="939"/>
    <s v="Research &amp; Development"/>
    <n v="24"/>
    <n v="3"/>
    <s v="Life Sciences"/>
    <n v="1005"/>
    <n v="4"/>
    <s v="Male"/>
    <n v="95"/>
    <n v="3"/>
    <n v="4"/>
    <s v="Manufacturing Director"/>
    <n v="3"/>
    <s v="Married"/>
    <n v="13973"/>
    <n v="4161"/>
    <n v="3"/>
    <s v="Yes"/>
    <n v="18"/>
    <n v="3"/>
    <n v="4"/>
    <n v="1"/>
    <n v="22"/>
    <n v="2"/>
    <n v="3"/>
    <n v="12"/>
    <n v="11"/>
    <n v="1"/>
    <n v="5"/>
    <x v="1"/>
  </r>
  <r>
    <n v="38"/>
    <x v="1"/>
    <s v="Travel_Frequently"/>
    <n v="1391"/>
    <s v="Research &amp; Development"/>
    <n v="10"/>
    <n v="1"/>
    <s v="Medical"/>
    <n v="1006"/>
    <n v="3"/>
    <s v="Male"/>
    <n v="66"/>
    <n v="3"/>
    <n v="1"/>
    <s v="Research Scientist"/>
    <n v="3"/>
    <s v="Married"/>
    <n v="2684"/>
    <n v="12127"/>
    <n v="0"/>
    <s v="No"/>
    <n v="17"/>
    <n v="3"/>
    <n v="2"/>
    <n v="1"/>
    <n v="3"/>
    <n v="0"/>
    <n v="2"/>
    <n v="2"/>
    <n v="1"/>
    <n v="0"/>
    <n v="2"/>
    <x v="0"/>
  </r>
  <r>
    <n v="46"/>
    <x v="1"/>
    <s v="Travel_Rarely"/>
    <n v="566"/>
    <s v="Research &amp; Development"/>
    <n v="7"/>
    <n v="2"/>
    <s v="Medical"/>
    <n v="1007"/>
    <n v="4"/>
    <s v="Male"/>
    <n v="75"/>
    <n v="3"/>
    <n v="3"/>
    <s v="Manufacturing Director"/>
    <n v="3"/>
    <s v="Divorced"/>
    <n v="10845"/>
    <n v="24208"/>
    <n v="6"/>
    <s v="No"/>
    <n v="13"/>
    <n v="3"/>
    <n v="2"/>
    <n v="1"/>
    <n v="13"/>
    <n v="3"/>
    <n v="3"/>
    <n v="8"/>
    <n v="7"/>
    <n v="0"/>
    <n v="7"/>
    <x v="1"/>
  </r>
  <r>
    <n v="24"/>
    <x v="1"/>
    <s v="Travel_Rarely"/>
    <n v="1206"/>
    <s v="Research &amp; Development"/>
    <n v="17"/>
    <n v="1"/>
    <s v="Medical"/>
    <n v="1009"/>
    <n v="4"/>
    <s v="Female"/>
    <n v="41"/>
    <n v="2"/>
    <n v="2"/>
    <s v="Manufacturing Director"/>
    <n v="3"/>
    <s v="Divorced"/>
    <n v="4377"/>
    <n v="24117"/>
    <n v="1"/>
    <s v="No"/>
    <n v="15"/>
    <n v="3"/>
    <n v="2"/>
    <n v="2"/>
    <n v="5"/>
    <n v="6"/>
    <n v="3"/>
    <n v="4"/>
    <n v="2"/>
    <n v="3"/>
    <n v="2"/>
    <x v="2"/>
  </r>
  <r>
    <n v="35"/>
    <x v="0"/>
    <s v="Travel_Rarely"/>
    <n v="622"/>
    <s v="Research &amp; Development"/>
    <n v="14"/>
    <n v="4"/>
    <s v="Other"/>
    <n v="1010"/>
    <n v="3"/>
    <s v="Male"/>
    <n v="39"/>
    <n v="2"/>
    <n v="1"/>
    <s v="Laboratory Technician"/>
    <n v="2"/>
    <s v="Divorced"/>
    <n v="3743"/>
    <n v="10074"/>
    <n v="1"/>
    <s v="Yes"/>
    <n v="24"/>
    <n v="4"/>
    <n v="4"/>
    <n v="1"/>
    <n v="5"/>
    <n v="2"/>
    <n v="1"/>
    <n v="4"/>
    <n v="2"/>
    <n v="0"/>
    <n v="2"/>
    <x v="0"/>
  </r>
  <r>
    <n v="31"/>
    <x v="1"/>
    <s v="Travel_Frequently"/>
    <n v="853"/>
    <s v="Research &amp; Development"/>
    <n v="1"/>
    <n v="1"/>
    <s v="Life Sciences"/>
    <n v="1011"/>
    <n v="3"/>
    <s v="Female"/>
    <n v="96"/>
    <n v="3"/>
    <n v="2"/>
    <s v="Manufacturing Director"/>
    <n v="1"/>
    <s v="Married"/>
    <n v="4148"/>
    <n v="11275"/>
    <n v="1"/>
    <s v="No"/>
    <n v="12"/>
    <n v="3"/>
    <n v="3"/>
    <n v="1"/>
    <n v="4"/>
    <n v="1"/>
    <n v="3"/>
    <n v="4"/>
    <n v="3"/>
    <n v="0"/>
    <n v="3"/>
    <x v="2"/>
  </r>
  <r>
    <n v="18"/>
    <x v="1"/>
    <s v="Non-Travel"/>
    <n v="287"/>
    <s v="Research &amp; Development"/>
    <n v="5"/>
    <n v="2"/>
    <s v="Life Sciences"/>
    <n v="1012"/>
    <n v="2"/>
    <s v="Male"/>
    <n v="73"/>
    <n v="3"/>
    <n v="1"/>
    <s v="Research Scientist"/>
    <n v="4"/>
    <s v="Single"/>
    <n v="1051"/>
    <n v="13493"/>
    <n v="1"/>
    <s v="No"/>
    <n v="15"/>
    <n v="3"/>
    <n v="4"/>
    <n v="0"/>
    <n v="0"/>
    <n v="2"/>
    <n v="3"/>
    <n v="0"/>
    <n v="0"/>
    <n v="0"/>
    <n v="0"/>
    <x v="2"/>
  </r>
  <r>
    <n v="54"/>
    <x v="1"/>
    <s v="Travel_Rarely"/>
    <n v="1441"/>
    <s v="Research &amp; Development"/>
    <n v="17"/>
    <n v="3"/>
    <s v="Technical Degree"/>
    <n v="1013"/>
    <n v="3"/>
    <s v="Female"/>
    <n v="56"/>
    <n v="3"/>
    <n v="3"/>
    <s v="Manufacturing Director"/>
    <n v="3"/>
    <s v="Married"/>
    <n v="10739"/>
    <n v="13943"/>
    <n v="8"/>
    <s v="No"/>
    <n v="11"/>
    <n v="3"/>
    <n v="3"/>
    <n v="1"/>
    <n v="22"/>
    <n v="2"/>
    <n v="3"/>
    <n v="10"/>
    <n v="7"/>
    <n v="0"/>
    <n v="8"/>
    <x v="1"/>
  </r>
  <r>
    <n v="35"/>
    <x v="1"/>
    <s v="Travel_Rarely"/>
    <n v="583"/>
    <s v="Research &amp; Development"/>
    <n v="25"/>
    <n v="4"/>
    <s v="Medical"/>
    <n v="1014"/>
    <n v="3"/>
    <s v="Female"/>
    <n v="57"/>
    <n v="3"/>
    <n v="3"/>
    <s v="Healthcare Representative"/>
    <n v="3"/>
    <s v="Divorced"/>
    <n v="10388"/>
    <n v="6975"/>
    <n v="1"/>
    <s v="Yes"/>
    <n v="11"/>
    <n v="3"/>
    <n v="3"/>
    <n v="1"/>
    <n v="16"/>
    <n v="3"/>
    <n v="2"/>
    <n v="16"/>
    <n v="10"/>
    <n v="10"/>
    <n v="1"/>
    <x v="0"/>
  </r>
  <r>
    <n v="30"/>
    <x v="1"/>
    <s v="Travel_Rarely"/>
    <n v="153"/>
    <s v="Research &amp; Development"/>
    <n v="8"/>
    <n v="2"/>
    <s v="Life Sciences"/>
    <n v="1015"/>
    <n v="2"/>
    <s v="Female"/>
    <n v="73"/>
    <n v="4"/>
    <n v="3"/>
    <s v="Research Director"/>
    <n v="1"/>
    <s v="Married"/>
    <n v="11416"/>
    <n v="17802"/>
    <n v="0"/>
    <s v="Yes"/>
    <n v="12"/>
    <n v="3"/>
    <n v="3"/>
    <n v="3"/>
    <n v="9"/>
    <n v="4"/>
    <n v="2"/>
    <n v="8"/>
    <n v="7"/>
    <n v="1"/>
    <n v="7"/>
    <x v="2"/>
  </r>
  <r>
    <n v="20"/>
    <x v="0"/>
    <s v="Travel_Rarely"/>
    <n v="1097"/>
    <s v="Research &amp; Development"/>
    <n v="11"/>
    <n v="3"/>
    <s v="Medical"/>
    <n v="1016"/>
    <n v="4"/>
    <s v="Female"/>
    <n v="98"/>
    <n v="2"/>
    <n v="1"/>
    <s v="Research Scientist"/>
    <n v="1"/>
    <s v="Single"/>
    <n v="2600"/>
    <n v="18275"/>
    <n v="1"/>
    <s v="Yes"/>
    <n v="15"/>
    <n v="3"/>
    <n v="1"/>
    <n v="0"/>
    <n v="1"/>
    <n v="2"/>
    <n v="3"/>
    <n v="1"/>
    <n v="0"/>
    <n v="0"/>
    <n v="0"/>
    <x v="2"/>
  </r>
  <r>
    <n v="30"/>
    <x v="0"/>
    <s v="Travel_Frequently"/>
    <n v="109"/>
    <s v="Research &amp; Development"/>
    <n v="5"/>
    <n v="3"/>
    <s v="Medical"/>
    <n v="1017"/>
    <n v="2"/>
    <s v="Female"/>
    <n v="60"/>
    <n v="3"/>
    <n v="1"/>
    <s v="Laboratory Technician"/>
    <n v="2"/>
    <s v="Single"/>
    <n v="2422"/>
    <n v="25725"/>
    <n v="0"/>
    <s v="No"/>
    <n v="17"/>
    <n v="3"/>
    <n v="1"/>
    <n v="0"/>
    <n v="4"/>
    <n v="3"/>
    <n v="3"/>
    <n v="3"/>
    <n v="2"/>
    <n v="1"/>
    <n v="2"/>
    <x v="2"/>
  </r>
  <r>
    <n v="26"/>
    <x v="1"/>
    <s v="Travel_Rarely"/>
    <n v="1066"/>
    <s v="Research &amp; Development"/>
    <n v="2"/>
    <n v="2"/>
    <s v="Medical"/>
    <n v="1018"/>
    <n v="4"/>
    <s v="Male"/>
    <n v="32"/>
    <n v="4"/>
    <n v="2"/>
    <s v="Manufacturing Director"/>
    <n v="4"/>
    <s v="Married"/>
    <n v="5472"/>
    <n v="3334"/>
    <n v="1"/>
    <s v="No"/>
    <n v="12"/>
    <n v="3"/>
    <n v="2"/>
    <n v="0"/>
    <n v="8"/>
    <n v="2"/>
    <n v="3"/>
    <n v="8"/>
    <n v="7"/>
    <n v="1"/>
    <n v="3"/>
    <x v="2"/>
  </r>
  <r>
    <n v="22"/>
    <x v="1"/>
    <s v="Travel_Rarely"/>
    <n v="217"/>
    <s v="Research &amp; Development"/>
    <n v="8"/>
    <n v="1"/>
    <s v="Life Sciences"/>
    <n v="1019"/>
    <n v="2"/>
    <s v="Male"/>
    <n v="94"/>
    <n v="1"/>
    <n v="1"/>
    <s v="Laboratory Technician"/>
    <n v="1"/>
    <s v="Married"/>
    <n v="2451"/>
    <n v="6881"/>
    <n v="1"/>
    <s v="No"/>
    <n v="15"/>
    <n v="3"/>
    <n v="1"/>
    <n v="1"/>
    <n v="4"/>
    <n v="3"/>
    <n v="2"/>
    <n v="4"/>
    <n v="3"/>
    <n v="1"/>
    <n v="1"/>
    <x v="2"/>
  </r>
  <r>
    <n v="48"/>
    <x v="1"/>
    <s v="Travel_Rarely"/>
    <n v="277"/>
    <s v="Research &amp; Development"/>
    <n v="6"/>
    <n v="3"/>
    <s v="Life Sciences"/>
    <n v="1022"/>
    <n v="1"/>
    <s v="Male"/>
    <n v="97"/>
    <n v="2"/>
    <n v="2"/>
    <s v="Healthcare Representative"/>
    <n v="3"/>
    <s v="Single"/>
    <n v="4240"/>
    <n v="13119"/>
    <n v="2"/>
    <s v="No"/>
    <n v="13"/>
    <n v="3"/>
    <n v="4"/>
    <n v="0"/>
    <n v="19"/>
    <n v="0"/>
    <n v="3"/>
    <n v="2"/>
    <n v="2"/>
    <n v="2"/>
    <n v="2"/>
    <x v="1"/>
  </r>
  <r>
    <n v="48"/>
    <x v="1"/>
    <s v="Travel_Rarely"/>
    <n v="1355"/>
    <s v="Research &amp; Development"/>
    <n v="4"/>
    <n v="4"/>
    <s v="Life Sciences"/>
    <n v="1024"/>
    <n v="3"/>
    <s v="Male"/>
    <n v="78"/>
    <n v="2"/>
    <n v="3"/>
    <s v="Healthcare Representative"/>
    <n v="3"/>
    <s v="Single"/>
    <n v="10999"/>
    <n v="22245"/>
    <n v="7"/>
    <s v="No"/>
    <n v="14"/>
    <n v="3"/>
    <n v="2"/>
    <n v="0"/>
    <n v="27"/>
    <n v="3"/>
    <n v="3"/>
    <n v="15"/>
    <n v="11"/>
    <n v="4"/>
    <n v="8"/>
    <x v="1"/>
  </r>
  <r>
    <n v="41"/>
    <x v="1"/>
    <s v="Travel_Rarely"/>
    <n v="549"/>
    <s v="Research &amp; Development"/>
    <n v="7"/>
    <n v="2"/>
    <s v="Medical"/>
    <n v="1025"/>
    <n v="4"/>
    <s v="Female"/>
    <n v="42"/>
    <n v="3"/>
    <n v="2"/>
    <s v="Manufacturing Director"/>
    <n v="3"/>
    <s v="Single"/>
    <n v="5003"/>
    <n v="23371"/>
    <n v="6"/>
    <s v="No"/>
    <n v="14"/>
    <n v="3"/>
    <n v="2"/>
    <n v="0"/>
    <n v="8"/>
    <n v="6"/>
    <n v="3"/>
    <n v="2"/>
    <n v="2"/>
    <n v="2"/>
    <n v="1"/>
    <x v="0"/>
  </r>
  <r>
    <n v="39"/>
    <x v="1"/>
    <s v="Travel_Rarely"/>
    <n v="466"/>
    <s v="Research &amp; Development"/>
    <n v="1"/>
    <n v="1"/>
    <s v="Life Sciences"/>
    <n v="1026"/>
    <n v="4"/>
    <s v="Female"/>
    <n v="65"/>
    <n v="2"/>
    <n v="4"/>
    <s v="Manufacturing Director"/>
    <n v="4"/>
    <s v="Married"/>
    <n v="12742"/>
    <n v="7060"/>
    <n v="1"/>
    <s v="No"/>
    <n v="16"/>
    <n v="3"/>
    <n v="3"/>
    <n v="1"/>
    <n v="21"/>
    <n v="3"/>
    <n v="3"/>
    <n v="21"/>
    <n v="6"/>
    <n v="11"/>
    <n v="8"/>
    <x v="0"/>
  </r>
  <r>
    <n v="27"/>
    <x v="1"/>
    <s v="Travel_Rarely"/>
    <n v="1055"/>
    <s v="Research &amp; Development"/>
    <n v="2"/>
    <n v="4"/>
    <s v="Life Sciences"/>
    <n v="1027"/>
    <n v="1"/>
    <s v="Female"/>
    <n v="47"/>
    <n v="3"/>
    <n v="2"/>
    <s v="Manufacturing Director"/>
    <n v="4"/>
    <s v="Married"/>
    <n v="4227"/>
    <n v="4658"/>
    <n v="0"/>
    <s v="No"/>
    <n v="18"/>
    <n v="3"/>
    <n v="2"/>
    <n v="1"/>
    <n v="4"/>
    <n v="2"/>
    <n v="3"/>
    <n v="3"/>
    <n v="2"/>
    <n v="2"/>
    <n v="2"/>
    <x v="2"/>
  </r>
  <r>
    <n v="35"/>
    <x v="1"/>
    <s v="Travel_Rarely"/>
    <n v="802"/>
    <s v="Research &amp; Development"/>
    <n v="10"/>
    <n v="3"/>
    <s v="Other"/>
    <n v="1028"/>
    <n v="2"/>
    <s v="Male"/>
    <n v="45"/>
    <n v="3"/>
    <n v="1"/>
    <s v="Laboratory Technician"/>
    <n v="4"/>
    <s v="Divorced"/>
    <n v="3917"/>
    <n v="9541"/>
    <n v="1"/>
    <s v="No"/>
    <n v="20"/>
    <n v="4"/>
    <n v="1"/>
    <n v="1"/>
    <n v="3"/>
    <n v="4"/>
    <n v="2"/>
    <n v="3"/>
    <n v="2"/>
    <n v="1"/>
    <n v="2"/>
    <x v="0"/>
  </r>
  <r>
    <n v="42"/>
    <x v="1"/>
    <s v="Travel_Rarely"/>
    <n v="265"/>
    <s v="Sales"/>
    <n v="5"/>
    <n v="2"/>
    <s v="Marketing"/>
    <n v="1029"/>
    <n v="4"/>
    <s v="Male"/>
    <n v="90"/>
    <n v="3"/>
    <n v="5"/>
    <s v="Manager"/>
    <n v="3"/>
    <s v="Married"/>
    <n v="18303"/>
    <n v="7770"/>
    <n v="6"/>
    <s v="No"/>
    <n v="13"/>
    <n v="3"/>
    <n v="2"/>
    <n v="0"/>
    <n v="21"/>
    <n v="3"/>
    <n v="4"/>
    <n v="1"/>
    <n v="0"/>
    <n v="0"/>
    <n v="0"/>
    <x v="0"/>
  </r>
  <r>
    <n v="50"/>
    <x v="1"/>
    <s v="Travel_Rarely"/>
    <n v="804"/>
    <s v="Research &amp; Development"/>
    <n v="9"/>
    <n v="3"/>
    <s v="Life Sciences"/>
    <n v="1030"/>
    <n v="1"/>
    <s v="Male"/>
    <n v="64"/>
    <n v="3"/>
    <n v="1"/>
    <s v="Laboratory Technician"/>
    <n v="4"/>
    <s v="Married"/>
    <n v="2380"/>
    <n v="20165"/>
    <n v="4"/>
    <s v="No"/>
    <n v="18"/>
    <n v="3"/>
    <n v="2"/>
    <n v="0"/>
    <n v="8"/>
    <n v="5"/>
    <n v="3"/>
    <n v="1"/>
    <n v="0"/>
    <n v="0"/>
    <n v="0"/>
    <x v="1"/>
  </r>
  <r>
    <n v="59"/>
    <x v="1"/>
    <s v="Travel_Rarely"/>
    <n v="715"/>
    <s v="Research &amp; Development"/>
    <n v="2"/>
    <n v="3"/>
    <s v="Life Sciences"/>
    <n v="1032"/>
    <n v="3"/>
    <s v="Female"/>
    <n v="69"/>
    <n v="2"/>
    <n v="4"/>
    <s v="Manufacturing Director"/>
    <n v="4"/>
    <s v="Single"/>
    <n v="13726"/>
    <n v="21829"/>
    <n v="3"/>
    <s v="Yes"/>
    <n v="13"/>
    <n v="3"/>
    <n v="1"/>
    <n v="0"/>
    <n v="30"/>
    <n v="4"/>
    <n v="3"/>
    <n v="5"/>
    <n v="3"/>
    <n v="4"/>
    <n v="3"/>
    <x v="3"/>
  </r>
  <r>
    <n v="37"/>
    <x v="0"/>
    <s v="Travel_Rarely"/>
    <n v="1141"/>
    <s v="Research &amp; Development"/>
    <n v="11"/>
    <n v="2"/>
    <s v="Medical"/>
    <n v="1033"/>
    <n v="1"/>
    <s v="Female"/>
    <n v="61"/>
    <n v="1"/>
    <n v="2"/>
    <s v="Healthcare Representative"/>
    <n v="2"/>
    <s v="Married"/>
    <n v="4777"/>
    <n v="14382"/>
    <n v="5"/>
    <s v="No"/>
    <n v="15"/>
    <n v="3"/>
    <n v="1"/>
    <n v="0"/>
    <n v="15"/>
    <n v="2"/>
    <n v="1"/>
    <n v="1"/>
    <n v="0"/>
    <n v="0"/>
    <n v="0"/>
    <x v="0"/>
  </r>
  <r>
    <n v="55"/>
    <x v="1"/>
    <s v="Travel_Frequently"/>
    <n v="135"/>
    <s v="Research &amp; Development"/>
    <n v="18"/>
    <n v="4"/>
    <s v="Medical"/>
    <n v="1034"/>
    <n v="3"/>
    <s v="Male"/>
    <n v="62"/>
    <n v="3"/>
    <n v="2"/>
    <s v="Healthcare Representative"/>
    <n v="2"/>
    <s v="Married"/>
    <n v="6385"/>
    <n v="12992"/>
    <n v="3"/>
    <s v="Yes"/>
    <n v="14"/>
    <n v="3"/>
    <n v="4"/>
    <n v="2"/>
    <n v="17"/>
    <n v="3"/>
    <n v="3"/>
    <n v="8"/>
    <n v="7"/>
    <n v="6"/>
    <n v="7"/>
    <x v="3"/>
  </r>
  <r>
    <n v="41"/>
    <x v="1"/>
    <s v="Non-Travel"/>
    <n v="247"/>
    <s v="Research &amp; Development"/>
    <n v="7"/>
    <n v="1"/>
    <s v="Life Sciences"/>
    <n v="1035"/>
    <n v="2"/>
    <s v="Female"/>
    <n v="55"/>
    <n v="1"/>
    <n v="5"/>
    <s v="Research Director"/>
    <n v="3"/>
    <s v="Divorced"/>
    <n v="19973"/>
    <n v="20284"/>
    <n v="1"/>
    <s v="No"/>
    <n v="22"/>
    <n v="4"/>
    <n v="2"/>
    <n v="2"/>
    <n v="21"/>
    <n v="3"/>
    <n v="3"/>
    <n v="21"/>
    <n v="16"/>
    <n v="5"/>
    <n v="10"/>
    <x v="0"/>
  </r>
  <r>
    <n v="38"/>
    <x v="1"/>
    <s v="Travel_Rarely"/>
    <n v="1035"/>
    <s v="Sales"/>
    <n v="3"/>
    <n v="4"/>
    <s v="Life Sciences"/>
    <n v="1036"/>
    <n v="2"/>
    <s v="Male"/>
    <n v="42"/>
    <n v="3"/>
    <n v="2"/>
    <s v="Sales Executive"/>
    <n v="4"/>
    <s v="Single"/>
    <n v="6861"/>
    <n v="4981"/>
    <n v="8"/>
    <s v="Yes"/>
    <n v="12"/>
    <n v="3"/>
    <n v="3"/>
    <n v="0"/>
    <n v="19"/>
    <n v="1"/>
    <n v="3"/>
    <n v="1"/>
    <n v="0"/>
    <n v="0"/>
    <n v="0"/>
    <x v="0"/>
  </r>
  <r>
    <n v="26"/>
    <x v="0"/>
    <s v="Non-Travel"/>
    <n v="265"/>
    <s v="Sales"/>
    <n v="29"/>
    <n v="2"/>
    <s v="Medical"/>
    <n v="1037"/>
    <n v="2"/>
    <s v="Male"/>
    <n v="79"/>
    <n v="1"/>
    <n v="2"/>
    <s v="Sales Executive"/>
    <n v="1"/>
    <s v="Single"/>
    <n v="4969"/>
    <n v="21813"/>
    <n v="8"/>
    <s v="No"/>
    <n v="18"/>
    <n v="3"/>
    <n v="4"/>
    <n v="0"/>
    <n v="7"/>
    <n v="6"/>
    <n v="3"/>
    <n v="2"/>
    <n v="2"/>
    <n v="2"/>
    <n v="2"/>
    <x v="2"/>
  </r>
  <r>
    <n v="52"/>
    <x v="0"/>
    <s v="Travel_Rarely"/>
    <n v="266"/>
    <s v="Sales"/>
    <n v="2"/>
    <n v="1"/>
    <s v="Marketing"/>
    <n v="1038"/>
    <n v="1"/>
    <s v="Female"/>
    <n v="57"/>
    <n v="1"/>
    <n v="5"/>
    <s v="Manager"/>
    <n v="4"/>
    <s v="Married"/>
    <n v="19845"/>
    <n v="25846"/>
    <n v="1"/>
    <s v="No"/>
    <n v="15"/>
    <n v="3"/>
    <n v="4"/>
    <n v="1"/>
    <n v="33"/>
    <n v="3"/>
    <n v="3"/>
    <n v="32"/>
    <n v="14"/>
    <n v="6"/>
    <n v="9"/>
    <x v="1"/>
  </r>
  <r>
    <n v="44"/>
    <x v="1"/>
    <s v="Travel_Rarely"/>
    <n v="1448"/>
    <s v="Sales"/>
    <n v="28"/>
    <n v="3"/>
    <s v="Medical"/>
    <n v="1039"/>
    <n v="4"/>
    <s v="Female"/>
    <n v="53"/>
    <n v="4"/>
    <n v="4"/>
    <s v="Sales Executive"/>
    <n v="4"/>
    <s v="Married"/>
    <n v="13320"/>
    <n v="11737"/>
    <n v="3"/>
    <s v="Yes"/>
    <n v="18"/>
    <n v="3"/>
    <n v="3"/>
    <n v="1"/>
    <n v="23"/>
    <n v="2"/>
    <n v="3"/>
    <n v="12"/>
    <n v="11"/>
    <n v="11"/>
    <n v="11"/>
    <x v="0"/>
  </r>
  <r>
    <n v="50"/>
    <x v="1"/>
    <s v="Non-Travel"/>
    <n v="145"/>
    <s v="Sales"/>
    <n v="1"/>
    <n v="3"/>
    <s v="Life Sciences"/>
    <n v="1040"/>
    <n v="4"/>
    <s v="Female"/>
    <n v="95"/>
    <n v="3"/>
    <n v="2"/>
    <s v="Sales Executive"/>
    <n v="3"/>
    <s v="Married"/>
    <n v="6347"/>
    <n v="24920"/>
    <n v="0"/>
    <s v="No"/>
    <n v="12"/>
    <n v="3"/>
    <n v="1"/>
    <n v="1"/>
    <n v="19"/>
    <n v="3"/>
    <n v="3"/>
    <n v="18"/>
    <n v="7"/>
    <n v="0"/>
    <n v="13"/>
    <x v="1"/>
  </r>
  <r>
    <n v="36"/>
    <x v="0"/>
    <s v="Travel_Rarely"/>
    <n v="885"/>
    <s v="Research &amp; Development"/>
    <n v="16"/>
    <n v="4"/>
    <s v="Life Sciences"/>
    <n v="1042"/>
    <n v="3"/>
    <s v="Female"/>
    <n v="43"/>
    <n v="4"/>
    <n v="1"/>
    <s v="Laboratory Technician"/>
    <n v="1"/>
    <s v="Single"/>
    <n v="2743"/>
    <n v="8269"/>
    <n v="1"/>
    <s v="No"/>
    <n v="16"/>
    <n v="3"/>
    <n v="3"/>
    <n v="0"/>
    <n v="18"/>
    <n v="1"/>
    <n v="3"/>
    <n v="17"/>
    <n v="13"/>
    <n v="15"/>
    <n v="14"/>
    <x v="0"/>
  </r>
  <r>
    <n v="39"/>
    <x v="1"/>
    <s v="Travel_Frequently"/>
    <n v="945"/>
    <s v="Research &amp; Development"/>
    <n v="22"/>
    <n v="3"/>
    <s v="Medical"/>
    <n v="1043"/>
    <n v="4"/>
    <s v="Female"/>
    <n v="82"/>
    <n v="3"/>
    <n v="3"/>
    <s v="Manufacturing Director"/>
    <n v="1"/>
    <s v="Single"/>
    <n v="10880"/>
    <n v="5083"/>
    <n v="1"/>
    <s v="Yes"/>
    <n v="13"/>
    <n v="3"/>
    <n v="3"/>
    <n v="0"/>
    <n v="21"/>
    <n v="2"/>
    <n v="3"/>
    <n v="21"/>
    <n v="6"/>
    <n v="2"/>
    <n v="8"/>
    <x v="0"/>
  </r>
  <r>
    <n v="33"/>
    <x v="1"/>
    <s v="Non-Travel"/>
    <n v="1038"/>
    <s v="Sales"/>
    <n v="8"/>
    <n v="1"/>
    <s v="Life Sciences"/>
    <n v="1044"/>
    <n v="2"/>
    <s v="Female"/>
    <n v="88"/>
    <n v="2"/>
    <n v="1"/>
    <s v="Sales Representative"/>
    <n v="4"/>
    <s v="Single"/>
    <n v="2342"/>
    <n v="21437"/>
    <n v="0"/>
    <s v="No"/>
    <n v="19"/>
    <n v="3"/>
    <n v="4"/>
    <n v="0"/>
    <n v="3"/>
    <n v="2"/>
    <n v="2"/>
    <n v="2"/>
    <n v="2"/>
    <n v="2"/>
    <n v="2"/>
    <x v="2"/>
  </r>
  <r>
    <n v="45"/>
    <x v="1"/>
    <s v="Travel_Rarely"/>
    <n v="1234"/>
    <s v="Sales"/>
    <n v="11"/>
    <n v="2"/>
    <s v="Life Sciences"/>
    <n v="1045"/>
    <n v="4"/>
    <s v="Female"/>
    <n v="90"/>
    <n v="3"/>
    <n v="4"/>
    <s v="Manager"/>
    <n v="4"/>
    <s v="Married"/>
    <n v="17650"/>
    <n v="5404"/>
    <n v="3"/>
    <s v="No"/>
    <n v="13"/>
    <n v="3"/>
    <n v="2"/>
    <n v="1"/>
    <n v="26"/>
    <n v="4"/>
    <n v="4"/>
    <n v="9"/>
    <n v="3"/>
    <n v="1"/>
    <n v="1"/>
    <x v="1"/>
  </r>
  <r>
    <n v="32"/>
    <x v="1"/>
    <s v="Non-Travel"/>
    <n v="1109"/>
    <s v="Research &amp; Development"/>
    <n v="29"/>
    <n v="4"/>
    <s v="Medical"/>
    <n v="1046"/>
    <n v="4"/>
    <s v="Female"/>
    <n v="69"/>
    <n v="3"/>
    <n v="1"/>
    <s v="Laboratory Technician"/>
    <n v="3"/>
    <s v="Single"/>
    <n v="4025"/>
    <n v="11135"/>
    <n v="9"/>
    <s v="No"/>
    <n v="12"/>
    <n v="3"/>
    <n v="2"/>
    <n v="0"/>
    <n v="10"/>
    <n v="2"/>
    <n v="3"/>
    <n v="8"/>
    <n v="7"/>
    <n v="7"/>
    <n v="7"/>
    <x v="2"/>
  </r>
  <r>
    <n v="34"/>
    <x v="1"/>
    <s v="Travel_Rarely"/>
    <n v="216"/>
    <s v="Sales"/>
    <n v="1"/>
    <n v="4"/>
    <s v="Marketing"/>
    <n v="1047"/>
    <n v="2"/>
    <s v="Male"/>
    <n v="75"/>
    <n v="4"/>
    <n v="2"/>
    <s v="Sales Executive"/>
    <n v="4"/>
    <s v="Divorced"/>
    <n v="9725"/>
    <n v="12278"/>
    <n v="0"/>
    <s v="No"/>
    <n v="11"/>
    <n v="3"/>
    <n v="4"/>
    <n v="1"/>
    <n v="16"/>
    <n v="2"/>
    <n v="2"/>
    <n v="15"/>
    <n v="1"/>
    <n v="0"/>
    <n v="9"/>
    <x v="2"/>
  </r>
  <r>
    <n v="59"/>
    <x v="1"/>
    <s v="Travel_Rarely"/>
    <n v="1089"/>
    <s v="Sales"/>
    <n v="1"/>
    <n v="2"/>
    <s v="Technical Degree"/>
    <n v="1048"/>
    <n v="2"/>
    <s v="Male"/>
    <n v="66"/>
    <n v="3"/>
    <n v="3"/>
    <s v="Manager"/>
    <n v="4"/>
    <s v="Married"/>
    <n v="11904"/>
    <n v="11038"/>
    <n v="3"/>
    <s v="Yes"/>
    <n v="14"/>
    <n v="3"/>
    <n v="3"/>
    <n v="1"/>
    <n v="14"/>
    <n v="1"/>
    <n v="1"/>
    <n v="6"/>
    <n v="4"/>
    <n v="0"/>
    <n v="4"/>
    <x v="3"/>
  </r>
  <r>
    <n v="45"/>
    <x v="1"/>
    <s v="Travel_Rarely"/>
    <n v="788"/>
    <s v="Human Resources"/>
    <n v="24"/>
    <n v="4"/>
    <s v="Medical"/>
    <n v="1049"/>
    <n v="2"/>
    <s v="Male"/>
    <n v="36"/>
    <n v="3"/>
    <n v="1"/>
    <s v="Human Resources"/>
    <n v="2"/>
    <s v="Single"/>
    <n v="2177"/>
    <n v="8318"/>
    <n v="1"/>
    <s v="No"/>
    <n v="16"/>
    <n v="3"/>
    <n v="1"/>
    <n v="0"/>
    <n v="6"/>
    <n v="3"/>
    <n v="3"/>
    <n v="6"/>
    <n v="3"/>
    <n v="0"/>
    <n v="4"/>
    <x v="1"/>
  </r>
  <r>
    <n v="53"/>
    <x v="1"/>
    <s v="Travel_Frequently"/>
    <n v="124"/>
    <s v="Sales"/>
    <n v="2"/>
    <n v="3"/>
    <s v="Marketing"/>
    <n v="1050"/>
    <n v="3"/>
    <s v="Female"/>
    <n v="38"/>
    <n v="2"/>
    <n v="3"/>
    <s v="Sales Executive"/>
    <n v="2"/>
    <s v="Married"/>
    <n v="7525"/>
    <n v="23537"/>
    <n v="2"/>
    <s v="No"/>
    <n v="12"/>
    <n v="3"/>
    <n v="1"/>
    <n v="1"/>
    <n v="30"/>
    <n v="2"/>
    <n v="3"/>
    <n v="15"/>
    <n v="7"/>
    <n v="6"/>
    <n v="12"/>
    <x v="1"/>
  </r>
  <r>
    <n v="36"/>
    <x v="0"/>
    <s v="Travel_Rarely"/>
    <n v="660"/>
    <s v="Research &amp; Development"/>
    <n v="15"/>
    <n v="3"/>
    <s v="Other"/>
    <n v="1052"/>
    <n v="1"/>
    <s v="Male"/>
    <n v="81"/>
    <n v="3"/>
    <n v="2"/>
    <s v="Laboratory Technician"/>
    <n v="3"/>
    <s v="Divorced"/>
    <n v="4834"/>
    <n v="7858"/>
    <n v="7"/>
    <s v="No"/>
    <n v="14"/>
    <n v="3"/>
    <n v="2"/>
    <n v="1"/>
    <n v="9"/>
    <n v="3"/>
    <n v="2"/>
    <n v="1"/>
    <n v="0"/>
    <n v="0"/>
    <n v="0"/>
    <x v="0"/>
  </r>
  <r>
    <n v="26"/>
    <x v="0"/>
    <s v="Travel_Frequently"/>
    <n v="342"/>
    <s v="Research &amp; Development"/>
    <n v="2"/>
    <n v="3"/>
    <s v="Life Sciences"/>
    <n v="1053"/>
    <n v="1"/>
    <s v="Male"/>
    <n v="57"/>
    <n v="3"/>
    <n v="1"/>
    <s v="Research Scientist"/>
    <n v="1"/>
    <s v="Married"/>
    <n v="2042"/>
    <n v="15346"/>
    <n v="6"/>
    <s v="Yes"/>
    <n v="14"/>
    <n v="3"/>
    <n v="2"/>
    <n v="1"/>
    <n v="6"/>
    <n v="2"/>
    <n v="3"/>
    <n v="3"/>
    <n v="2"/>
    <n v="1"/>
    <n v="2"/>
    <x v="2"/>
  </r>
  <r>
    <n v="34"/>
    <x v="1"/>
    <s v="Travel_Rarely"/>
    <n v="1333"/>
    <s v="Sales"/>
    <n v="10"/>
    <n v="4"/>
    <s v="Life Sciences"/>
    <n v="1055"/>
    <n v="3"/>
    <s v="Female"/>
    <n v="87"/>
    <n v="3"/>
    <n v="1"/>
    <s v="Sales Representative"/>
    <n v="3"/>
    <s v="Married"/>
    <n v="2220"/>
    <n v="18410"/>
    <n v="1"/>
    <s v="Yes"/>
    <n v="19"/>
    <n v="3"/>
    <n v="4"/>
    <n v="1"/>
    <n v="1"/>
    <n v="2"/>
    <n v="3"/>
    <n v="1"/>
    <n v="1"/>
    <n v="0"/>
    <n v="0"/>
    <x v="2"/>
  </r>
  <r>
    <n v="28"/>
    <x v="1"/>
    <s v="Travel_Rarely"/>
    <n v="1144"/>
    <s v="Sales"/>
    <n v="10"/>
    <n v="1"/>
    <s v="Medical"/>
    <n v="1056"/>
    <n v="4"/>
    <s v="Male"/>
    <n v="74"/>
    <n v="3"/>
    <n v="1"/>
    <s v="Sales Representative"/>
    <n v="2"/>
    <s v="Married"/>
    <n v="1052"/>
    <n v="23384"/>
    <n v="1"/>
    <s v="No"/>
    <n v="22"/>
    <n v="4"/>
    <n v="2"/>
    <n v="0"/>
    <n v="1"/>
    <n v="5"/>
    <n v="3"/>
    <n v="1"/>
    <n v="0"/>
    <n v="0"/>
    <n v="0"/>
    <x v="2"/>
  </r>
  <r>
    <n v="38"/>
    <x v="1"/>
    <s v="Travel_Frequently"/>
    <n v="1186"/>
    <s v="Research &amp; Development"/>
    <n v="3"/>
    <n v="4"/>
    <s v="Other"/>
    <n v="1060"/>
    <n v="3"/>
    <s v="Male"/>
    <n v="44"/>
    <n v="3"/>
    <n v="1"/>
    <s v="Research Scientist"/>
    <n v="3"/>
    <s v="Married"/>
    <n v="2821"/>
    <n v="2997"/>
    <n v="3"/>
    <s v="No"/>
    <n v="16"/>
    <n v="3"/>
    <n v="1"/>
    <n v="1"/>
    <n v="8"/>
    <n v="2"/>
    <n v="3"/>
    <n v="2"/>
    <n v="2"/>
    <n v="2"/>
    <n v="2"/>
    <x v="0"/>
  </r>
  <r>
    <n v="50"/>
    <x v="1"/>
    <s v="Travel_Rarely"/>
    <n v="1464"/>
    <s v="Research &amp; Development"/>
    <n v="2"/>
    <n v="4"/>
    <s v="Medical"/>
    <n v="1061"/>
    <n v="2"/>
    <s v="Male"/>
    <n v="62"/>
    <n v="3"/>
    <n v="5"/>
    <s v="Research Director"/>
    <n v="3"/>
    <s v="Married"/>
    <n v="19237"/>
    <n v="12853"/>
    <n v="2"/>
    <s v="Yes"/>
    <n v="11"/>
    <n v="3"/>
    <n v="4"/>
    <n v="1"/>
    <n v="29"/>
    <n v="2"/>
    <n v="2"/>
    <n v="8"/>
    <n v="1"/>
    <n v="7"/>
    <n v="7"/>
    <x v="1"/>
  </r>
  <r>
    <n v="37"/>
    <x v="1"/>
    <s v="Travel_Rarely"/>
    <n v="124"/>
    <s v="Research &amp; Development"/>
    <n v="3"/>
    <n v="3"/>
    <s v="Other"/>
    <n v="1062"/>
    <n v="4"/>
    <s v="Female"/>
    <n v="35"/>
    <n v="3"/>
    <n v="2"/>
    <s v="Healthcare Representative"/>
    <n v="2"/>
    <s v="Single"/>
    <n v="4107"/>
    <n v="13848"/>
    <n v="3"/>
    <s v="No"/>
    <n v="15"/>
    <n v="3"/>
    <n v="1"/>
    <n v="0"/>
    <n v="8"/>
    <n v="3"/>
    <n v="2"/>
    <n v="4"/>
    <n v="3"/>
    <n v="0"/>
    <n v="1"/>
    <x v="0"/>
  </r>
  <r>
    <n v="40"/>
    <x v="1"/>
    <s v="Travel_Rarely"/>
    <n v="300"/>
    <s v="Sales"/>
    <n v="26"/>
    <n v="3"/>
    <s v="Marketing"/>
    <n v="1066"/>
    <n v="3"/>
    <s v="Male"/>
    <n v="74"/>
    <n v="3"/>
    <n v="2"/>
    <s v="Sales Executive"/>
    <n v="1"/>
    <s v="Married"/>
    <n v="8396"/>
    <n v="22217"/>
    <n v="1"/>
    <s v="No"/>
    <n v="14"/>
    <n v="3"/>
    <n v="2"/>
    <n v="1"/>
    <n v="8"/>
    <n v="3"/>
    <n v="2"/>
    <n v="7"/>
    <n v="7"/>
    <n v="7"/>
    <n v="5"/>
    <x v="0"/>
  </r>
  <r>
    <n v="26"/>
    <x v="1"/>
    <s v="Travel_Frequently"/>
    <n v="921"/>
    <s v="Research &amp; Development"/>
    <n v="1"/>
    <n v="1"/>
    <s v="Medical"/>
    <n v="1068"/>
    <n v="1"/>
    <s v="Female"/>
    <n v="66"/>
    <n v="2"/>
    <n v="1"/>
    <s v="Research Scientist"/>
    <n v="3"/>
    <s v="Divorced"/>
    <n v="2007"/>
    <n v="25265"/>
    <n v="1"/>
    <s v="No"/>
    <n v="13"/>
    <n v="3"/>
    <n v="3"/>
    <n v="2"/>
    <n v="5"/>
    <n v="5"/>
    <n v="3"/>
    <n v="5"/>
    <n v="3"/>
    <n v="1"/>
    <n v="3"/>
    <x v="2"/>
  </r>
  <r>
    <n v="46"/>
    <x v="1"/>
    <s v="Travel_Rarely"/>
    <n v="430"/>
    <s v="Research &amp; Development"/>
    <n v="1"/>
    <n v="4"/>
    <s v="Medical"/>
    <n v="1069"/>
    <n v="4"/>
    <s v="Male"/>
    <n v="40"/>
    <n v="3"/>
    <n v="5"/>
    <s v="Research Director"/>
    <n v="4"/>
    <s v="Divorced"/>
    <n v="19627"/>
    <n v="21445"/>
    <n v="9"/>
    <s v="No"/>
    <n v="17"/>
    <n v="3"/>
    <n v="4"/>
    <n v="2"/>
    <n v="23"/>
    <n v="0"/>
    <n v="3"/>
    <n v="2"/>
    <n v="2"/>
    <n v="2"/>
    <n v="2"/>
    <x v="1"/>
  </r>
  <r>
    <n v="54"/>
    <x v="1"/>
    <s v="Travel_Rarely"/>
    <n v="1082"/>
    <s v="Sales"/>
    <n v="2"/>
    <n v="4"/>
    <s v="Life Sciences"/>
    <n v="1070"/>
    <n v="3"/>
    <s v="Female"/>
    <n v="41"/>
    <n v="2"/>
    <n v="3"/>
    <s v="Sales Executive"/>
    <n v="3"/>
    <s v="Married"/>
    <n v="10686"/>
    <n v="8392"/>
    <n v="6"/>
    <s v="No"/>
    <n v="11"/>
    <n v="3"/>
    <n v="2"/>
    <n v="1"/>
    <n v="13"/>
    <n v="4"/>
    <n v="3"/>
    <n v="9"/>
    <n v="4"/>
    <n v="7"/>
    <n v="0"/>
    <x v="1"/>
  </r>
  <r>
    <n v="56"/>
    <x v="1"/>
    <s v="Travel_Frequently"/>
    <n v="1240"/>
    <s v="Research &amp; Development"/>
    <n v="9"/>
    <n v="3"/>
    <s v="Medical"/>
    <n v="1071"/>
    <n v="1"/>
    <s v="Female"/>
    <n v="63"/>
    <n v="3"/>
    <n v="1"/>
    <s v="Research Scientist"/>
    <n v="3"/>
    <s v="Married"/>
    <n v="2942"/>
    <n v="12154"/>
    <n v="2"/>
    <s v="No"/>
    <n v="19"/>
    <n v="3"/>
    <n v="2"/>
    <n v="1"/>
    <n v="18"/>
    <n v="4"/>
    <n v="3"/>
    <n v="5"/>
    <n v="4"/>
    <n v="0"/>
    <n v="3"/>
    <x v="3"/>
  </r>
  <r>
    <n v="36"/>
    <x v="1"/>
    <s v="Travel_Rarely"/>
    <n v="796"/>
    <s v="Research &amp; Development"/>
    <n v="12"/>
    <n v="5"/>
    <s v="Medical"/>
    <n v="1073"/>
    <n v="4"/>
    <s v="Female"/>
    <n v="51"/>
    <n v="2"/>
    <n v="3"/>
    <s v="Manufacturing Director"/>
    <n v="4"/>
    <s v="Single"/>
    <n v="8858"/>
    <n v="15669"/>
    <n v="0"/>
    <s v="No"/>
    <n v="11"/>
    <n v="3"/>
    <n v="2"/>
    <n v="0"/>
    <n v="15"/>
    <n v="2"/>
    <n v="2"/>
    <n v="14"/>
    <n v="8"/>
    <n v="7"/>
    <n v="8"/>
    <x v="0"/>
  </r>
  <r>
    <n v="55"/>
    <x v="1"/>
    <s v="Non-Travel"/>
    <n v="444"/>
    <s v="Research &amp; Development"/>
    <n v="2"/>
    <n v="1"/>
    <s v="Medical"/>
    <n v="1074"/>
    <n v="3"/>
    <s v="Male"/>
    <n v="40"/>
    <n v="2"/>
    <n v="4"/>
    <s v="Manager"/>
    <n v="1"/>
    <s v="Single"/>
    <n v="16756"/>
    <n v="17323"/>
    <n v="7"/>
    <s v="No"/>
    <n v="15"/>
    <n v="3"/>
    <n v="2"/>
    <n v="0"/>
    <n v="31"/>
    <n v="3"/>
    <n v="4"/>
    <n v="9"/>
    <n v="7"/>
    <n v="6"/>
    <n v="2"/>
    <x v="3"/>
  </r>
  <r>
    <n v="43"/>
    <x v="1"/>
    <s v="Travel_Rarely"/>
    <n v="415"/>
    <s v="Sales"/>
    <n v="25"/>
    <n v="3"/>
    <s v="Medical"/>
    <n v="1076"/>
    <n v="3"/>
    <s v="Male"/>
    <n v="79"/>
    <n v="2"/>
    <n v="3"/>
    <s v="Sales Executive"/>
    <n v="4"/>
    <s v="Divorced"/>
    <n v="10798"/>
    <n v="5268"/>
    <n v="5"/>
    <s v="No"/>
    <n v="13"/>
    <n v="3"/>
    <n v="3"/>
    <n v="1"/>
    <n v="18"/>
    <n v="5"/>
    <n v="3"/>
    <n v="1"/>
    <n v="0"/>
    <n v="0"/>
    <n v="0"/>
    <x v="0"/>
  </r>
  <r>
    <n v="20"/>
    <x v="0"/>
    <s v="Travel_Frequently"/>
    <n v="769"/>
    <s v="Sales"/>
    <n v="9"/>
    <n v="3"/>
    <s v="Marketing"/>
    <n v="1077"/>
    <n v="4"/>
    <s v="Female"/>
    <n v="54"/>
    <n v="3"/>
    <n v="1"/>
    <s v="Sales Representative"/>
    <n v="4"/>
    <s v="Single"/>
    <n v="2323"/>
    <n v="17205"/>
    <n v="1"/>
    <s v="Yes"/>
    <n v="14"/>
    <n v="3"/>
    <n v="2"/>
    <n v="0"/>
    <n v="2"/>
    <n v="3"/>
    <n v="3"/>
    <n v="2"/>
    <n v="2"/>
    <n v="0"/>
    <n v="2"/>
    <x v="2"/>
  </r>
  <r>
    <n v="21"/>
    <x v="0"/>
    <s v="Travel_Rarely"/>
    <n v="1334"/>
    <s v="Research &amp; Development"/>
    <n v="10"/>
    <n v="3"/>
    <s v="Life Sciences"/>
    <n v="1079"/>
    <n v="3"/>
    <s v="Female"/>
    <n v="36"/>
    <n v="2"/>
    <n v="1"/>
    <s v="Laboratory Technician"/>
    <n v="1"/>
    <s v="Single"/>
    <n v="1416"/>
    <n v="17258"/>
    <n v="1"/>
    <s v="No"/>
    <n v="13"/>
    <n v="3"/>
    <n v="1"/>
    <n v="0"/>
    <n v="1"/>
    <n v="6"/>
    <n v="2"/>
    <n v="1"/>
    <n v="0"/>
    <n v="1"/>
    <n v="0"/>
    <x v="2"/>
  </r>
  <r>
    <n v="46"/>
    <x v="1"/>
    <s v="Travel_Rarely"/>
    <n v="1003"/>
    <s v="Research &amp; Development"/>
    <n v="8"/>
    <n v="4"/>
    <s v="Life Sciences"/>
    <n v="1080"/>
    <n v="4"/>
    <s v="Female"/>
    <n v="74"/>
    <n v="2"/>
    <n v="2"/>
    <s v="Research Scientist"/>
    <n v="1"/>
    <s v="Divorced"/>
    <n v="4615"/>
    <n v="21029"/>
    <n v="8"/>
    <s v="Yes"/>
    <n v="23"/>
    <n v="4"/>
    <n v="1"/>
    <n v="3"/>
    <n v="19"/>
    <n v="2"/>
    <n v="3"/>
    <n v="16"/>
    <n v="13"/>
    <n v="1"/>
    <n v="7"/>
    <x v="1"/>
  </r>
  <r>
    <n v="51"/>
    <x v="0"/>
    <s v="Travel_Rarely"/>
    <n v="1323"/>
    <s v="Research &amp; Development"/>
    <n v="4"/>
    <n v="4"/>
    <s v="Life Sciences"/>
    <n v="1081"/>
    <n v="1"/>
    <s v="Male"/>
    <n v="34"/>
    <n v="3"/>
    <n v="1"/>
    <s v="Research Scientist"/>
    <n v="3"/>
    <s v="Married"/>
    <n v="2461"/>
    <n v="10332"/>
    <n v="9"/>
    <s v="Yes"/>
    <n v="12"/>
    <n v="3"/>
    <n v="3"/>
    <n v="3"/>
    <n v="18"/>
    <n v="2"/>
    <n v="4"/>
    <n v="10"/>
    <n v="0"/>
    <n v="2"/>
    <n v="7"/>
    <x v="1"/>
  </r>
  <r>
    <n v="28"/>
    <x v="0"/>
    <s v="Non-Travel"/>
    <n v="1366"/>
    <s v="Research &amp; Development"/>
    <n v="24"/>
    <n v="2"/>
    <s v="Technical Degree"/>
    <n v="1082"/>
    <n v="2"/>
    <s v="Male"/>
    <n v="72"/>
    <n v="2"/>
    <n v="3"/>
    <s v="Healthcare Representative"/>
    <n v="1"/>
    <s v="Single"/>
    <n v="8722"/>
    <n v="12355"/>
    <n v="1"/>
    <s v="No"/>
    <n v="12"/>
    <n v="3"/>
    <n v="1"/>
    <n v="0"/>
    <n v="10"/>
    <n v="2"/>
    <n v="2"/>
    <n v="10"/>
    <n v="7"/>
    <n v="1"/>
    <n v="9"/>
    <x v="2"/>
  </r>
  <r>
    <n v="26"/>
    <x v="1"/>
    <s v="Travel_Rarely"/>
    <n v="192"/>
    <s v="Research &amp; Development"/>
    <n v="1"/>
    <n v="2"/>
    <s v="Medical"/>
    <n v="1083"/>
    <n v="1"/>
    <s v="Male"/>
    <n v="59"/>
    <n v="2"/>
    <n v="1"/>
    <s v="Laboratory Technician"/>
    <n v="1"/>
    <s v="Married"/>
    <n v="3955"/>
    <n v="11141"/>
    <n v="1"/>
    <s v="No"/>
    <n v="16"/>
    <n v="3"/>
    <n v="1"/>
    <n v="2"/>
    <n v="6"/>
    <n v="2"/>
    <n v="3"/>
    <n v="5"/>
    <n v="3"/>
    <n v="1"/>
    <n v="3"/>
    <x v="2"/>
  </r>
  <r>
    <n v="30"/>
    <x v="1"/>
    <s v="Travel_Rarely"/>
    <n v="1176"/>
    <s v="Research &amp; Development"/>
    <n v="20"/>
    <n v="3"/>
    <s v="Other"/>
    <n v="1084"/>
    <n v="3"/>
    <s v="Male"/>
    <n v="85"/>
    <n v="3"/>
    <n v="2"/>
    <s v="Manufacturing Director"/>
    <n v="1"/>
    <s v="Married"/>
    <n v="9957"/>
    <n v="9096"/>
    <n v="0"/>
    <s v="No"/>
    <n v="15"/>
    <n v="3"/>
    <n v="3"/>
    <n v="1"/>
    <n v="7"/>
    <n v="1"/>
    <n v="2"/>
    <n v="6"/>
    <n v="2"/>
    <n v="0"/>
    <n v="2"/>
    <x v="2"/>
  </r>
  <r>
    <n v="41"/>
    <x v="1"/>
    <s v="Travel_Rarely"/>
    <n v="509"/>
    <s v="Research &amp; Development"/>
    <n v="7"/>
    <n v="2"/>
    <s v="Technical Degree"/>
    <n v="1085"/>
    <n v="2"/>
    <s v="Female"/>
    <n v="43"/>
    <n v="4"/>
    <n v="1"/>
    <s v="Research Scientist"/>
    <n v="3"/>
    <s v="Married"/>
    <n v="3376"/>
    <n v="18863"/>
    <n v="1"/>
    <s v="No"/>
    <n v="13"/>
    <n v="3"/>
    <n v="3"/>
    <n v="0"/>
    <n v="10"/>
    <n v="3"/>
    <n v="3"/>
    <n v="10"/>
    <n v="6"/>
    <n v="0"/>
    <n v="8"/>
    <x v="0"/>
  </r>
  <r>
    <n v="38"/>
    <x v="1"/>
    <s v="Travel_Rarely"/>
    <n v="330"/>
    <s v="Research &amp; Development"/>
    <n v="17"/>
    <n v="1"/>
    <s v="Life Sciences"/>
    <n v="1088"/>
    <n v="3"/>
    <s v="Female"/>
    <n v="65"/>
    <n v="2"/>
    <n v="3"/>
    <s v="Healthcare Representative"/>
    <n v="3"/>
    <s v="Married"/>
    <n v="8823"/>
    <n v="24608"/>
    <n v="0"/>
    <s v="No"/>
    <n v="18"/>
    <n v="3"/>
    <n v="1"/>
    <n v="1"/>
    <n v="20"/>
    <n v="4"/>
    <n v="2"/>
    <n v="19"/>
    <n v="9"/>
    <n v="1"/>
    <n v="9"/>
    <x v="0"/>
  </r>
  <r>
    <n v="40"/>
    <x v="1"/>
    <s v="Travel_Rarely"/>
    <n v="1492"/>
    <s v="Research &amp; Development"/>
    <n v="20"/>
    <n v="4"/>
    <s v="Technical Degree"/>
    <n v="1092"/>
    <n v="1"/>
    <s v="Male"/>
    <n v="61"/>
    <n v="3"/>
    <n v="3"/>
    <s v="Healthcare Representative"/>
    <n v="4"/>
    <s v="Married"/>
    <n v="10322"/>
    <n v="26542"/>
    <n v="4"/>
    <s v="No"/>
    <n v="20"/>
    <n v="4"/>
    <n v="4"/>
    <n v="1"/>
    <n v="14"/>
    <n v="6"/>
    <n v="3"/>
    <n v="11"/>
    <n v="10"/>
    <n v="11"/>
    <n v="1"/>
    <x v="0"/>
  </r>
  <r>
    <n v="27"/>
    <x v="1"/>
    <s v="Non-Travel"/>
    <n v="1277"/>
    <s v="Research &amp; Development"/>
    <n v="8"/>
    <n v="5"/>
    <s v="Life Sciences"/>
    <n v="1094"/>
    <n v="1"/>
    <s v="Male"/>
    <n v="87"/>
    <n v="1"/>
    <n v="1"/>
    <s v="Laboratory Technician"/>
    <n v="3"/>
    <s v="Married"/>
    <n v="4621"/>
    <n v="5869"/>
    <n v="1"/>
    <s v="No"/>
    <n v="19"/>
    <n v="3"/>
    <n v="4"/>
    <n v="3"/>
    <n v="3"/>
    <n v="4"/>
    <n v="3"/>
    <n v="3"/>
    <n v="2"/>
    <n v="1"/>
    <n v="2"/>
    <x v="2"/>
  </r>
  <r>
    <n v="55"/>
    <x v="1"/>
    <s v="Travel_Frequently"/>
    <n v="1091"/>
    <s v="Research &amp; Development"/>
    <n v="2"/>
    <n v="1"/>
    <s v="Life Sciences"/>
    <n v="1096"/>
    <n v="4"/>
    <s v="Male"/>
    <n v="65"/>
    <n v="3"/>
    <n v="3"/>
    <s v="Manufacturing Director"/>
    <n v="2"/>
    <s v="Married"/>
    <n v="10976"/>
    <n v="15813"/>
    <n v="3"/>
    <s v="No"/>
    <n v="18"/>
    <n v="3"/>
    <n v="2"/>
    <n v="1"/>
    <n v="23"/>
    <n v="4"/>
    <n v="3"/>
    <n v="3"/>
    <n v="2"/>
    <n v="1"/>
    <n v="2"/>
    <x v="3"/>
  </r>
  <r>
    <n v="28"/>
    <x v="1"/>
    <s v="Travel_Rarely"/>
    <n v="857"/>
    <s v="Research &amp; Development"/>
    <n v="10"/>
    <n v="3"/>
    <s v="Other"/>
    <n v="1097"/>
    <n v="3"/>
    <s v="Female"/>
    <n v="59"/>
    <n v="3"/>
    <n v="2"/>
    <s v="Research Scientist"/>
    <n v="3"/>
    <s v="Single"/>
    <n v="3660"/>
    <n v="7909"/>
    <n v="3"/>
    <s v="No"/>
    <n v="13"/>
    <n v="3"/>
    <n v="4"/>
    <n v="0"/>
    <n v="10"/>
    <n v="4"/>
    <n v="4"/>
    <n v="8"/>
    <n v="7"/>
    <n v="1"/>
    <n v="7"/>
    <x v="2"/>
  </r>
  <r>
    <n v="44"/>
    <x v="0"/>
    <s v="Travel_Rarely"/>
    <n v="1376"/>
    <s v="Human Resources"/>
    <n v="1"/>
    <n v="2"/>
    <s v="Medical"/>
    <n v="1098"/>
    <n v="2"/>
    <s v="Male"/>
    <n v="91"/>
    <n v="2"/>
    <n v="3"/>
    <s v="Human Resources"/>
    <n v="1"/>
    <s v="Married"/>
    <n v="10482"/>
    <n v="2326"/>
    <n v="9"/>
    <s v="No"/>
    <n v="14"/>
    <n v="3"/>
    <n v="4"/>
    <n v="1"/>
    <n v="24"/>
    <n v="1"/>
    <n v="3"/>
    <n v="20"/>
    <n v="6"/>
    <n v="3"/>
    <n v="6"/>
    <x v="0"/>
  </r>
  <r>
    <n v="33"/>
    <x v="1"/>
    <s v="Travel_Rarely"/>
    <n v="654"/>
    <s v="Research &amp; Development"/>
    <n v="5"/>
    <n v="3"/>
    <s v="Life Sciences"/>
    <n v="1099"/>
    <n v="4"/>
    <s v="Male"/>
    <n v="34"/>
    <n v="2"/>
    <n v="3"/>
    <s v="Healthcare Representative"/>
    <n v="4"/>
    <s v="Divorced"/>
    <n v="7119"/>
    <n v="21214"/>
    <n v="4"/>
    <s v="No"/>
    <n v="15"/>
    <n v="3"/>
    <n v="3"/>
    <n v="1"/>
    <n v="9"/>
    <n v="2"/>
    <n v="3"/>
    <n v="3"/>
    <n v="2"/>
    <n v="1"/>
    <n v="2"/>
    <x v="2"/>
  </r>
  <r>
    <n v="35"/>
    <x v="0"/>
    <s v="Travel_Rarely"/>
    <n v="1204"/>
    <s v="Sales"/>
    <n v="4"/>
    <n v="3"/>
    <s v="Technical Degree"/>
    <n v="1100"/>
    <n v="4"/>
    <s v="Male"/>
    <n v="86"/>
    <n v="3"/>
    <n v="3"/>
    <s v="Sales Executive"/>
    <n v="1"/>
    <s v="Single"/>
    <n v="9582"/>
    <n v="10333"/>
    <n v="0"/>
    <s v="Yes"/>
    <n v="22"/>
    <n v="4"/>
    <n v="1"/>
    <n v="0"/>
    <n v="9"/>
    <n v="2"/>
    <n v="3"/>
    <n v="8"/>
    <n v="7"/>
    <n v="4"/>
    <n v="7"/>
    <x v="0"/>
  </r>
  <r>
    <n v="33"/>
    <x v="0"/>
    <s v="Travel_Frequently"/>
    <n v="827"/>
    <s v="Research &amp; Development"/>
    <n v="29"/>
    <n v="4"/>
    <s v="Medical"/>
    <n v="1101"/>
    <n v="1"/>
    <s v="Female"/>
    <n v="54"/>
    <n v="2"/>
    <n v="2"/>
    <s v="Research Scientist"/>
    <n v="3"/>
    <s v="Single"/>
    <n v="4508"/>
    <n v="3129"/>
    <n v="1"/>
    <s v="No"/>
    <n v="22"/>
    <n v="4"/>
    <n v="2"/>
    <n v="0"/>
    <n v="14"/>
    <n v="4"/>
    <n v="3"/>
    <n v="13"/>
    <n v="7"/>
    <n v="3"/>
    <n v="8"/>
    <x v="2"/>
  </r>
  <r>
    <n v="28"/>
    <x v="1"/>
    <s v="Travel_Rarely"/>
    <n v="895"/>
    <s v="Research &amp; Development"/>
    <n v="15"/>
    <n v="2"/>
    <s v="Life Sciences"/>
    <n v="1102"/>
    <n v="1"/>
    <s v="Male"/>
    <n v="50"/>
    <n v="3"/>
    <n v="1"/>
    <s v="Laboratory Technician"/>
    <n v="3"/>
    <s v="Divorced"/>
    <n v="2207"/>
    <n v="22482"/>
    <n v="1"/>
    <s v="No"/>
    <n v="16"/>
    <n v="3"/>
    <n v="4"/>
    <n v="1"/>
    <n v="4"/>
    <n v="5"/>
    <n v="2"/>
    <n v="4"/>
    <n v="2"/>
    <n v="2"/>
    <n v="2"/>
    <x v="2"/>
  </r>
  <r>
    <n v="34"/>
    <x v="1"/>
    <s v="Travel_Frequently"/>
    <n v="618"/>
    <s v="Research &amp; Development"/>
    <n v="3"/>
    <n v="1"/>
    <s v="Life Sciences"/>
    <n v="1103"/>
    <n v="1"/>
    <s v="Male"/>
    <n v="45"/>
    <n v="3"/>
    <n v="2"/>
    <s v="Healthcare Representative"/>
    <n v="4"/>
    <s v="Single"/>
    <n v="7756"/>
    <n v="22266"/>
    <n v="0"/>
    <s v="No"/>
    <n v="17"/>
    <n v="3"/>
    <n v="3"/>
    <n v="0"/>
    <n v="7"/>
    <n v="1"/>
    <n v="2"/>
    <n v="6"/>
    <n v="2"/>
    <n v="0"/>
    <n v="4"/>
    <x v="2"/>
  </r>
  <r>
    <n v="37"/>
    <x v="1"/>
    <s v="Travel_Rarely"/>
    <n v="309"/>
    <s v="Sales"/>
    <n v="10"/>
    <n v="4"/>
    <s v="Life Sciences"/>
    <n v="1105"/>
    <n v="4"/>
    <s v="Female"/>
    <n v="88"/>
    <n v="2"/>
    <n v="2"/>
    <s v="Sales Executive"/>
    <n v="4"/>
    <s v="Divorced"/>
    <n v="6694"/>
    <n v="24223"/>
    <n v="2"/>
    <s v="Yes"/>
    <n v="14"/>
    <n v="3"/>
    <n v="3"/>
    <n v="3"/>
    <n v="8"/>
    <n v="5"/>
    <n v="3"/>
    <n v="1"/>
    <n v="0"/>
    <n v="0"/>
    <n v="0"/>
    <x v="0"/>
  </r>
  <r>
    <n v="25"/>
    <x v="0"/>
    <s v="Travel_Rarely"/>
    <n v="1219"/>
    <s v="Research &amp; Development"/>
    <n v="4"/>
    <n v="1"/>
    <s v="Technical Degree"/>
    <n v="1106"/>
    <n v="4"/>
    <s v="Male"/>
    <n v="32"/>
    <n v="3"/>
    <n v="1"/>
    <s v="Laboratory Technician"/>
    <n v="4"/>
    <s v="Married"/>
    <n v="3691"/>
    <n v="4605"/>
    <n v="1"/>
    <s v="Yes"/>
    <n v="15"/>
    <n v="3"/>
    <n v="2"/>
    <n v="1"/>
    <n v="7"/>
    <n v="3"/>
    <n v="4"/>
    <n v="7"/>
    <n v="7"/>
    <n v="5"/>
    <n v="6"/>
    <x v="2"/>
  </r>
  <r>
    <n v="26"/>
    <x v="0"/>
    <s v="Travel_Rarely"/>
    <n v="1330"/>
    <s v="Research &amp; Development"/>
    <n v="21"/>
    <n v="3"/>
    <s v="Medical"/>
    <n v="1107"/>
    <n v="1"/>
    <s v="Male"/>
    <n v="37"/>
    <n v="3"/>
    <n v="1"/>
    <s v="Laboratory Technician"/>
    <n v="3"/>
    <s v="Divorced"/>
    <n v="2377"/>
    <n v="19373"/>
    <n v="1"/>
    <s v="No"/>
    <n v="20"/>
    <n v="4"/>
    <n v="3"/>
    <n v="1"/>
    <n v="1"/>
    <n v="0"/>
    <n v="2"/>
    <n v="1"/>
    <n v="1"/>
    <n v="0"/>
    <n v="0"/>
    <x v="2"/>
  </r>
  <r>
    <n v="33"/>
    <x v="0"/>
    <s v="Travel_Rarely"/>
    <n v="1017"/>
    <s v="Research &amp; Development"/>
    <n v="25"/>
    <n v="3"/>
    <s v="Medical"/>
    <n v="1108"/>
    <n v="1"/>
    <s v="Male"/>
    <n v="55"/>
    <n v="2"/>
    <n v="1"/>
    <s v="Research Scientist"/>
    <n v="2"/>
    <s v="Single"/>
    <n v="2313"/>
    <n v="2993"/>
    <n v="4"/>
    <s v="Yes"/>
    <n v="20"/>
    <n v="4"/>
    <n v="2"/>
    <n v="0"/>
    <n v="5"/>
    <n v="0"/>
    <n v="3"/>
    <n v="2"/>
    <n v="2"/>
    <n v="2"/>
    <n v="2"/>
    <x v="2"/>
  </r>
  <r>
    <n v="42"/>
    <x v="1"/>
    <s v="Travel_Rarely"/>
    <n v="469"/>
    <s v="Research &amp; Development"/>
    <n v="2"/>
    <n v="2"/>
    <s v="Medical"/>
    <n v="1109"/>
    <n v="4"/>
    <s v="Male"/>
    <n v="35"/>
    <n v="3"/>
    <n v="4"/>
    <s v="Manager"/>
    <n v="1"/>
    <s v="Married"/>
    <n v="17665"/>
    <n v="14399"/>
    <n v="0"/>
    <s v="No"/>
    <n v="17"/>
    <n v="3"/>
    <n v="4"/>
    <n v="1"/>
    <n v="23"/>
    <n v="3"/>
    <n v="3"/>
    <n v="22"/>
    <n v="6"/>
    <n v="13"/>
    <n v="7"/>
    <x v="0"/>
  </r>
  <r>
    <n v="28"/>
    <x v="0"/>
    <s v="Travel_Frequently"/>
    <n v="1009"/>
    <s v="Research &amp; Development"/>
    <n v="1"/>
    <n v="3"/>
    <s v="Medical"/>
    <n v="1111"/>
    <n v="1"/>
    <s v="Male"/>
    <n v="45"/>
    <n v="2"/>
    <n v="1"/>
    <s v="Laboratory Technician"/>
    <n v="2"/>
    <s v="Divorced"/>
    <n v="2596"/>
    <n v="7160"/>
    <n v="1"/>
    <s v="No"/>
    <n v="15"/>
    <n v="3"/>
    <n v="1"/>
    <n v="2"/>
    <n v="1"/>
    <n v="2"/>
    <n v="3"/>
    <n v="1"/>
    <n v="0"/>
    <n v="0"/>
    <n v="0"/>
    <x v="2"/>
  </r>
  <r>
    <n v="50"/>
    <x v="0"/>
    <s v="Travel_Frequently"/>
    <n v="959"/>
    <s v="Sales"/>
    <n v="1"/>
    <n v="4"/>
    <s v="Other"/>
    <n v="1113"/>
    <n v="4"/>
    <s v="Male"/>
    <n v="81"/>
    <n v="3"/>
    <n v="2"/>
    <s v="Sales Executive"/>
    <n v="3"/>
    <s v="Single"/>
    <n v="4728"/>
    <n v="17251"/>
    <n v="3"/>
    <s v="Yes"/>
    <n v="14"/>
    <n v="3"/>
    <n v="4"/>
    <n v="0"/>
    <n v="5"/>
    <n v="4"/>
    <n v="3"/>
    <n v="0"/>
    <n v="0"/>
    <n v="0"/>
    <n v="0"/>
    <x v="1"/>
  </r>
  <r>
    <n v="33"/>
    <x v="1"/>
    <s v="Travel_Frequently"/>
    <n v="970"/>
    <s v="Sales"/>
    <n v="7"/>
    <n v="3"/>
    <s v="Life Sciences"/>
    <n v="1114"/>
    <n v="4"/>
    <s v="Female"/>
    <n v="30"/>
    <n v="3"/>
    <n v="2"/>
    <s v="Sales Executive"/>
    <n v="2"/>
    <s v="Married"/>
    <n v="4302"/>
    <n v="13401"/>
    <n v="0"/>
    <s v="No"/>
    <n v="17"/>
    <n v="3"/>
    <n v="3"/>
    <n v="1"/>
    <n v="4"/>
    <n v="3"/>
    <n v="3"/>
    <n v="3"/>
    <n v="2"/>
    <n v="0"/>
    <n v="2"/>
    <x v="2"/>
  </r>
  <r>
    <n v="34"/>
    <x v="1"/>
    <s v="Non-Travel"/>
    <n v="697"/>
    <s v="Research &amp; Development"/>
    <n v="3"/>
    <n v="4"/>
    <s v="Life Sciences"/>
    <n v="1115"/>
    <n v="3"/>
    <s v="Male"/>
    <n v="40"/>
    <n v="2"/>
    <n v="1"/>
    <s v="Research Scientist"/>
    <n v="4"/>
    <s v="Married"/>
    <n v="2979"/>
    <n v="22478"/>
    <n v="3"/>
    <s v="No"/>
    <n v="17"/>
    <n v="3"/>
    <n v="4"/>
    <n v="3"/>
    <n v="6"/>
    <n v="2"/>
    <n v="3"/>
    <n v="0"/>
    <n v="0"/>
    <n v="0"/>
    <n v="0"/>
    <x v="2"/>
  </r>
  <r>
    <n v="48"/>
    <x v="1"/>
    <s v="Non-Travel"/>
    <n v="1262"/>
    <s v="Research &amp; Development"/>
    <n v="1"/>
    <n v="4"/>
    <s v="Medical"/>
    <n v="1116"/>
    <n v="1"/>
    <s v="Male"/>
    <n v="35"/>
    <n v="4"/>
    <n v="4"/>
    <s v="Manager"/>
    <n v="4"/>
    <s v="Single"/>
    <n v="16885"/>
    <n v="16154"/>
    <n v="2"/>
    <s v="No"/>
    <n v="22"/>
    <n v="4"/>
    <n v="3"/>
    <n v="0"/>
    <n v="27"/>
    <n v="3"/>
    <n v="2"/>
    <n v="5"/>
    <n v="4"/>
    <n v="2"/>
    <n v="1"/>
    <x v="1"/>
  </r>
  <r>
    <n v="45"/>
    <x v="1"/>
    <s v="Non-Travel"/>
    <n v="1050"/>
    <s v="Sales"/>
    <n v="9"/>
    <n v="4"/>
    <s v="Life Sciences"/>
    <n v="1117"/>
    <n v="2"/>
    <s v="Female"/>
    <n v="65"/>
    <n v="2"/>
    <n v="2"/>
    <s v="Sales Executive"/>
    <n v="3"/>
    <s v="Married"/>
    <n v="5593"/>
    <n v="17970"/>
    <n v="1"/>
    <s v="No"/>
    <n v="13"/>
    <n v="3"/>
    <n v="4"/>
    <n v="1"/>
    <n v="15"/>
    <n v="2"/>
    <n v="3"/>
    <n v="15"/>
    <n v="10"/>
    <n v="4"/>
    <n v="12"/>
    <x v="1"/>
  </r>
  <r>
    <n v="52"/>
    <x v="1"/>
    <s v="Travel_Rarely"/>
    <n v="994"/>
    <s v="Research &amp; Development"/>
    <n v="7"/>
    <n v="4"/>
    <s v="Life Sciences"/>
    <n v="1118"/>
    <n v="2"/>
    <s v="Male"/>
    <n v="87"/>
    <n v="3"/>
    <n v="3"/>
    <s v="Healthcare Representative"/>
    <n v="2"/>
    <s v="Single"/>
    <n v="10445"/>
    <n v="15322"/>
    <n v="7"/>
    <s v="No"/>
    <n v="19"/>
    <n v="3"/>
    <n v="4"/>
    <n v="0"/>
    <n v="18"/>
    <n v="4"/>
    <n v="3"/>
    <n v="8"/>
    <n v="6"/>
    <n v="4"/>
    <n v="0"/>
    <x v="1"/>
  </r>
  <r>
    <n v="38"/>
    <x v="1"/>
    <s v="Travel_Rarely"/>
    <n v="770"/>
    <s v="Sales"/>
    <n v="10"/>
    <n v="4"/>
    <s v="Marketing"/>
    <n v="1119"/>
    <n v="3"/>
    <s v="Male"/>
    <n v="73"/>
    <n v="2"/>
    <n v="3"/>
    <s v="Sales Executive"/>
    <n v="3"/>
    <s v="Divorced"/>
    <n v="8740"/>
    <n v="5569"/>
    <n v="0"/>
    <s v="Yes"/>
    <n v="14"/>
    <n v="3"/>
    <n v="2"/>
    <n v="2"/>
    <n v="9"/>
    <n v="2"/>
    <n v="3"/>
    <n v="8"/>
    <n v="7"/>
    <n v="2"/>
    <n v="7"/>
    <x v="0"/>
  </r>
  <r>
    <n v="29"/>
    <x v="1"/>
    <s v="Travel_Rarely"/>
    <n v="1107"/>
    <s v="Research &amp; Development"/>
    <n v="28"/>
    <n v="4"/>
    <s v="Life Sciences"/>
    <n v="1120"/>
    <n v="3"/>
    <s v="Female"/>
    <n v="93"/>
    <n v="3"/>
    <n v="1"/>
    <s v="Research Scientist"/>
    <n v="4"/>
    <s v="Divorced"/>
    <n v="2514"/>
    <n v="26968"/>
    <n v="4"/>
    <s v="No"/>
    <n v="22"/>
    <n v="4"/>
    <n v="1"/>
    <n v="1"/>
    <n v="11"/>
    <n v="1"/>
    <n v="3"/>
    <n v="7"/>
    <n v="5"/>
    <n v="1"/>
    <n v="7"/>
    <x v="2"/>
  </r>
  <r>
    <n v="28"/>
    <x v="1"/>
    <s v="Travel_Rarely"/>
    <n v="950"/>
    <s v="Research &amp; Development"/>
    <n v="3"/>
    <n v="3"/>
    <s v="Medical"/>
    <n v="1121"/>
    <n v="4"/>
    <s v="Female"/>
    <n v="93"/>
    <n v="3"/>
    <n v="3"/>
    <s v="Manufacturing Director"/>
    <n v="2"/>
    <s v="Divorced"/>
    <n v="7655"/>
    <n v="8039"/>
    <n v="0"/>
    <s v="No"/>
    <n v="17"/>
    <n v="3"/>
    <n v="2"/>
    <n v="3"/>
    <n v="10"/>
    <n v="3"/>
    <n v="2"/>
    <n v="9"/>
    <n v="7"/>
    <n v="1"/>
    <n v="7"/>
    <x v="2"/>
  </r>
  <r>
    <n v="46"/>
    <x v="1"/>
    <s v="Travel_Rarely"/>
    <n v="406"/>
    <s v="Sales"/>
    <n v="3"/>
    <n v="1"/>
    <s v="Marketing"/>
    <n v="1124"/>
    <n v="1"/>
    <s v="Male"/>
    <n v="52"/>
    <n v="3"/>
    <n v="4"/>
    <s v="Manager"/>
    <n v="3"/>
    <s v="Married"/>
    <n v="17465"/>
    <n v="15596"/>
    <n v="3"/>
    <s v="No"/>
    <n v="12"/>
    <n v="3"/>
    <n v="4"/>
    <n v="1"/>
    <n v="23"/>
    <n v="3"/>
    <n v="3"/>
    <n v="12"/>
    <n v="9"/>
    <n v="4"/>
    <n v="9"/>
    <x v="1"/>
  </r>
  <r>
    <n v="38"/>
    <x v="1"/>
    <s v="Travel_Rarely"/>
    <n v="130"/>
    <s v="Sales"/>
    <n v="2"/>
    <n v="2"/>
    <s v="Marketing"/>
    <n v="1125"/>
    <n v="4"/>
    <s v="Male"/>
    <n v="32"/>
    <n v="3"/>
    <n v="3"/>
    <s v="Sales Executive"/>
    <n v="2"/>
    <s v="Single"/>
    <n v="7351"/>
    <n v="20619"/>
    <n v="7"/>
    <s v="No"/>
    <n v="16"/>
    <n v="3"/>
    <n v="3"/>
    <n v="0"/>
    <n v="10"/>
    <n v="2"/>
    <n v="3"/>
    <n v="1"/>
    <n v="0"/>
    <n v="0"/>
    <n v="0"/>
    <x v="0"/>
  </r>
  <r>
    <n v="43"/>
    <x v="1"/>
    <s v="Travel_Frequently"/>
    <n v="1082"/>
    <s v="Research &amp; Development"/>
    <n v="27"/>
    <n v="3"/>
    <s v="Life Sciences"/>
    <n v="1126"/>
    <n v="3"/>
    <s v="Female"/>
    <n v="83"/>
    <n v="3"/>
    <n v="3"/>
    <s v="Manufacturing Director"/>
    <n v="1"/>
    <s v="Married"/>
    <n v="10820"/>
    <n v="11535"/>
    <n v="8"/>
    <s v="No"/>
    <n v="11"/>
    <n v="3"/>
    <n v="3"/>
    <n v="1"/>
    <n v="18"/>
    <n v="1"/>
    <n v="3"/>
    <n v="8"/>
    <n v="7"/>
    <n v="0"/>
    <n v="1"/>
    <x v="0"/>
  </r>
  <r>
    <n v="39"/>
    <x v="0"/>
    <s v="Travel_Frequently"/>
    <n v="203"/>
    <s v="Research &amp; Development"/>
    <n v="2"/>
    <n v="3"/>
    <s v="Life Sciences"/>
    <n v="1127"/>
    <n v="1"/>
    <s v="Male"/>
    <n v="84"/>
    <n v="3"/>
    <n v="4"/>
    <s v="Healthcare Representative"/>
    <n v="4"/>
    <s v="Divorced"/>
    <n v="12169"/>
    <n v="13547"/>
    <n v="7"/>
    <s v="No"/>
    <n v="11"/>
    <n v="3"/>
    <n v="4"/>
    <n v="3"/>
    <n v="21"/>
    <n v="4"/>
    <n v="3"/>
    <n v="18"/>
    <n v="7"/>
    <n v="11"/>
    <n v="5"/>
    <x v="0"/>
  </r>
  <r>
    <n v="40"/>
    <x v="1"/>
    <s v="Travel_Rarely"/>
    <n v="1308"/>
    <s v="Research &amp; Development"/>
    <n v="14"/>
    <n v="3"/>
    <s v="Medical"/>
    <n v="1128"/>
    <n v="3"/>
    <s v="Male"/>
    <n v="44"/>
    <n v="2"/>
    <n v="5"/>
    <s v="Research Director"/>
    <n v="3"/>
    <s v="Single"/>
    <n v="19626"/>
    <n v="17544"/>
    <n v="1"/>
    <s v="No"/>
    <n v="14"/>
    <n v="3"/>
    <n v="1"/>
    <n v="0"/>
    <n v="21"/>
    <n v="2"/>
    <n v="4"/>
    <n v="20"/>
    <n v="7"/>
    <n v="4"/>
    <n v="9"/>
    <x v="0"/>
  </r>
  <r>
    <n v="21"/>
    <x v="1"/>
    <s v="Travel_Rarely"/>
    <n v="984"/>
    <s v="Research &amp; Development"/>
    <n v="1"/>
    <n v="1"/>
    <s v="Technical Degree"/>
    <n v="1131"/>
    <n v="4"/>
    <s v="Female"/>
    <n v="70"/>
    <n v="2"/>
    <n v="1"/>
    <s v="Research Scientist"/>
    <n v="2"/>
    <s v="Single"/>
    <n v="2070"/>
    <n v="25326"/>
    <n v="1"/>
    <s v="Yes"/>
    <n v="11"/>
    <n v="3"/>
    <n v="3"/>
    <n v="0"/>
    <n v="2"/>
    <n v="6"/>
    <n v="4"/>
    <n v="2"/>
    <n v="2"/>
    <n v="2"/>
    <n v="2"/>
    <x v="2"/>
  </r>
  <r>
    <n v="39"/>
    <x v="1"/>
    <s v="Non-Travel"/>
    <n v="439"/>
    <s v="Research &amp; Development"/>
    <n v="9"/>
    <n v="3"/>
    <s v="Life Sciences"/>
    <n v="1132"/>
    <n v="3"/>
    <s v="Male"/>
    <n v="70"/>
    <n v="3"/>
    <n v="2"/>
    <s v="Laboratory Technician"/>
    <n v="2"/>
    <s v="Single"/>
    <n v="6782"/>
    <n v="8770"/>
    <n v="9"/>
    <s v="No"/>
    <n v="15"/>
    <n v="3"/>
    <n v="3"/>
    <n v="0"/>
    <n v="9"/>
    <n v="2"/>
    <n v="2"/>
    <n v="5"/>
    <n v="4"/>
    <n v="0"/>
    <n v="3"/>
    <x v="0"/>
  </r>
  <r>
    <n v="36"/>
    <x v="1"/>
    <s v="Non-Travel"/>
    <n v="217"/>
    <s v="Research &amp; Development"/>
    <n v="18"/>
    <n v="4"/>
    <s v="Life Sciences"/>
    <n v="1133"/>
    <n v="1"/>
    <s v="Male"/>
    <n v="78"/>
    <n v="3"/>
    <n v="2"/>
    <s v="Manufacturing Director"/>
    <n v="4"/>
    <s v="Single"/>
    <n v="7779"/>
    <n v="23238"/>
    <n v="2"/>
    <s v="No"/>
    <n v="20"/>
    <n v="4"/>
    <n v="1"/>
    <n v="0"/>
    <n v="18"/>
    <n v="0"/>
    <n v="3"/>
    <n v="11"/>
    <n v="9"/>
    <n v="0"/>
    <n v="9"/>
    <x v="0"/>
  </r>
  <r>
    <n v="31"/>
    <x v="1"/>
    <s v="Travel_Frequently"/>
    <n v="793"/>
    <s v="Sales"/>
    <n v="20"/>
    <n v="3"/>
    <s v="Life Sciences"/>
    <n v="1135"/>
    <n v="3"/>
    <s v="Male"/>
    <n v="67"/>
    <n v="4"/>
    <n v="1"/>
    <s v="Sales Representative"/>
    <n v="4"/>
    <s v="Married"/>
    <n v="2791"/>
    <n v="21981"/>
    <n v="0"/>
    <s v="No"/>
    <n v="12"/>
    <n v="3"/>
    <n v="1"/>
    <n v="1"/>
    <n v="3"/>
    <n v="4"/>
    <n v="3"/>
    <n v="2"/>
    <n v="2"/>
    <n v="2"/>
    <n v="2"/>
    <x v="2"/>
  </r>
  <r>
    <n v="28"/>
    <x v="1"/>
    <s v="Travel_Rarely"/>
    <n v="1451"/>
    <s v="Research &amp; Development"/>
    <n v="2"/>
    <n v="1"/>
    <s v="Life Sciences"/>
    <n v="1136"/>
    <n v="1"/>
    <s v="Male"/>
    <n v="67"/>
    <n v="2"/>
    <n v="1"/>
    <s v="Research Scientist"/>
    <n v="2"/>
    <s v="Married"/>
    <n v="3201"/>
    <n v="19911"/>
    <n v="0"/>
    <s v="No"/>
    <n v="17"/>
    <n v="3"/>
    <n v="1"/>
    <n v="0"/>
    <n v="6"/>
    <n v="2"/>
    <n v="1"/>
    <n v="5"/>
    <n v="3"/>
    <n v="0"/>
    <n v="4"/>
    <x v="2"/>
  </r>
  <r>
    <n v="35"/>
    <x v="1"/>
    <s v="Travel_Frequently"/>
    <n v="1182"/>
    <s v="Sales"/>
    <n v="11"/>
    <n v="2"/>
    <s v="Marketing"/>
    <n v="1137"/>
    <n v="4"/>
    <s v="Male"/>
    <n v="54"/>
    <n v="3"/>
    <n v="2"/>
    <s v="Sales Executive"/>
    <n v="4"/>
    <s v="Divorced"/>
    <n v="4968"/>
    <n v="18500"/>
    <n v="1"/>
    <s v="No"/>
    <n v="11"/>
    <n v="3"/>
    <n v="4"/>
    <n v="1"/>
    <n v="5"/>
    <n v="3"/>
    <n v="3"/>
    <n v="5"/>
    <n v="2"/>
    <n v="0"/>
    <n v="2"/>
    <x v="0"/>
  </r>
  <r>
    <n v="49"/>
    <x v="1"/>
    <s v="Travel_Rarely"/>
    <n v="174"/>
    <s v="Sales"/>
    <n v="8"/>
    <n v="4"/>
    <s v="Technical Degree"/>
    <n v="1138"/>
    <n v="4"/>
    <s v="Male"/>
    <n v="56"/>
    <n v="2"/>
    <n v="4"/>
    <s v="Sales Executive"/>
    <n v="2"/>
    <s v="Married"/>
    <n v="13120"/>
    <n v="11879"/>
    <n v="6"/>
    <s v="No"/>
    <n v="17"/>
    <n v="3"/>
    <n v="2"/>
    <n v="1"/>
    <n v="22"/>
    <n v="3"/>
    <n v="3"/>
    <n v="9"/>
    <n v="8"/>
    <n v="2"/>
    <n v="3"/>
    <x v="1"/>
  </r>
  <r>
    <n v="34"/>
    <x v="1"/>
    <s v="Travel_Frequently"/>
    <n v="1003"/>
    <s v="Research &amp; Development"/>
    <n v="2"/>
    <n v="2"/>
    <s v="Life Sciences"/>
    <n v="1140"/>
    <n v="4"/>
    <s v="Male"/>
    <n v="95"/>
    <n v="3"/>
    <n v="2"/>
    <s v="Manufacturing Director"/>
    <n v="3"/>
    <s v="Single"/>
    <n v="4033"/>
    <n v="15834"/>
    <n v="2"/>
    <s v="No"/>
    <n v="11"/>
    <n v="3"/>
    <n v="4"/>
    <n v="0"/>
    <n v="5"/>
    <n v="3"/>
    <n v="2"/>
    <n v="3"/>
    <n v="2"/>
    <n v="0"/>
    <n v="2"/>
    <x v="2"/>
  </r>
  <r>
    <n v="29"/>
    <x v="1"/>
    <s v="Travel_Frequently"/>
    <n v="490"/>
    <s v="Research &amp; Development"/>
    <n v="10"/>
    <n v="3"/>
    <s v="Life Sciences"/>
    <n v="1143"/>
    <n v="4"/>
    <s v="Female"/>
    <n v="61"/>
    <n v="3"/>
    <n v="1"/>
    <s v="Research Scientist"/>
    <n v="2"/>
    <s v="Divorced"/>
    <n v="3291"/>
    <n v="17940"/>
    <n v="0"/>
    <s v="No"/>
    <n v="14"/>
    <n v="3"/>
    <n v="4"/>
    <n v="2"/>
    <n v="8"/>
    <n v="2"/>
    <n v="2"/>
    <n v="7"/>
    <n v="5"/>
    <n v="1"/>
    <n v="1"/>
    <x v="2"/>
  </r>
  <r>
    <n v="42"/>
    <x v="1"/>
    <s v="Travel_Rarely"/>
    <n v="188"/>
    <s v="Research &amp; Development"/>
    <n v="29"/>
    <n v="3"/>
    <s v="Medical"/>
    <n v="1148"/>
    <n v="2"/>
    <s v="Male"/>
    <n v="56"/>
    <n v="1"/>
    <n v="2"/>
    <s v="Laboratory Technician"/>
    <n v="4"/>
    <s v="Single"/>
    <n v="4272"/>
    <n v="9558"/>
    <n v="4"/>
    <s v="No"/>
    <n v="19"/>
    <n v="3"/>
    <n v="1"/>
    <n v="0"/>
    <n v="16"/>
    <n v="3"/>
    <n v="3"/>
    <n v="1"/>
    <n v="0"/>
    <n v="0"/>
    <n v="0"/>
    <x v="0"/>
  </r>
  <r>
    <n v="29"/>
    <x v="1"/>
    <s v="Travel_Rarely"/>
    <n v="718"/>
    <s v="Research &amp; Development"/>
    <n v="8"/>
    <n v="1"/>
    <s v="Medical"/>
    <n v="1150"/>
    <n v="2"/>
    <s v="Male"/>
    <n v="79"/>
    <n v="2"/>
    <n v="2"/>
    <s v="Manufacturing Director"/>
    <n v="4"/>
    <s v="Married"/>
    <n v="5056"/>
    <n v="17689"/>
    <n v="1"/>
    <s v="Yes"/>
    <n v="15"/>
    <n v="3"/>
    <n v="3"/>
    <n v="1"/>
    <n v="10"/>
    <n v="2"/>
    <n v="2"/>
    <n v="10"/>
    <n v="7"/>
    <n v="1"/>
    <n v="2"/>
    <x v="2"/>
  </r>
  <r>
    <n v="38"/>
    <x v="1"/>
    <s v="Travel_Rarely"/>
    <n v="433"/>
    <s v="Human Resources"/>
    <n v="1"/>
    <n v="3"/>
    <s v="Human Resources"/>
    <n v="1152"/>
    <n v="3"/>
    <s v="Male"/>
    <n v="37"/>
    <n v="4"/>
    <n v="1"/>
    <s v="Human Resources"/>
    <n v="3"/>
    <s v="Married"/>
    <n v="2844"/>
    <n v="6004"/>
    <n v="1"/>
    <s v="No"/>
    <n v="13"/>
    <n v="3"/>
    <n v="4"/>
    <n v="1"/>
    <n v="7"/>
    <n v="2"/>
    <n v="4"/>
    <n v="7"/>
    <n v="6"/>
    <n v="5"/>
    <n v="0"/>
    <x v="0"/>
  </r>
  <r>
    <n v="28"/>
    <x v="1"/>
    <s v="Travel_Frequently"/>
    <n v="773"/>
    <s v="Research &amp; Development"/>
    <n v="6"/>
    <n v="3"/>
    <s v="Life Sciences"/>
    <n v="1154"/>
    <n v="3"/>
    <s v="Male"/>
    <n v="39"/>
    <n v="2"/>
    <n v="1"/>
    <s v="Research Scientist"/>
    <n v="3"/>
    <s v="Divorced"/>
    <n v="2703"/>
    <n v="22088"/>
    <n v="1"/>
    <s v="Yes"/>
    <n v="14"/>
    <n v="3"/>
    <n v="4"/>
    <n v="1"/>
    <n v="3"/>
    <n v="2"/>
    <n v="3"/>
    <n v="3"/>
    <n v="1"/>
    <n v="0"/>
    <n v="2"/>
    <x v="2"/>
  </r>
  <r>
    <n v="18"/>
    <x v="0"/>
    <s v="Non-Travel"/>
    <n v="247"/>
    <s v="Research &amp; Development"/>
    <n v="8"/>
    <n v="1"/>
    <s v="Medical"/>
    <n v="1156"/>
    <n v="3"/>
    <s v="Male"/>
    <n v="80"/>
    <n v="3"/>
    <n v="1"/>
    <s v="Laboratory Technician"/>
    <n v="3"/>
    <s v="Single"/>
    <n v="1904"/>
    <n v="13556"/>
    <n v="1"/>
    <s v="No"/>
    <n v="12"/>
    <n v="3"/>
    <n v="4"/>
    <n v="0"/>
    <n v="0"/>
    <n v="0"/>
    <n v="3"/>
    <n v="0"/>
    <n v="0"/>
    <n v="0"/>
    <n v="0"/>
    <x v="2"/>
  </r>
  <r>
    <n v="33"/>
    <x v="0"/>
    <s v="Travel_Rarely"/>
    <n v="603"/>
    <s v="Sales"/>
    <n v="9"/>
    <n v="4"/>
    <s v="Marketing"/>
    <n v="1157"/>
    <n v="1"/>
    <s v="Female"/>
    <n v="77"/>
    <n v="3"/>
    <n v="2"/>
    <s v="Sales Executive"/>
    <n v="1"/>
    <s v="Single"/>
    <n v="8224"/>
    <n v="18385"/>
    <n v="0"/>
    <s v="Yes"/>
    <n v="17"/>
    <n v="3"/>
    <n v="1"/>
    <n v="0"/>
    <n v="6"/>
    <n v="3"/>
    <n v="3"/>
    <n v="5"/>
    <n v="2"/>
    <n v="0"/>
    <n v="3"/>
    <x v="2"/>
  </r>
  <r>
    <n v="41"/>
    <x v="1"/>
    <s v="Travel_Rarely"/>
    <n v="167"/>
    <s v="Research &amp; Development"/>
    <n v="12"/>
    <n v="4"/>
    <s v="Life Sciences"/>
    <n v="1158"/>
    <n v="2"/>
    <s v="Male"/>
    <n v="46"/>
    <n v="3"/>
    <n v="1"/>
    <s v="Laboratory Technician"/>
    <n v="4"/>
    <s v="Married"/>
    <n v="4766"/>
    <n v="9051"/>
    <n v="3"/>
    <s v="Yes"/>
    <n v="11"/>
    <n v="3"/>
    <n v="1"/>
    <n v="1"/>
    <n v="6"/>
    <n v="4"/>
    <n v="3"/>
    <n v="1"/>
    <n v="0"/>
    <n v="0"/>
    <n v="0"/>
    <x v="0"/>
  </r>
  <r>
    <n v="31"/>
    <x v="0"/>
    <s v="Travel_Frequently"/>
    <n v="874"/>
    <s v="Research &amp; Development"/>
    <n v="15"/>
    <n v="3"/>
    <s v="Medical"/>
    <n v="1160"/>
    <n v="3"/>
    <s v="Male"/>
    <n v="72"/>
    <n v="3"/>
    <n v="1"/>
    <s v="Laboratory Technician"/>
    <n v="3"/>
    <s v="Married"/>
    <n v="2610"/>
    <n v="6233"/>
    <n v="1"/>
    <s v="No"/>
    <n v="12"/>
    <n v="3"/>
    <n v="3"/>
    <n v="1"/>
    <n v="2"/>
    <n v="5"/>
    <n v="2"/>
    <n v="2"/>
    <n v="2"/>
    <n v="2"/>
    <n v="2"/>
    <x v="2"/>
  </r>
  <r>
    <n v="37"/>
    <x v="1"/>
    <s v="Travel_Rarely"/>
    <n v="367"/>
    <s v="Research &amp; Development"/>
    <n v="25"/>
    <n v="2"/>
    <s v="Medical"/>
    <n v="1161"/>
    <n v="3"/>
    <s v="Female"/>
    <n v="52"/>
    <n v="2"/>
    <n v="2"/>
    <s v="Healthcare Representative"/>
    <n v="4"/>
    <s v="Divorced"/>
    <n v="5731"/>
    <n v="17171"/>
    <n v="7"/>
    <s v="No"/>
    <n v="13"/>
    <n v="3"/>
    <n v="3"/>
    <n v="2"/>
    <n v="9"/>
    <n v="2"/>
    <n v="3"/>
    <n v="6"/>
    <n v="2"/>
    <n v="1"/>
    <n v="3"/>
    <x v="0"/>
  </r>
  <r>
    <n v="27"/>
    <x v="1"/>
    <s v="Travel_Rarely"/>
    <n v="199"/>
    <s v="Research &amp; Development"/>
    <n v="6"/>
    <n v="3"/>
    <s v="Life Sciences"/>
    <n v="1162"/>
    <n v="4"/>
    <s v="Male"/>
    <n v="55"/>
    <n v="2"/>
    <n v="1"/>
    <s v="Research Scientist"/>
    <n v="3"/>
    <s v="Married"/>
    <n v="2539"/>
    <n v="7950"/>
    <n v="1"/>
    <s v="No"/>
    <n v="13"/>
    <n v="3"/>
    <n v="3"/>
    <n v="1"/>
    <n v="4"/>
    <n v="0"/>
    <n v="3"/>
    <n v="4"/>
    <n v="2"/>
    <n v="2"/>
    <n v="2"/>
    <x v="2"/>
  </r>
  <r>
    <n v="34"/>
    <x v="1"/>
    <s v="Travel_Rarely"/>
    <n v="1400"/>
    <s v="Sales"/>
    <n v="9"/>
    <n v="1"/>
    <s v="Life Sciences"/>
    <n v="1163"/>
    <n v="2"/>
    <s v="Female"/>
    <n v="70"/>
    <n v="3"/>
    <n v="2"/>
    <s v="Sales Executive"/>
    <n v="3"/>
    <s v="Married"/>
    <n v="5714"/>
    <n v="5829"/>
    <n v="1"/>
    <s v="No"/>
    <n v="20"/>
    <n v="4"/>
    <n v="1"/>
    <n v="0"/>
    <n v="6"/>
    <n v="3"/>
    <n v="2"/>
    <n v="6"/>
    <n v="5"/>
    <n v="1"/>
    <n v="3"/>
    <x v="2"/>
  </r>
  <r>
    <n v="35"/>
    <x v="1"/>
    <s v="Travel_Rarely"/>
    <n v="528"/>
    <s v="Human Resources"/>
    <n v="8"/>
    <n v="4"/>
    <s v="Technical Degree"/>
    <n v="1164"/>
    <n v="3"/>
    <s v="Male"/>
    <n v="100"/>
    <n v="3"/>
    <n v="1"/>
    <s v="Human Resources"/>
    <n v="3"/>
    <s v="Single"/>
    <n v="4323"/>
    <n v="7108"/>
    <n v="1"/>
    <s v="No"/>
    <n v="17"/>
    <n v="3"/>
    <n v="2"/>
    <n v="0"/>
    <n v="6"/>
    <n v="2"/>
    <n v="1"/>
    <n v="5"/>
    <n v="4"/>
    <n v="1"/>
    <n v="4"/>
    <x v="0"/>
  </r>
  <r>
    <n v="29"/>
    <x v="0"/>
    <s v="Travel_Rarely"/>
    <n v="408"/>
    <s v="Sales"/>
    <n v="23"/>
    <n v="1"/>
    <s v="Life Sciences"/>
    <n v="1165"/>
    <n v="4"/>
    <s v="Female"/>
    <n v="45"/>
    <n v="2"/>
    <n v="3"/>
    <s v="Sales Executive"/>
    <n v="1"/>
    <s v="Married"/>
    <n v="7336"/>
    <n v="11162"/>
    <n v="1"/>
    <s v="No"/>
    <n v="13"/>
    <n v="3"/>
    <n v="1"/>
    <n v="1"/>
    <n v="11"/>
    <n v="3"/>
    <n v="1"/>
    <n v="11"/>
    <n v="8"/>
    <n v="3"/>
    <n v="10"/>
    <x v="2"/>
  </r>
  <r>
    <n v="40"/>
    <x v="1"/>
    <s v="Travel_Frequently"/>
    <n v="593"/>
    <s v="Research &amp; Development"/>
    <n v="9"/>
    <n v="4"/>
    <s v="Medical"/>
    <n v="1166"/>
    <n v="2"/>
    <s v="Female"/>
    <n v="88"/>
    <n v="3"/>
    <n v="3"/>
    <s v="Research Director"/>
    <n v="3"/>
    <s v="Single"/>
    <n v="13499"/>
    <n v="13782"/>
    <n v="9"/>
    <s v="No"/>
    <n v="17"/>
    <n v="3"/>
    <n v="3"/>
    <n v="0"/>
    <n v="20"/>
    <n v="3"/>
    <n v="2"/>
    <n v="18"/>
    <n v="7"/>
    <n v="2"/>
    <n v="13"/>
    <x v="0"/>
  </r>
  <r>
    <n v="42"/>
    <x v="0"/>
    <s v="Travel_Frequently"/>
    <n v="481"/>
    <s v="Sales"/>
    <n v="12"/>
    <n v="3"/>
    <s v="Life Sciences"/>
    <n v="1167"/>
    <n v="3"/>
    <s v="Male"/>
    <n v="44"/>
    <n v="3"/>
    <n v="4"/>
    <s v="Sales Executive"/>
    <n v="1"/>
    <s v="Single"/>
    <n v="13758"/>
    <n v="2447"/>
    <n v="0"/>
    <s v="Yes"/>
    <n v="12"/>
    <n v="3"/>
    <n v="2"/>
    <n v="0"/>
    <n v="22"/>
    <n v="2"/>
    <n v="2"/>
    <n v="21"/>
    <n v="9"/>
    <n v="13"/>
    <n v="14"/>
    <x v="0"/>
  </r>
  <r>
    <n v="42"/>
    <x v="1"/>
    <s v="Travel_Rarely"/>
    <n v="647"/>
    <s v="Sales"/>
    <n v="4"/>
    <n v="4"/>
    <s v="Marketing"/>
    <n v="1171"/>
    <n v="2"/>
    <s v="Male"/>
    <n v="45"/>
    <n v="3"/>
    <n v="2"/>
    <s v="Sales Executive"/>
    <n v="1"/>
    <s v="Single"/>
    <n v="5155"/>
    <n v="2253"/>
    <n v="7"/>
    <s v="No"/>
    <n v="13"/>
    <n v="3"/>
    <n v="4"/>
    <n v="0"/>
    <n v="9"/>
    <n v="3"/>
    <n v="4"/>
    <n v="6"/>
    <n v="4"/>
    <n v="1"/>
    <n v="5"/>
    <x v="0"/>
  </r>
  <r>
    <n v="35"/>
    <x v="1"/>
    <s v="Travel_Rarely"/>
    <n v="982"/>
    <s v="Research &amp; Development"/>
    <n v="1"/>
    <n v="4"/>
    <s v="Medical"/>
    <n v="1172"/>
    <n v="4"/>
    <s v="Male"/>
    <n v="58"/>
    <n v="2"/>
    <n v="1"/>
    <s v="Laboratory Technician"/>
    <n v="3"/>
    <s v="Married"/>
    <n v="2258"/>
    <n v="16340"/>
    <n v="6"/>
    <s v="No"/>
    <n v="12"/>
    <n v="3"/>
    <n v="2"/>
    <n v="1"/>
    <n v="10"/>
    <n v="2"/>
    <n v="3"/>
    <n v="8"/>
    <n v="0"/>
    <n v="1"/>
    <n v="7"/>
    <x v="0"/>
  </r>
  <r>
    <n v="24"/>
    <x v="1"/>
    <s v="Travel_Rarely"/>
    <n v="477"/>
    <s v="Research &amp; Development"/>
    <n v="24"/>
    <n v="3"/>
    <s v="Medical"/>
    <n v="1173"/>
    <n v="4"/>
    <s v="Male"/>
    <n v="49"/>
    <n v="3"/>
    <n v="1"/>
    <s v="Laboratory Technician"/>
    <n v="2"/>
    <s v="Single"/>
    <n v="3597"/>
    <n v="6409"/>
    <n v="8"/>
    <s v="No"/>
    <n v="22"/>
    <n v="4"/>
    <n v="4"/>
    <n v="0"/>
    <n v="6"/>
    <n v="2"/>
    <n v="3"/>
    <n v="4"/>
    <n v="3"/>
    <n v="1"/>
    <n v="2"/>
    <x v="2"/>
  </r>
  <r>
    <n v="28"/>
    <x v="0"/>
    <s v="Travel_Rarely"/>
    <n v="1485"/>
    <s v="Research &amp; Development"/>
    <n v="12"/>
    <n v="1"/>
    <s v="Life Sciences"/>
    <n v="1175"/>
    <n v="3"/>
    <s v="Female"/>
    <n v="79"/>
    <n v="3"/>
    <n v="1"/>
    <s v="Laboratory Technician"/>
    <n v="4"/>
    <s v="Married"/>
    <n v="2515"/>
    <n v="22955"/>
    <n v="1"/>
    <s v="Yes"/>
    <n v="11"/>
    <n v="3"/>
    <n v="4"/>
    <n v="0"/>
    <n v="1"/>
    <n v="4"/>
    <n v="2"/>
    <n v="1"/>
    <n v="1"/>
    <n v="0"/>
    <n v="0"/>
    <x v="2"/>
  </r>
  <r>
    <n v="26"/>
    <x v="1"/>
    <s v="Travel_Rarely"/>
    <n v="1384"/>
    <s v="Research &amp; Development"/>
    <n v="3"/>
    <n v="4"/>
    <s v="Medical"/>
    <n v="1177"/>
    <n v="1"/>
    <s v="Male"/>
    <n v="82"/>
    <n v="4"/>
    <n v="1"/>
    <s v="Laboratory Technician"/>
    <n v="4"/>
    <s v="Married"/>
    <n v="4420"/>
    <n v="13421"/>
    <n v="1"/>
    <s v="No"/>
    <n v="22"/>
    <n v="4"/>
    <n v="2"/>
    <n v="1"/>
    <n v="8"/>
    <n v="2"/>
    <n v="3"/>
    <n v="8"/>
    <n v="7"/>
    <n v="0"/>
    <n v="7"/>
    <x v="2"/>
  </r>
  <r>
    <n v="30"/>
    <x v="1"/>
    <s v="Travel_Rarely"/>
    <n v="852"/>
    <s v="Sales"/>
    <n v="10"/>
    <n v="3"/>
    <s v="Marketing"/>
    <n v="1179"/>
    <n v="3"/>
    <s v="Male"/>
    <n v="72"/>
    <n v="2"/>
    <n v="2"/>
    <s v="Sales Executive"/>
    <n v="3"/>
    <s v="Married"/>
    <n v="6578"/>
    <n v="2706"/>
    <n v="1"/>
    <s v="No"/>
    <n v="18"/>
    <n v="3"/>
    <n v="1"/>
    <n v="1"/>
    <n v="10"/>
    <n v="3"/>
    <n v="3"/>
    <n v="10"/>
    <n v="3"/>
    <n v="1"/>
    <n v="4"/>
    <x v="2"/>
  </r>
  <r>
    <n v="40"/>
    <x v="1"/>
    <s v="Travel_Frequently"/>
    <n v="902"/>
    <s v="Research &amp; Development"/>
    <n v="26"/>
    <n v="2"/>
    <s v="Medical"/>
    <n v="1180"/>
    <n v="3"/>
    <s v="Female"/>
    <n v="92"/>
    <n v="2"/>
    <n v="2"/>
    <s v="Research Scientist"/>
    <n v="4"/>
    <s v="Married"/>
    <n v="4422"/>
    <n v="21203"/>
    <n v="3"/>
    <s v="Yes"/>
    <n v="13"/>
    <n v="3"/>
    <n v="4"/>
    <n v="1"/>
    <n v="16"/>
    <n v="3"/>
    <n v="1"/>
    <n v="1"/>
    <n v="1"/>
    <n v="0"/>
    <n v="0"/>
    <x v="0"/>
  </r>
  <r>
    <n v="35"/>
    <x v="1"/>
    <s v="Travel_Rarely"/>
    <n v="819"/>
    <s v="Research &amp; Development"/>
    <n v="2"/>
    <n v="3"/>
    <s v="Life Sciences"/>
    <n v="1182"/>
    <n v="3"/>
    <s v="Male"/>
    <n v="44"/>
    <n v="2"/>
    <n v="3"/>
    <s v="Manufacturing Director"/>
    <n v="2"/>
    <s v="Divorced"/>
    <n v="10274"/>
    <n v="19588"/>
    <n v="2"/>
    <s v="No"/>
    <n v="18"/>
    <n v="3"/>
    <n v="2"/>
    <n v="1"/>
    <n v="15"/>
    <n v="2"/>
    <n v="4"/>
    <n v="7"/>
    <n v="7"/>
    <n v="6"/>
    <n v="4"/>
    <x v="0"/>
  </r>
  <r>
    <n v="34"/>
    <x v="1"/>
    <s v="Travel_Frequently"/>
    <n v="669"/>
    <s v="Research &amp; Development"/>
    <n v="1"/>
    <n v="3"/>
    <s v="Medical"/>
    <n v="1184"/>
    <n v="4"/>
    <s v="Male"/>
    <n v="97"/>
    <n v="2"/>
    <n v="2"/>
    <s v="Healthcare Representative"/>
    <n v="1"/>
    <s v="Single"/>
    <n v="5343"/>
    <n v="25755"/>
    <n v="0"/>
    <s v="No"/>
    <n v="20"/>
    <n v="4"/>
    <n v="3"/>
    <n v="0"/>
    <n v="14"/>
    <n v="3"/>
    <n v="3"/>
    <n v="13"/>
    <n v="9"/>
    <n v="4"/>
    <n v="9"/>
    <x v="2"/>
  </r>
  <r>
    <n v="35"/>
    <x v="1"/>
    <s v="Travel_Frequently"/>
    <n v="636"/>
    <s v="Research &amp; Development"/>
    <n v="4"/>
    <n v="4"/>
    <s v="Other"/>
    <n v="1185"/>
    <n v="4"/>
    <s v="Male"/>
    <n v="47"/>
    <n v="2"/>
    <n v="1"/>
    <s v="Laboratory Technician"/>
    <n v="4"/>
    <s v="Married"/>
    <n v="2376"/>
    <n v="26537"/>
    <n v="1"/>
    <s v="No"/>
    <n v="13"/>
    <n v="3"/>
    <n v="2"/>
    <n v="1"/>
    <n v="2"/>
    <n v="2"/>
    <n v="4"/>
    <n v="2"/>
    <n v="2"/>
    <n v="2"/>
    <n v="2"/>
    <x v="0"/>
  </r>
  <r>
    <n v="43"/>
    <x v="0"/>
    <s v="Travel_Rarely"/>
    <n v="1372"/>
    <s v="Sales"/>
    <n v="9"/>
    <n v="3"/>
    <s v="Marketing"/>
    <n v="1188"/>
    <n v="1"/>
    <s v="Female"/>
    <n v="85"/>
    <n v="1"/>
    <n v="2"/>
    <s v="Sales Executive"/>
    <n v="3"/>
    <s v="Single"/>
    <n v="5346"/>
    <n v="9489"/>
    <n v="8"/>
    <s v="No"/>
    <n v="13"/>
    <n v="3"/>
    <n v="2"/>
    <n v="0"/>
    <n v="7"/>
    <n v="2"/>
    <n v="2"/>
    <n v="4"/>
    <n v="3"/>
    <n v="1"/>
    <n v="3"/>
    <x v="0"/>
  </r>
  <r>
    <n v="32"/>
    <x v="1"/>
    <s v="Non-Travel"/>
    <n v="862"/>
    <s v="Sales"/>
    <n v="2"/>
    <n v="1"/>
    <s v="Life Sciences"/>
    <n v="1190"/>
    <n v="3"/>
    <s v="Female"/>
    <n v="76"/>
    <n v="3"/>
    <n v="1"/>
    <s v="Sales Representative"/>
    <n v="1"/>
    <s v="Divorced"/>
    <n v="2827"/>
    <n v="14947"/>
    <n v="1"/>
    <s v="No"/>
    <n v="12"/>
    <n v="3"/>
    <n v="3"/>
    <n v="3"/>
    <n v="1"/>
    <n v="3"/>
    <n v="3"/>
    <n v="1"/>
    <n v="0"/>
    <n v="0"/>
    <n v="0"/>
    <x v="2"/>
  </r>
  <r>
    <n v="56"/>
    <x v="1"/>
    <s v="Travel_Rarely"/>
    <n v="718"/>
    <s v="Research &amp; Development"/>
    <n v="4"/>
    <n v="4"/>
    <s v="Technical Degree"/>
    <n v="1191"/>
    <n v="4"/>
    <s v="Female"/>
    <n v="92"/>
    <n v="3"/>
    <n v="5"/>
    <s v="Manager"/>
    <n v="1"/>
    <s v="Divorced"/>
    <n v="19943"/>
    <n v="18575"/>
    <n v="4"/>
    <s v="No"/>
    <n v="13"/>
    <n v="3"/>
    <n v="4"/>
    <n v="1"/>
    <n v="28"/>
    <n v="2"/>
    <n v="3"/>
    <n v="5"/>
    <n v="2"/>
    <n v="4"/>
    <n v="2"/>
    <x v="3"/>
  </r>
  <r>
    <n v="29"/>
    <x v="1"/>
    <s v="Travel_Rarely"/>
    <n v="1401"/>
    <s v="Research &amp; Development"/>
    <n v="6"/>
    <n v="1"/>
    <s v="Medical"/>
    <n v="1192"/>
    <n v="2"/>
    <s v="Female"/>
    <n v="54"/>
    <n v="3"/>
    <n v="1"/>
    <s v="Laboratory Technician"/>
    <n v="4"/>
    <s v="Married"/>
    <n v="3131"/>
    <n v="26342"/>
    <n v="1"/>
    <s v="No"/>
    <n v="13"/>
    <n v="3"/>
    <n v="1"/>
    <n v="1"/>
    <n v="10"/>
    <n v="5"/>
    <n v="3"/>
    <n v="10"/>
    <n v="8"/>
    <n v="0"/>
    <n v="8"/>
    <x v="2"/>
  </r>
  <r>
    <n v="19"/>
    <x v="1"/>
    <s v="Travel_Rarely"/>
    <n v="645"/>
    <s v="Research &amp; Development"/>
    <n v="9"/>
    <n v="2"/>
    <s v="Life Sciences"/>
    <n v="1193"/>
    <n v="3"/>
    <s v="Male"/>
    <n v="54"/>
    <n v="3"/>
    <n v="1"/>
    <s v="Research Scientist"/>
    <n v="1"/>
    <s v="Single"/>
    <n v="2552"/>
    <n v="7172"/>
    <n v="1"/>
    <s v="No"/>
    <n v="25"/>
    <n v="4"/>
    <n v="3"/>
    <n v="0"/>
    <n v="1"/>
    <n v="4"/>
    <n v="3"/>
    <n v="1"/>
    <n v="1"/>
    <n v="0"/>
    <n v="0"/>
    <x v="2"/>
  </r>
  <r>
    <n v="45"/>
    <x v="1"/>
    <s v="Travel_Rarely"/>
    <n v="1457"/>
    <s v="Research &amp; Development"/>
    <n v="7"/>
    <n v="3"/>
    <s v="Medical"/>
    <n v="1195"/>
    <n v="1"/>
    <s v="Female"/>
    <n v="83"/>
    <n v="3"/>
    <n v="1"/>
    <s v="Research Scientist"/>
    <n v="3"/>
    <s v="Married"/>
    <n v="4477"/>
    <n v="20100"/>
    <n v="4"/>
    <s v="Yes"/>
    <n v="19"/>
    <n v="3"/>
    <n v="3"/>
    <n v="1"/>
    <n v="7"/>
    <n v="2"/>
    <n v="2"/>
    <n v="3"/>
    <n v="2"/>
    <n v="0"/>
    <n v="2"/>
    <x v="1"/>
  </r>
  <r>
    <n v="37"/>
    <x v="1"/>
    <s v="Travel_Rarely"/>
    <n v="977"/>
    <s v="Research &amp; Development"/>
    <n v="1"/>
    <n v="3"/>
    <s v="Life Sciences"/>
    <n v="1196"/>
    <n v="4"/>
    <s v="Female"/>
    <n v="56"/>
    <n v="2"/>
    <n v="2"/>
    <s v="Manufacturing Director"/>
    <n v="4"/>
    <s v="Married"/>
    <n v="6474"/>
    <n v="9961"/>
    <n v="1"/>
    <s v="No"/>
    <n v="13"/>
    <n v="3"/>
    <n v="2"/>
    <n v="1"/>
    <n v="14"/>
    <n v="2"/>
    <n v="2"/>
    <n v="14"/>
    <n v="8"/>
    <n v="3"/>
    <n v="11"/>
    <x v="0"/>
  </r>
  <r>
    <n v="20"/>
    <x v="1"/>
    <s v="Travel_Rarely"/>
    <n v="805"/>
    <s v="Research &amp; Development"/>
    <n v="3"/>
    <n v="3"/>
    <s v="Life Sciences"/>
    <n v="1198"/>
    <n v="1"/>
    <s v="Male"/>
    <n v="87"/>
    <n v="2"/>
    <n v="1"/>
    <s v="Laboratory Technician"/>
    <n v="3"/>
    <s v="Single"/>
    <n v="3033"/>
    <n v="12828"/>
    <n v="1"/>
    <s v="No"/>
    <n v="12"/>
    <n v="3"/>
    <n v="1"/>
    <n v="0"/>
    <n v="2"/>
    <n v="2"/>
    <n v="2"/>
    <n v="2"/>
    <n v="2"/>
    <n v="1"/>
    <n v="2"/>
    <x v="2"/>
  </r>
  <r>
    <n v="44"/>
    <x v="0"/>
    <s v="Travel_Rarely"/>
    <n v="1097"/>
    <s v="Research &amp; Development"/>
    <n v="10"/>
    <n v="4"/>
    <s v="Life Sciences"/>
    <n v="1200"/>
    <n v="3"/>
    <s v="Male"/>
    <n v="96"/>
    <n v="3"/>
    <n v="1"/>
    <s v="Research Scientist"/>
    <n v="3"/>
    <s v="Single"/>
    <n v="2936"/>
    <n v="10826"/>
    <n v="1"/>
    <s v="Yes"/>
    <n v="11"/>
    <n v="3"/>
    <n v="3"/>
    <n v="0"/>
    <n v="6"/>
    <n v="4"/>
    <n v="3"/>
    <n v="6"/>
    <n v="4"/>
    <n v="0"/>
    <n v="2"/>
    <x v="0"/>
  </r>
  <r>
    <n v="53"/>
    <x v="1"/>
    <s v="Travel_Rarely"/>
    <n v="1223"/>
    <s v="Research &amp; Development"/>
    <n v="7"/>
    <n v="2"/>
    <s v="Medical"/>
    <n v="1201"/>
    <n v="4"/>
    <s v="Female"/>
    <n v="50"/>
    <n v="3"/>
    <n v="5"/>
    <s v="Manager"/>
    <n v="3"/>
    <s v="Divorced"/>
    <n v="18606"/>
    <n v="18640"/>
    <n v="3"/>
    <s v="No"/>
    <n v="18"/>
    <n v="3"/>
    <n v="2"/>
    <n v="1"/>
    <n v="26"/>
    <n v="6"/>
    <n v="3"/>
    <n v="7"/>
    <n v="7"/>
    <n v="4"/>
    <n v="7"/>
    <x v="1"/>
  </r>
  <r>
    <n v="29"/>
    <x v="1"/>
    <s v="Travel_Rarely"/>
    <n v="942"/>
    <s v="Research &amp; Development"/>
    <n v="15"/>
    <n v="1"/>
    <s v="Life Sciences"/>
    <n v="1202"/>
    <n v="2"/>
    <s v="Female"/>
    <n v="69"/>
    <n v="1"/>
    <n v="1"/>
    <s v="Research Scientist"/>
    <n v="4"/>
    <s v="Married"/>
    <n v="2168"/>
    <n v="26933"/>
    <n v="0"/>
    <s v="Yes"/>
    <n v="18"/>
    <n v="3"/>
    <n v="1"/>
    <n v="1"/>
    <n v="6"/>
    <n v="2"/>
    <n v="2"/>
    <n v="5"/>
    <n v="4"/>
    <n v="1"/>
    <n v="3"/>
    <x v="2"/>
  </r>
  <r>
    <n v="22"/>
    <x v="0"/>
    <s v="Travel_Frequently"/>
    <n v="1256"/>
    <s v="Research &amp; Development"/>
    <n v="3"/>
    <n v="4"/>
    <s v="Life Sciences"/>
    <n v="1203"/>
    <n v="3"/>
    <s v="Male"/>
    <n v="48"/>
    <n v="2"/>
    <n v="1"/>
    <s v="Research Scientist"/>
    <n v="4"/>
    <s v="Married"/>
    <n v="2853"/>
    <n v="4223"/>
    <n v="0"/>
    <s v="Yes"/>
    <n v="11"/>
    <n v="3"/>
    <n v="2"/>
    <n v="1"/>
    <n v="1"/>
    <n v="5"/>
    <n v="3"/>
    <n v="0"/>
    <n v="0"/>
    <n v="0"/>
    <n v="0"/>
    <x v="2"/>
  </r>
  <r>
    <n v="46"/>
    <x v="1"/>
    <s v="Travel_Rarely"/>
    <n v="1402"/>
    <s v="Sales"/>
    <n v="2"/>
    <n v="3"/>
    <s v="Marketing"/>
    <n v="1204"/>
    <n v="3"/>
    <s v="Female"/>
    <n v="69"/>
    <n v="3"/>
    <n v="4"/>
    <s v="Manager"/>
    <n v="1"/>
    <s v="Married"/>
    <n v="17048"/>
    <n v="24097"/>
    <n v="8"/>
    <s v="No"/>
    <n v="23"/>
    <n v="4"/>
    <n v="1"/>
    <n v="0"/>
    <n v="28"/>
    <n v="2"/>
    <n v="3"/>
    <n v="26"/>
    <n v="15"/>
    <n v="15"/>
    <n v="9"/>
    <x v="1"/>
  </r>
  <r>
    <n v="44"/>
    <x v="1"/>
    <s v="Non-Travel"/>
    <n v="111"/>
    <s v="Research &amp; Development"/>
    <n v="17"/>
    <n v="3"/>
    <s v="Life Sciences"/>
    <n v="1206"/>
    <n v="4"/>
    <s v="Male"/>
    <n v="74"/>
    <n v="1"/>
    <n v="1"/>
    <s v="Research Scientist"/>
    <n v="3"/>
    <s v="Single"/>
    <n v="2290"/>
    <n v="4279"/>
    <n v="2"/>
    <s v="No"/>
    <n v="13"/>
    <n v="3"/>
    <n v="4"/>
    <n v="0"/>
    <n v="6"/>
    <n v="3"/>
    <n v="3"/>
    <n v="0"/>
    <n v="0"/>
    <n v="0"/>
    <n v="0"/>
    <x v="0"/>
  </r>
  <r>
    <n v="33"/>
    <x v="1"/>
    <s v="Travel_Rarely"/>
    <n v="147"/>
    <s v="Human Resources"/>
    <n v="2"/>
    <n v="3"/>
    <s v="Human Resources"/>
    <n v="1207"/>
    <n v="2"/>
    <s v="Male"/>
    <n v="99"/>
    <n v="3"/>
    <n v="1"/>
    <s v="Human Resources"/>
    <n v="3"/>
    <s v="Married"/>
    <n v="3600"/>
    <n v="8429"/>
    <n v="1"/>
    <s v="No"/>
    <n v="13"/>
    <n v="3"/>
    <n v="4"/>
    <n v="1"/>
    <n v="5"/>
    <n v="2"/>
    <n v="3"/>
    <n v="5"/>
    <n v="4"/>
    <n v="1"/>
    <n v="4"/>
    <x v="2"/>
  </r>
  <r>
    <n v="41"/>
    <x v="0"/>
    <s v="Non-Travel"/>
    <n v="906"/>
    <s v="Research &amp; Development"/>
    <n v="5"/>
    <n v="2"/>
    <s v="Life Sciences"/>
    <n v="1210"/>
    <n v="1"/>
    <s v="Male"/>
    <n v="95"/>
    <n v="2"/>
    <n v="1"/>
    <s v="Research Scientist"/>
    <n v="1"/>
    <s v="Divorced"/>
    <n v="2107"/>
    <n v="20293"/>
    <n v="6"/>
    <s v="No"/>
    <n v="17"/>
    <n v="3"/>
    <n v="1"/>
    <n v="1"/>
    <n v="5"/>
    <n v="2"/>
    <n v="1"/>
    <n v="1"/>
    <n v="0"/>
    <n v="0"/>
    <n v="0"/>
    <x v="0"/>
  </r>
  <r>
    <n v="30"/>
    <x v="1"/>
    <s v="Travel_Rarely"/>
    <n v="1329"/>
    <s v="Sales"/>
    <n v="29"/>
    <n v="4"/>
    <s v="Life Sciences"/>
    <n v="1211"/>
    <n v="3"/>
    <s v="Male"/>
    <n v="61"/>
    <n v="3"/>
    <n v="2"/>
    <s v="Sales Executive"/>
    <n v="1"/>
    <s v="Divorced"/>
    <n v="4115"/>
    <n v="13192"/>
    <n v="8"/>
    <s v="No"/>
    <n v="19"/>
    <n v="3"/>
    <n v="3"/>
    <n v="3"/>
    <n v="8"/>
    <n v="3"/>
    <n v="3"/>
    <n v="4"/>
    <n v="3"/>
    <n v="0"/>
    <n v="3"/>
    <x v="2"/>
  </r>
  <r>
    <n v="40"/>
    <x v="1"/>
    <s v="Travel_Frequently"/>
    <n v="1184"/>
    <s v="Sales"/>
    <n v="2"/>
    <n v="4"/>
    <s v="Medical"/>
    <n v="1212"/>
    <n v="2"/>
    <s v="Male"/>
    <n v="62"/>
    <n v="3"/>
    <n v="2"/>
    <s v="Sales Executive"/>
    <n v="2"/>
    <s v="Married"/>
    <n v="4327"/>
    <n v="25440"/>
    <n v="5"/>
    <s v="No"/>
    <n v="12"/>
    <n v="3"/>
    <n v="4"/>
    <n v="3"/>
    <n v="5"/>
    <n v="2"/>
    <n v="3"/>
    <n v="0"/>
    <n v="0"/>
    <n v="0"/>
    <n v="0"/>
    <x v="0"/>
  </r>
  <r>
    <n v="50"/>
    <x v="1"/>
    <s v="Travel_Frequently"/>
    <n v="1421"/>
    <s v="Research &amp; Development"/>
    <n v="2"/>
    <n v="3"/>
    <s v="Medical"/>
    <n v="1215"/>
    <n v="4"/>
    <s v="Female"/>
    <n v="30"/>
    <n v="3"/>
    <n v="4"/>
    <s v="Manager"/>
    <n v="1"/>
    <s v="Married"/>
    <n v="17856"/>
    <n v="9490"/>
    <n v="2"/>
    <s v="No"/>
    <n v="22"/>
    <n v="4"/>
    <n v="3"/>
    <n v="1"/>
    <n v="32"/>
    <n v="3"/>
    <n v="3"/>
    <n v="2"/>
    <n v="2"/>
    <n v="2"/>
    <n v="2"/>
    <x v="1"/>
  </r>
  <r>
    <n v="28"/>
    <x v="1"/>
    <s v="Travel_Rarely"/>
    <n v="1179"/>
    <s v="Research &amp; Development"/>
    <n v="19"/>
    <n v="4"/>
    <s v="Medical"/>
    <n v="1216"/>
    <n v="4"/>
    <s v="Male"/>
    <n v="78"/>
    <n v="2"/>
    <n v="1"/>
    <s v="Laboratory Technician"/>
    <n v="1"/>
    <s v="Married"/>
    <n v="3196"/>
    <n v="12449"/>
    <n v="1"/>
    <s v="No"/>
    <n v="12"/>
    <n v="3"/>
    <n v="3"/>
    <n v="3"/>
    <n v="6"/>
    <n v="2"/>
    <n v="3"/>
    <n v="6"/>
    <n v="5"/>
    <n v="3"/>
    <n v="3"/>
    <x v="2"/>
  </r>
  <r>
    <n v="46"/>
    <x v="1"/>
    <s v="Travel_Rarely"/>
    <n v="1450"/>
    <s v="Research &amp; Development"/>
    <n v="15"/>
    <n v="2"/>
    <s v="Life Sciences"/>
    <n v="1217"/>
    <n v="4"/>
    <s v="Male"/>
    <n v="52"/>
    <n v="3"/>
    <n v="5"/>
    <s v="Research Director"/>
    <n v="2"/>
    <s v="Married"/>
    <n v="19081"/>
    <n v="10849"/>
    <n v="5"/>
    <s v="No"/>
    <n v="11"/>
    <n v="3"/>
    <n v="1"/>
    <n v="1"/>
    <n v="25"/>
    <n v="2"/>
    <n v="3"/>
    <n v="4"/>
    <n v="2"/>
    <n v="0"/>
    <n v="3"/>
    <x v="1"/>
  </r>
  <r>
    <n v="35"/>
    <x v="1"/>
    <s v="Travel_Rarely"/>
    <n v="1361"/>
    <s v="Sales"/>
    <n v="17"/>
    <n v="4"/>
    <s v="Life Sciences"/>
    <n v="1218"/>
    <n v="3"/>
    <s v="Male"/>
    <n v="94"/>
    <n v="3"/>
    <n v="2"/>
    <s v="Sales Executive"/>
    <n v="1"/>
    <s v="Married"/>
    <n v="8966"/>
    <n v="21026"/>
    <n v="3"/>
    <s v="Yes"/>
    <n v="15"/>
    <n v="3"/>
    <n v="4"/>
    <n v="3"/>
    <n v="15"/>
    <n v="2"/>
    <n v="3"/>
    <n v="7"/>
    <n v="7"/>
    <n v="1"/>
    <n v="7"/>
    <x v="0"/>
  </r>
  <r>
    <n v="24"/>
    <x v="0"/>
    <s v="Travel_Rarely"/>
    <n v="984"/>
    <s v="Research &amp; Development"/>
    <n v="17"/>
    <n v="2"/>
    <s v="Life Sciences"/>
    <n v="1219"/>
    <n v="4"/>
    <s v="Female"/>
    <n v="97"/>
    <n v="3"/>
    <n v="1"/>
    <s v="Laboratory Technician"/>
    <n v="2"/>
    <s v="Married"/>
    <n v="2210"/>
    <n v="3372"/>
    <n v="1"/>
    <s v="No"/>
    <n v="13"/>
    <n v="3"/>
    <n v="1"/>
    <n v="1"/>
    <n v="1"/>
    <n v="3"/>
    <n v="1"/>
    <n v="1"/>
    <n v="0"/>
    <n v="0"/>
    <n v="0"/>
    <x v="2"/>
  </r>
  <r>
    <n v="33"/>
    <x v="1"/>
    <s v="Travel_Frequently"/>
    <n v="1146"/>
    <s v="Sales"/>
    <n v="25"/>
    <n v="3"/>
    <s v="Medical"/>
    <n v="1220"/>
    <n v="2"/>
    <s v="Female"/>
    <n v="82"/>
    <n v="3"/>
    <n v="2"/>
    <s v="Sales Executive"/>
    <n v="3"/>
    <s v="Married"/>
    <n v="4539"/>
    <n v="4905"/>
    <n v="1"/>
    <s v="No"/>
    <n v="12"/>
    <n v="3"/>
    <n v="1"/>
    <n v="1"/>
    <n v="10"/>
    <n v="3"/>
    <n v="2"/>
    <n v="10"/>
    <n v="7"/>
    <n v="0"/>
    <n v="1"/>
    <x v="2"/>
  </r>
  <r>
    <n v="36"/>
    <x v="1"/>
    <s v="Travel_Rarely"/>
    <n v="917"/>
    <s v="Research &amp; Development"/>
    <n v="6"/>
    <n v="4"/>
    <s v="Life Sciences"/>
    <n v="1221"/>
    <n v="3"/>
    <s v="Male"/>
    <n v="60"/>
    <n v="1"/>
    <n v="1"/>
    <s v="Laboratory Technician"/>
    <n v="3"/>
    <s v="Divorced"/>
    <n v="2741"/>
    <n v="6865"/>
    <n v="1"/>
    <s v="No"/>
    <n v="14"/>
    <n v="3"/>
    <n v="3"/>
    <n v="1"/>
    <n v="7"/>
    <n v="4"/>
    <n v="3"/>
    <n v="7"/>
    <n v="7"/>
    <n v="1"/>
    <n v="7"/>
    <x v="0"/>
  </r>
  <r>
    <n v="30"/>
    <x v="1"/>
    <s v="Travel_Rarely"/>
    <n v="853"/>
    <s v="Research &amp; Development"/>
    <n v="7"/>
    <n v="4"/>
    <s v="Life Sciences"/>
    <n v="1224"/>
    <n v="3"/>
    <s v="Male"/>
    <n v="49"/>
    <n v="3"/>
    <n v="2"/>
    <s v="Laboratory Technician"/>
    <n v="3"/>
    <s v="Divorced"/>
    <n v="3491"/>
    <n v="11309"/>
    <n v="1"/>
    <s v="No"/>
    <n v="13"/>
    <n v="3"/>
    <n v="1"/>
    <n v="3"/>
    <n v="10"/>
    <n v="4"/>
    <n v="2"/>
    <n v="10"/>
    <n v="7"/>
    <n v="8"/>
    <n v="9"/>
    <x v="2"/>
  </r>
  <r>
    <n v="44"/>
    <x v="1"/>
    <s v="Travel_Rarely"/>
    <n v="200"/>
    <s v="Research &amp; Development"/>
    <n v="29"/>
    <n v="4"/>
    <s v="Other"/>
    <n v="1225"/>
    <n v="4"/>
    <s v="Male"/>
    <n v="32"/>
    <n v="3"/>
    <n v="2"/>
    <s v="Research Scientist"/>
    <n v="4"/>
    <s v="Single"/>
    <n v="4541"/>
    <n v="7744"/>
    <n v="1"/>
    <s v="No"/>
    <n v="25"/>
    <n v="4"/>
    <n v="2"/>
    <n v="0"/>
    <n v="20"/>
    <n v="3"/>
    <n v="3"/>
    <n v="20"/>
    <n v="11"/>
    <n v="13"/>
    <n v="17"/>
    <x v="0"/>
  </r>
  <r>
    <n v="20"/>
    <x v="1"/>
    <s v="Travel_Rarely"/>
    <n v="654"/>
    <s v="Sales"/>
    <n v="21"/>
    <n v="3"/>
    <s v="Marketing"/>
    <n v="1226"/>
    <n v="3"/>
    <s v="Male"/>
    <n v="43"/>
    <n v="4"/>
    <n v="1"/>
    <s v="Sales Representative"/>
    <n v="4"/>
    <s v="Single"/>
    <n v="2678"/>
    <n v="5050"/>
    <n v="1"/>
    <s v="No"/>
    <n v="17"/>
    <n v="3"/>
    <n v="4"/>
    <n v="0"/>
    <n v="2"/>
    <n v="2"/>
    <n v="3"/>
    <n v="2"/>
    <n v="1"/>
    <n v="2"/>
    <n v="2"/>
    <x v="2"/>
  </r>
  <r>
    <n v="46"/>
    <x v="1"/>
    <s v="Travel_Rarely"/>
    <n v="150"/>
    <s v="Research &amp; Development"/>
    <n v="2"/>
    <n v="4"/>
    <s v="Technical Degree"/>
    <n v="1228"/>
    <n v="4"/>
    <s v="Male"/>
    <n v="60"/>
    <n v="3"/>
    <n v="2"/>
    <s v="Manufacturing Director"/>
    <n v="4"/>
    <s v="Divorced"/>
    <n v="7379"/>
    <n v="17433"/>
    <n v="2"/>
    <s v="No"/>
    <n v="11"/>
    <n v="3"/>
    <n v="3"/>
    <n v="1"/>
    <n v="12"/>
    <n v="3"/>
    <n v="2"/>
    <n v="6"/>
    <n v="3"/>
    <n v="1"/>
    <n v="4"/>
    <x v="1"/>
  </r>
  <r>
    <n v="42"/>
    <x v="1"/>
    <s v="Non-Travel"/>
    <n v="179"/>
    <s v="Human Resources"/>
    <n v="2"/>
    <n v="5"/>
    <s v="Medical"/>
    <n v="1231"/>
    <n v="4"/>
    <s v="Male"/>
    <n v="79"/>
    <n v="4"/>
    <n v="2"/>
    <s v="Human Resources"/>
    <n v="1"/>
    <s v="Married"/>
    <n v="6272"/>
    <n v="12858"/>
    <n v="7"/>
    <s v="No"/>
    <n v="16"/>
    <n v="3"/>
    <n v="1"/>
    <n v="1"/>
    <n v="10"/>
    <n v="3"/>
    <n v="4"/>
    <n v="4"/>
    <n v="3"/>
    <n v="0"/>
    <n v="3"/>
    <x v="0"/>
  </r>
  <r>
    <n v="60"/>
    <x v="1"/>
    <s v="Travel_Rarely"/>
    <n v="696"/>
    <s v="Sales"/>
    <n v="7"/>
    <n v="4"/>
    <s v="Marketing"/>
    <n v="1233"/>
    <n v="2"/>
    <s v="Male"/>
    <n v="52"/>
    <n v="4"/>
    <n v="2"/>
    <s v="Sales Executive"/>
    <n v="4"/>
    <s v="Divorced"/>
    <n v="5220"/>
    <n v="10893"/>
    <n v="0"/>
    <s v="Yes"/>
    <n v="18"/>
    <n v="3"/>
    <n v="2"/>
    <n v="1"/>
    <n v="12"/>
    <n v="3"/>
    <n v="3"/>
    <n v="11"/>
    <n v="7"/>
    <n v="1"/>
    <n v="9"/>
    <x v="3"/>
  </r>
  <r>
    <n v="32"/>
    <x v="1"/>
    <s v="Travel_Frequently"/>
    <n v="116"/>
    <s v="Research &amp; Development"/>
    <n v="13"/>
    <n v="3"/>
    <s v="Other"/>
    <n v="1234"/>
    <n v="3"/>
    <s v="Female"/>
    <n v="77"/>
    <n v="2"/>
    <n v="1"/>
    <s v="Laboratory Technician"/>
    <n v="2"/>
    <s v="Married"/>
    <n v="2743"/>
    <n v="7331"/>
    <n v="1"/>
    <s v="No"/>
    <n v="20"/>
    <n v="4"/>
    <n v="3"/>
    <n v="1"/>
    <n v="2"/>
    <n v="2"/>
    <n v="3"/>
    <n v="2"/>
    <n v="2"/>
    <n v="2"/>
    <n v="2"/>
    <x v="2"/>
  </r>
  <r>
    <n v="32"/>
    <x v="1"/>
    <s v="Travel_Frequently"/>
    <n v="1316"/>
    <s v="Research &amp; Development"/>
    <n v="2"/>
    <n v="2"/>
    <s v="Life Sciences"/>
    <n v="1235"/>
    <n v="4"/>
    <s v="Female"/>
    <n v="38"/>
    <n v="3"/>
    <n v="2"/>
    <s v="Research Scientist"/>
    <n v="3"/>
    <s v="Single"/>
    <n v="4998"/>
    <n v="2338"/>
    <n v="4"/>
    <s v="Yes"/>
    <n v="14"/>
    <n v="3"/>
    <n v="4"/>
    <n v="0"/>
    <n v="10"/>
    <n v="2"/>
    <n v="3"/>
    <n v="8"/>
    <n v="7"/>
    <n v="0"/>
    <n v="7"/>
    <x v="2"/>
  </r>
  <r>
    <n v="36"/>
    <x v="1"/>
    <s v="Travel_Rarely"/>
    <n v="363"/>
    <s v="Research &amp; Development"/>
    <n v="1"/>
    <n v="3"/>
    <s v="Technical Degree"/>
    <n v="1237"/>
    <n v="3"/>
    <s v="Female"/>
    <n v="77"/>
    <n v="1"/>
    <n v="3"/>
    <s v="Manufacturing Director"/>
    <n v="1"/>
    <s v="Divorced"/>
    <n v="10252"/>
    <n v="4235"/>
    <n v="2"/>
    <s v="Yes"/>
    <n v="21"/>
    <n v="4"/>
    <n v="3"/>
    <n v="1"/>
    <n v="17"/>
    <n v="2"/>
    <n v="3"/>
    <n v="7"/>
    <n v="7"/>
    <n v="7"/>
    <n v="7"/>
    <x v="0"/>
  </r>
  <r>
    <n v="33"/>
    <x v="1"/>
    <s v="Travel_Rarely"/>
    <n v="117"/>
    <s v="Research &amp; Development"/>
    <n v="9"/>
    <n v="3"/>
    <s v="Medical"/>
    <n v="1238"/>
    <n v="1"/>
    <s v="Male"/>
    <n v="60"/>
    <n v="3"/>
    <n v="1"/>
    <s v="Research Scientist"/>
    <n v="4"/>
    <s v="Married"/>
    <n v="2781"/>
    <n v="6311"/>
    <n v="0"/>
    <s v="No"/>
    <n v="13"/>
    <n v="3"/>
    <n v="2"/>
    <n v="1"/>
    <n v="15"/>
    <n v="5"/>
    <n v="3"/>
    <n v="14"/>
    <n v="10"/>
    <n v="4"/>
    <n v="10"/>
    <x v="2"/>
  </r>
  <r>
    <n v="40"/>
    <x v="1"/>
    <s v="Travel_Rarely"/>
    <n v="107"/>
    <s v="Sales"/>
    <n v="10"/>
    <n v="3"/>
    <s v="Technical Degree"/>
    <n v="1239"/>
    <n v="2"/>
    <s v="Female"/>
    <n v="84"/>
    <n v="2"/>
    <n v="2"/>
    <s v="Sales Executive"/>
    <n v="2"/>
    <s v="Divorced"/>
    <n v="6852"/>
    <n v="11591"/>
    <n v="7"/>
    <s v="No"/>
    <n v="12"/>
    <n v="3"/>
    <n v="2"/>
    <n v="1"/>
    <n v="7"/>
    <n v="2"/>
    <n v="4"/>
    <n v="5"/>
    <n v="1"/>
    <n v="1"/>
    <n v="3"/>
    <x v="0"/>
  </r>
  <r>
    <n v="25"/>
    <x v="1"/>
    <s v="Travel_Rarely"/>
    <n v="1356"/>
    <s v="Sales"/>
    <n v="10"/>
    <n v="4"/>
    <s v="Life Sciences"/>
    <n v="1240"/>
    <n v="3"/>
    <s v="Male"/>
    <n v="57"/>
    <n v="3"/>
    <n v="2"/>
    <s v="Sales Executive"/>
    <n v="4"/>
    <s v="Single"/>
    <n v="4950"/>
    <n v="20623"/>
    <n v="0"/>
    <s v="No"/>
    <n v="14"/>
    <n v="3"/>
    <n v="2"/>
    <n v="0"/>
    <n v="5"/>
    <n v="4"/>
    <n v="3"/>
    <n v="4"/>
    <n v="3"/>
    <n v="1"/>
    <n v="1"/>
    <x v="2"/>
  </r>
  <r>
    <n v="30"/>
    <x v="1"/>
    <s v="Travel_Rarely"/>
    <n v="1465"/>
    <s v="Research &amp; Development"/>
    <n v="1"/>
    <n v="3"/>
    <s v="Medical"/>
    <n v="1241"/>
    <n v="4"/>
    <s v="Male"/>
    <n v="63"/>
    <n v="3"/>
    <n v="1"/>
    <s v="Research Scientist"/>
    <n v="2"/>
    <s v="Married"/>
    <n v="3579"/>
    <n v="9369"/>
    <n v="0"/>
    <s v="Yes"/>
    <n v="21"/>
    <n v="4"/>
    <n v="1"/>
    <n v="1"/>
    <n v="12"/>
    <n v="2"/>
    <n v="3"/>
    <n v="11"/>
    <n v="9"/>
    <n v="5"/>
    <n v="7"/>
    <x v="2"/>
  </r>
  <r>
    <n v="42"/>
    <x v="1"/>
    <s v="Travel_Frequently"/>
    <n v="458"/>
    <s v="Research &amp; Development"/>
    <n v="26"/>
    <n v="5"/>
    <s v="Medical"/>
    <n v="1242"/>
    <n v="1"/>
    <s v="Female"/>
    <n v="60"/>
    <n v="3"/>
    <n v="3"/>
    <s v="Research Director"/>
    <n v="1"/>
    <s v="Married"/>
    <n v="13191"/>
    <n v="23281"/>
    <n v="3"/>
    <s v="Yes"/>
    <n v="17"/>
    <n v="3"/>
    <n v="3"/>
    <n v="0"/>
    <n v="20"/>
    <n v="6"/>
    <n v="3"/>
    <n v="1"/>
    <n v="0"/>
    <n v="0"/>
    <n v="0"/>
    <x v="0"/>
  </r>
  <r>
    <n v="35"/>
    <x v="1"/>
    <s v="Non-Travel"/>
    <n v="1212"/>
    <s v="Sales"/>
    <n v="8"/>
    <n v="2"/>
    <s v="Marketing"/>
    <n v="1243"/>
    <n v="3"/>
    <s v="Female"/>
    <n v="78"/>
    <n v="2"/>
    <n v="3"/>
    <s v="Sales Executive"/>
    <n v="4"/>
    <s v="Married"/>
    <n v="10377"/>
    <n v="13755"/>
    <n v="4"/>
    <s v="Yes"/>
    <n v="11"/>
    <n v="3"/>
    <n v="2"/>
    <n v="1"/>
    <n v="16"/>
    <n v="6"/>
    <n v="2"/>
    <n v="13"/>
    <n v="2"/>
    <n v="4"/>
    <n v="12"/>
    <x v="0"/>
  </r>
  <r>
    <n v="27"/>
    <x v="1"/>
    <s v="Travel_Rarely"/>
    <n v="1103"/>
    <s v="Research &amp; Development"/>
    <n v="14"/>
    <n v="3"/>
    <s v="Life Sciences"/>
    <n v="1244"/>
    <n v="1"/>
    <s v="Male"/>
    <n v="42"/>
    <n v="3"/>
    <n v="1"/>
    <s v="Research Scientist"/>
    <n v="1"/>
    <s v="Married"/>
    <n v="2235"/>
    <n v="14377"/>
    <n v="1"/>
    <s v="Yes"/>
    <n v="14"/>
    <n v="3"/>
    <n v="4"/>
    <n v="2"/>
    <n v="9"/>
    <n v="3"/>
    <n v="2"/>
    <n v="9"/>
    <n v="7"/>
    <n v="6"/>
    <n v="8"/>
    <x v="2"/>
  </r>
  <r>
    <n v="54"/>
    <x v="1"/>
    <s v="Travel_Frequently"/>
    <n v="966"/>
    <s v="Research &amp; Development"/>
    <n v="1"/>
    <n v="4"/>
    <s v="Life Sciences"/>
    <n v="1245"/>
    <n v="4"/>
    <s v="Female"/>
    <n v="53"/>
    <n v="3"/>
    <n v="3"/>
    <s v="Manufacturing Director"/>
    <n v="3"/>
    <s v="Divorced"/>
    <n v="10502"/>
    <n v="9659"/>
    <n v="7"/>
    <s v="No"/>
    <n v="17"/>
    <n v="3"/>
    <n v="1"/>
    <n v="1"/>
    <n v="33"/>
    <n v="2"/>
    <n v="1"/>
    <n v="5"/>
    <n v="4"/>
    <n v="1"/>
    <n v="4"/>
    <x v="1"/>
  </r>
  <r>
    <n v="44"/>
    <x v="1"/>
    <s v="Travel_Rarely"/>
    <n v="1117"/>
    <s v="Research &amp; Development"/>
    <n v="2"/>
    <n v="1"/>
    <s v="Life Sciences"/>
    <n v="1246"/>
    <n v="1"/>
    <s v="Female"/>
    <n v="72"/>
    <n v="4"/>
    <n v="1"/>
    <s v="Research Scientist"/>
    <n v="4"/>
    <s v="Married"/>
    <n v="2011"/>
    <n v="19982"/>
    <n v="1"/>
    <s v="No"/>
    <n v="13"/>
    <n v="3"/>
    <n v="4"/>
    <n v="1"/>
    <n v="10"/>
    <n v="5"/>
    <n v="3"/>
    <n v="10"/>
    <n v="5"/>
    <n v="7"/>
    <n v="7"/>
    <x v="0"/>
  </r>
  <r>
    <n v="19"/>
    <x v="0"/>
    <s v="Non-Travel"/>
    <n v="504"/>
    <s v="Research &amp; Development"/>
    <n v="10"/>
    <n v="3"/>
    <s v="Medical"/>
    <n v="1248"/>
    <n v="1"/>
    <s v="Female"/>
    <n v="96"/>
    <n v="2"/>
    <n v="1"/>
    <s v="Research Scientist"/>
    <n v="2"/>
    <s v="Single"/>
    <n v="1859"/>
    <n v="6148"/>
    <n v="1"/>
    <s v="Yes"/>
    <n v="25"/>
    <n v="4"/>
    <n v="2"/>
    <n v="0"/>
    <n v="1"/>
    <n v="2"/>
    <n v="4"/>
    <n v="1"/>
    <n v="1"/>
    <n v="0"/>
    <n v="0"/>
    <x v="2"/>
  </r>
  <r>
    <n v="29"/>
    <x v="1"/>
    <s v="Travel_Rarely"/>
    <n v="1010"/>
    <s v="Research &amp; Development"/>
    <n v="1"/>
    <n v="3"/>
    <s v="Life Sciences"/>
    <n v="1249"/>
    <n v="1"/>
    <s v="Female"/>
    <n v="97"/>
    <n v="3"/>
    <n v="1"/>
    <s v="Research Scientist"/>
    <n v="4"/>
    <s v="Divorced"/>
    <n v="3760"/>
    <n v="5598"/>
    <n v="1"/>
    <s v="No"/>
    <n v="15"/>
    <n v="3"/>
    <n v="1"/>
    <n v="3"/>
    <n v="3"/>
    <n v="5"/>
    <n v="3"/>
    <n v="3"/>
    <n v="2"/>
    <n v="1"/>
    <n v="2"/>
    <x v="2"/>
  </r>
  <r>
    <n v="54"/>
    <x v="1"/>
    <s v="Travel_Rarely"/>
    <n v="685"/>
    <s v="Research &amp; Development"/>
    <n v="3"/>
    <n v="3"/>
    <s v="Life Sciences"/>
    <n v="1250"/>
    <n v="4"/>
    <s v="Male"/>
    <n v="85"/>
    <n v="3"/>
    <n v="4"/>
    <s v="Research Director"/>
    <n v="4"/>
    <s v="Married"/>
    <n v="17779"/>
    <n v="23474"/>
    <n v="3"/>
    <s v="No"/>
    <n v="14"/>
    <n v="3"/>
    <n v="1"/>
    <n v="0"/>
    <n v="36"/>
    <n v="2"/>
    <n v="3"/>
    <n v="10"/>
    <n v="9"/>
    <n v="0"/>
    <n v="9"/>
    <x v="1"/>
  </r>
  <r>
    <n v="31"/>
    <x v="1"/>
    <s v="Travel_Rarely"/>
    <n v="1332"/>
    <s v="Research &amp; Development"/>
    <n v="11"/>
    <n v="2"/>
    <s v="Medical"/>
    <n v="1251"/>
    <n v="3"/>
    <s v="Male"/>
    <n v="80"/>
    <n v="3"/>
    <n v="2"/>
    <s v="Healthcare Representative"/>
    <n v="1"/>
    <s v="Married"/>
    <n v="6833"/>
    <n v="17089"/>
    <n v="1"/>
    <s v="Yes"/>
    <n v="12"/>
    <n v="3"/>
    <n v="4"/>
    <n v="0"/>
    <n v="6"/>
    <n v="2"/>
    <n v="2"/>
    <n v="6"/>
    <n v="5"/>
    <n v="0"/>
    <n v="1"/>
    <x v="2"/>
  </r>
  <r>
    <n v="31"/>
    <x v="1"/>
    <s v="Travel_Rarely"/>
    <n v="1062"/>
    <s v="Research &amp; Development"/>
    <n v="24"/>
    <n v="3"/>
    <s v="Medical"/>
    <n v="1252"/>
    <n v="3"/>
    <s v="Female"/>
    <n v="96"/>
    <n v="2"/>
    <n v="2"/>
    <s v="Healthcare Representative"/>
    <n v="1"/>
    <s v="Single"/>
    <n v="6812"/>
    <n v="17198"/>
    <n v="1"/>
    <s v="No"/>
    <n v="19"/>
    <n v="3"/>
    <n v="2"/>
    <n v="0"/>
    <n v="10"/>
    <n v="2"/>
    <n v="3"/>
    <n v="10"/>
    <n v="9"/>
    <n v="1"/>
    <n v="8"/>
    <x v="2"/>
  </r>
  <r>
    <n v="59"/>
    <x v="1"/>
    <s v="Travel_Rarely"/>
    <n v="326"/>
    <s v="Sales"/>
    <n v="3"/>
    <n v="3"/>
    <s v="Life Sciences"/>
    <n v="1254"/>
    <n v="3"/>
    <s v="Female"/>
    <n v="48"/>
    <n v="2"/>
    <n v="2"/>
    <s v="Sales Executive"/>
    <n v="4"/>
    <s v="Single"/>
    <n v="5171"/>
    <n v="16490"/>
    <n v="5"/>
    <s v="No"/>
    <n v="17"/>
    <n v="3"/>
    <n v="4"/>
    <n v="0"/>
    <n v="13"/>
    <n v="2"/>
    <n v="3"/>
    <n v="6"/>
    <n v="1"/>
    <n v="0"/>
    <n v="5"/>
    <x v="3"/>
  </r>
  <r>
    <n v="43"/>
    <x v="1"/>
    <s v="Travel_Rarely"/>
    <n v="920"/>
    <s v="Research &amp; Development"/>
    <n v="3"/>
    <n v="3"/>
    <s v="Life Sciences"/>
    <n v="1255"/>
    <n v="3"/>
    <s v="Male"/>
    <n v="96"/>
    <n v="1"/>
    <n v="5"/>
    <s v="Research Director"/>
    <n v="4"/>
    <s v="Married"/>
    <n v="19740"/>
    <n v="18625"/>
    <n v="3"/>
    <s v="No"/>
    <n v="14"/>
    <n v="3"/>
    <n v="2"/>
    <n v="1"/>
    <n v="25"/>
    <n v="2"/>
    <n v="3"/>
    <n v="8"/>
    <n v="7"/>
    <n v="0"/>
    <n v="7"/>
    <x v="0"/>
  </r>
  <r>
    <n v="49"/>
    <x v="1"/>
    <s v="Travel_Rarely"/>
    <n v="1098"/>
    <s v="Research &amp; Development"/>
    <n v="4"/>
    <n v="2"/>
    <s v="Medical"/>
    <n v="1256"/>
    <n v="1"/>
    <s v="Male"/>
    <n v="85"/>
    <n v="2"/>
    <n v="5"/>
    <s v="Manager"/>
    <n v="3"/>
    <s v="Married"/>
    <n v="18711"/>
    <n v="12124"/>
    <n v="2"/>
    <s v="No"/>
    <n v="13"/>
    <n v="3"/>
    <n v="3"/>
    <n v="1"/>
    <n v="23"/>
    <n v="2"/>
    <n v="4"/>
    <n v="1"/>
    <n v="0"/>
    <n v="0"/>
    <n v="0"/>
    <x v="1"/>
  </r>
  <r>
    <n v="36"/>
    <x v="1"/>
    <s v="Travel_Frequently"/>
    <n v="469"/>
    <s v="Research &amp; Development"/>
    <n v="3"/>
    <n v="3"/>
    <s v="Technical Degree"/>
    <n v="1257"/>
    <n v="3"/>
    <s v="Male"/>
    <n v="46"/>
    <n v="3"/>
    <n v="1"/>
    <s v="Research Scientist"/>
    <n v="2"/>
    <s v="Married"/>
    <n v="3692"/>
    <n v="9256"/>
    <n v="1"/>
    <s v="No"/>
    <n v="12"/>
    <n v="3"/>
    <n v="3"/>
    <n v="0"/>
    <n v="12"/>
    <n v="2"/>
    <n v="2"/>
    <n v="11"/>
    <n v="10"/>
    <n v="0"/>
    <n v="7"/>
    <x v="0"/>
  </r>
  <r>
    <n v="48"/>
    <x v="1"/>
    <s v="Travel_Rarely"/>
    <n v="969"/>
    <s v="Research &amp; Development"/>
    <n v="2"/>
    <n v="2"/>
    <s v="Technical Degree"/>
    <n v="1258"/>
    <n v="4"/>
    <s v="Male"/>
    <n v="76"/>
    <n v="4"/>
    <n v="1"/>
    <s v="Laboratory Technician"/>
    <n v="2"/>
    <s v="Single"/>
    <n v="2559"/>
    <n v="16620"/>
    <n v="5"/>
    <s v="No"/>
    <n v="11"/>
    <n v="3"/>
    <n v="3"/>
    <n v="0"/>
    <n v="7"/>
    <n v="4"/>
    <n v="2"/>
    <n v="1"/>
    <n v="0"/>
    <n v="0"/>
    <n v="0"/>
    <x v="1"/>
  </r>
  <r>
    <n v="27"/>
    <x v="1"/>
    <s v="Travel_Rarely"/>
    <n v="1167"/>
    <s v="Research &amp; Development"/>
    <n v="4"/>
    <n v="2"/>
    <s v="Life Sciences"/>
    <n v="1259"/>
    <n v="1"/>
    <s v="Male"/>
    <n v="76"/>
    <n v="3"/>
    <n v="1"/>
    <s v="Research Scientist"/>
    <n v="3"/>
    <s v="Divorced"/>
    <n v="2517"/>
    <n v="3208"/>
    <n v="1"/>
    <s v="No"/>
    <n v="11"/>
    <n v="3"/>
    <n v="2"/>
    <n v="3"/>
    <n v="5"/>
    <n v="2"/>
    <n v="3"/>
    <n v="5"/>
    <n v="3"/>
    <n v="0"/>
    <n v="3"/>
    <x v="2"/>
  </r>
  <r>
    <n v="29"/>
    <x v="1"/>
    <s v="Travel_Rarely"/>
    <n v="1329"/>
    <s v="Research &amp; Development"/>
    <n v="7"/>
    <n v="3"/>
    <s v="Life Sciences"/>
    <n v="1260"/>
    <n v="3"/>
    <s v="Male"/>
    <n v="82"/>
    <n v="3"/>
    <n v="2"/>
    <s v="Healthcare Representative"/>
    <n v="4"/>
    <s v="Divorced"/>
    <n v="6623"/>
    <n v="4204"/>
    <n v="1"/>
    <s v="Yes"/>
    <n v="11"/>
    <n v="3"/>
    <n v="2"/>
    <n v="2"/>
    <n v="6"/>
    <n v="2"/>
    <n v="3"/>
    <n v="6"/>
    <n v="0"/>
    <n v="1"/>
    <n v="0"/>
    <x v="2"/>
  </r>
  <r>
    <n v="48"/>
    <x v="1"/>
    <s v="Travel_Rarely"/>
    <n v="715"/>
    <s v="Research &amp; Development"/>
    <n v="1"/>
    <n v="3"/>
    <s v="Life Sciences"/>
    <n v="1263"/>
    <n v="4"/>
    <s v="Male"/>
    <n v="76"/>
    <n v="2"/>
    <n v="5"/>
    <s v="Research Director"/>
    <n v="4"/>
    <s v="Single"/>
    <n v="18265"/>
    <n v="8733"/>
    <n v="6"/>
    <s v="No"/>
    <n v="12"/>
    <n v="3"/>
    <n v="3"/>
    <n v="0"/>
    <n v="25"/>
    <n v="3"/>
    <n v="4"/>
    <n v="1"/>
    <n v="0"/>
    <n v="0"/>
    <n v="0"/>
    <x v="1"/>
  </r>
  <r>
    <n v="29"/>
    <x v="1"/>
    <s v="Travel_Rarely"/>
    <n v="694"/>
    <s v="Research &amp; Development"/>
    <n v="1"/>
    <n v="3"/>
    <s v="Life Sciences"/>
    <n v="1264"/>
    <n v="4"/>
    <s v="Female"/>
    <n v="87"/>
    <n v="2"/>
    <n v="4"/>
    <s v="Research Director"/>
    <n v="4"/>
    <s v="Divorced"/>
    <n v="16124"/>
    <n v="3423"/>
    <n v="3"/>
    <s v="No"/>
    <n v="14"/>
    <n v="3"/>
    <n v="2"/>
    <n v="2"/>
    <n v="9"/>
    <n v="2"/>
    <n v="2"/>
    <n v="7"/>
    <n v="7"/>
    <n v="1"/>
    <n v="7"/>
    <x v="2"/>
  </r>
  <r>
    <n v="34"/>
    <x v="1"/>
    <s v="Travel_Rarely"/>
    <n v="1320"/>
    <s v="Research &amp; Development"/>
    <n v="20"/>
    <n v="3"/>
    <s v="Technical Degree"/>
    <n v="1265"/>
    <n v="3"/>
    <s v="Female"/>
    <n v="89"/>
    <n v="4"/>
    <n v="1"/>
    <s v="Research Scientist"/>
    <n v="3"/>
    <s v="Married"/>
    <n v="2585"/>
    <n v="21643"/>
    <n v="0"/>
    <s v="No"/>
    <n v="17"/>
    <n v="3"/>
    <n v="4"/>
    <n v="0"/>
    <n v="2"/>
    <n v="5"/>
    <n v="2"/>
    <n v="1"/>
    <n v="0"/>
    <n v="0"/>
    <n v="0"/>
    <x v="2"/>
  </r>
  <r>
    <n v="44"/>
    <x v="1"/>
    <s v="Travel_Rarely"/>
    <n v="1099"/>
    <s v="Sales"/>
    <n v="5"/>
    <n v="3"/>
    <s v="Marketing"/>
    <n v="1267"/>
    <n v="2"/>
    <s v="Male"/>
    <n v="88"/>
    <n v="3"/>
    <n v="5"/>
    <s v="Manager"/>
    <n v="2"/>
    <s v="Married"/>
    <n v="18213"/>
    <n v="8751"/>
    <n v="7"/>
    <s v="No"/>
    <n v="11"/>
    <n v="3"/>
    <n v="3"/>
    <n v="1"/>
    <n v="26"/>
    <n v="5"/>
    <n v="3"/>
    <n v="22"/>
    <n v="9"/>
    <n v="3"/>
    <n v="10"/>
    <x v="0"/>
  </r>
  <r>
    <n v="33"/>
    <x v="1"/>
    <s v="Travel_Rarely"/>
    <n v="536"/>
    <s v="Sales"/>
    <n v="10"/>
    <n v="5"/>
    <s v="Marketing"/>
    <n v="1268"/>
    <n v="4"/>
    <s v="Male"/>
    <n v="82"/>
    <n v="4"/>
    <n v="3"/>
    <s v="Sales Executive"/>
    <n v="3"/>
    <s v="Divorced"/>
    <n v="8380"/>
    <n v="21708"/>
    <n v="0"/>
    <s v="Yes"/>
    <n v="14"/>
    <n v="3"/>
    <n v="4"/>
    <n v="2"/>
    <n v="10"/>
    <n v="3"/>
    <n v="3"/>
    <n v="9"/>
    <n v="8"/>
    <n v="0"/>
    <n v="8"/>
    <x v="2"/>
  </r>
  <r>
    <n v="19"/>
    <x v="1"/>
    <s v="Travel_Rarely"/>
    <n v="265"/>
    <s v="Research &amp; Development"/>
    <n v="25"/>
    <n v="3"/>
    <s v="Life Sciences"/>
    <n v="1269"/>
    <n v="2"/>
    <s v="Female"/>
    <n v="57"/>
    <n v="4"/>
    <n v="1"/>
    <s v="Research Scientist"/>
    <n v="4"/>
    <s v="Single"/>
    <n v="2994"/>
    <n v="21221"/>
    <n v="1"/>
    <s v="Yes"/>
    <n v="12"/>
    <n v="3"/>
    <n v="4"/>
    <n v="0"/>
    <n v="1"/>
    <n v="2"/>
    <n v="3"/>
    <n v="1"/>
    <n v="0"/>
    <n v="0"/>
    <n v="1"/>
    <x v="2"/>
  </r>
  <r>
    <n v="23"/>
    <x v="1"/>
    <s v="Travel_Rarely"/>
    <n v="373"/>
    <s v="Research &amp; Development"/>
    <n v="1"/>
    <n v="2"/>
    <s v="Life Sciences"/>
    <n v="1270"/>
    <n v="4"/>
    <s v="Male"/>
    <n v="47"/>
    <n v="3"/>
    <n v="1"/>
    <s v="Research Scientist"/>
    <n v="3"/>
    <s v="Married"/>
    <n v="1223"/>
    <n v="16901"/>
    <n v="1"/>
    <s v="No"/>
    <n v="22"/>
    <n v="4"/>
    <n v="4"/>
    <n v="1"/>
    <n v="1"/>
    <n v="2"/>
    <n v="3"/>
    <n v="1"/>
    <n v="0"/>
    <n v="0"/>
    <n v="1"/>
    <x v="2"/>
  </r>
  <r>
    <n v="25"/>
    <x v="0"/>
    <s v="Travel_Frequently"/>
    <n v="599"/>
    <s v="Sales"/>
    <n v="24"/>
    <n v="1"/>
    <s v="Life Sciences"/>
    <n v="1273"/>
    <n v="3"/>
    <s v="Male"/>
    <n v="73"/>
    <n v="1"/>
    <n v="1"/>
    <s v="Sales Representative"/>
    <n v="4"/>
    <s v="Single"/>
    <n v="1118"/>
    <n v="8040"/>
    <n v="1"/>
    <s v="Yes"/>
    <n v="14"/>
    <n v="3"/>
    <n v="4"/>
    <n v="0"/>
    <n v="1"/>
    <n v="4"/>
    <n v="3"/>
    <n v="1"/>
    <n v="0"/>
    <n v="1"/>
    <n v="0"/>
    <x v="2"/>
  </r>
  <r>
    <n v="26"/>
    <x v="1"/>
    <s v="Travel_Rarely"/>
    <n v="583"/>
    <s v="Research &amp; Development"/>
    <n v="4"/>
    <n v="2"/>
    <s v="Life Sciences"/>
    <n v="1275"/>
    <n v="3"/>
    <s v="Male"/>
    <n v="53"/>
    <n v="3"/>
    <n v="1"/>
    <s v="Research Scientist"/>
    <n v="4"/>
    <s v="Single"/>
    <n v="2875"/>
    <n v="9973"/>
    <n v="1"/>
    <s v="Yes"/>
    <n v="20"/>
    <n v="4"/>
    <n v="2"/>
    <n v="0"/>
    <n v="8"/>
    <n v="2"/>
    <n v="2"/>
    <n v="8"/>
    <n v="5"/>
    <n v="2"/>
    <n v="2"/>
    <x v="2"/>
  </r>
  <r>
    <n v="45"/>
    <x v="0"/>
    <s v="Travel_Rarely"/>
    <n v="1449"/>
    <s v="Sales"/>
    <n v="2"/>
    <n v="3"/>
    <s v="Marketing"/>
    <n v="1277"/>
    <n v="1"/>
    <s v="Female"/>
    <n v="94"/>
    <n v="1"/>
    <n v="5"/>
    <s v="Manager"/>
    <n v="2"/>
    <s v="Single"/>
    <n v="18824"/>
    <n v="2493"/>
    <n v="2"/>
    <s v="Yes"/>
    <n v="16"/>
    <n v="3"/>
    <n v="1"/>
    <n v="0"/>
    <n v="26"/>
    <n v="2"/>
    <n v="3"/>
    <n v="24"/>
    <n v="10"/>
    <n v="1"/>
    <n v="11"/>
    <x v="1"/>
  </r>
  <r>
    <n v="55"/>
    <x v="1"/>
    <s v="Non-Travel"/>
    <n v="177"/>
    <s v="Research &amp; Development"/>
    <n v="8"/>
    <n v="1"/>
    <s v="Medical"/>
    <n v="1278"/>
    <n v="4"/>
    <s v="Male"/>
    <n v="37"/>
    <n v="2"/>
    <n v="4"/>
    <s v="Healthcare Representative"/>
    <n v="2"/>
    <s v="Divorced"/>
    <n v="13577"/>
    <n v="25592"/>
    <n v="1"/>
    <s v="Yes"/>
    <n v="15"/>
    <n v="3"/>
    <n v="4"/>
    <n v="1"/>
    <n v="34"/>
    <n v="3"/>
    <n v="3"/>
    <n v="33"/>
    <n v="9"/>
    <n v="15"/>
    <n v="0"/>
    <x v="3"/>
  </r>
  <r>
    <n v="21"/>
    <x v="0"/>
    <s v="Travel_Frequently"/>
    <n v="251"/>
    <s v="Research &amp; Development"/>
    <n v="10"/>
    <n v="2"/>
    <s v="Life Sciences"/>
    <n v="1279"/>
    <n v="1"/>
    <s v="Female"/>
    <n v="45"/>
    <n v="2"/>
    <n v="1"/>
    <s v="Laboratory Technician"/>
    <n v="3"/>
    <s v="Single"/>
    <n v="2625"/>
    <n v="25308"/>
    <n v="1"/>
    <s v="No"/>
    <n v="20"/>
    <n v="4"/>
    <n v="3"/>
    <n v="0"/>
    <n v="2"/>
    <n v="2"/>
    <n v="1"/>
    <n v="2"/>
    <n v="2"/>
    <n v="2"/>
    <n v="2"/>
    <x v="2"/>
  </r>
  <r>
    <n v="46"/>
    <x v="1"/>
    <s v="Travel_Rarely"/>
    <n v="168"/>
    <s v="Sales"/>
    <n v="4"/>
    <n v="2"/>
    <s v="Marketing"/>
    <n v="1280"/>
    <n v="4"/>
    <s v="Female"/>
    <n v="33"/>
    <n v="2"/>
    <n v="5"/>
    <s v="Manager"/>
    <n v="2"/>
    <s v="Married"/>
    <n v="18789"/>
    <n v="9946"/>
    <n v="2"/>
    <s v="No"/>
    <n v="14"/>
    <n v="3"/>
    <n v="3"/>
    <n v="1"/>
    <n v="26"/>
    <n v="2"/>
    <n v="3"/>
    <n v="11"/>
    <n v="4"/>
    <n v="0"/>
    <n v="8"/>
    <x v="1"/>
  </r>
  <r>
    <n v="34"/>
    <x v="1"/>
    <s v="Travel_Rarely"/>
    <n v="131"/>
    <s v="Sales"/>
    <n v="2"/>
    <n v="3"/>
    <s v="Marketing"/>
    <n v="1281"/>
    <n v="3"/>
    <s v="Female"/>
    <n v="86"/>
    <n v="3"/>
    <n v="2"/>
    <s v="Sales Executive"/>
    <n v="1"/>
    <s v="Single"/>
    <n v="4538"/>
    <n v="6039"/>
    <n v="0"/>
    <s v="Yes"/>
    <n v="12"/>
    <n v="3"/>
    <n v="4"/>
    <n v="0"/>
    <n v="4"/>
    <n v="3"/>
    <n v="3"/>
    <n v="3"/>
    <n v="2"/>
    <n v="0"/>
    <n v="2"/>
    <x v="2"/>
  </r>
  <r>
    <n v="51"/>
    <x v="1"/>
    <s v="Travel_Frequently"/>
    <n v="237"/>
    <s v="Sales"/>
    <n v="9"/>
    <n v="3"/>
    <s v="Life Sciences"/>
    <n v="1282"/>
    <n v="4"/>
    <s v="Male"/>
    <n v="83"/>
    <n v="3"/>
    <n v="5"/>
    <s v="Manager"/>
    <n v="2"/>
    <s v="Divorced"/>
    <n v="19847"/>
    <n v="19196"/>
    <n v="4"/>
    <s v="Yes"/>
    <n v="24"/>
    <n v="4"/>
    <n v="1"/>
    <n v="1"/>
    <n v="31"/>
    <n v="5"/>
    <n v="2"/>
    <n v="29"/>
    <n v="10"/>
    <n v="11"/>
    <n v="10"/>
    <x v="1"/>
  </r>
  <r>
    <n v="59"/>
    <x v="1"/>
    <s v="Travel_Rarely"/>
    <n v="1429"/>
    <s v="Research &amp; Development"/>
    <n v="18"/>
    <n v="4"/>
    <s v="Medical"/>
    <n v="1283"/>
    <n v="4"/>
    <s v="Male"/>
    <n v="67"/>
    <n v="3"/>
    <n v="3"/>
    <s v="Manufacturing Director"/>
    <n v="4"/>
    <s v="Single"/>
    <n v="10512"/>
    <n v="20002"/>
    <n v="6"/>
    <s v="No"/>
    <n v="12"/>
    <n v="3"/>
    <n v="4"/>
    <n v="0"/>
    <n v="25"/>
    <n v="6"/>
    <n v="2"/>
    <n v="9"/>
    <n v="7"/>
    <n v="5"/>
    <n v="4"/>
    <x v="3"/>
  </r>
  <r>
    <n v="34"/>
    <x v="1"/>
    <s v="Travel_Frequently"/>
    <n v="135"/>
    <s v="Research &amp; Development"/>
    <n v="19"/>
    <n v="3"/>
    <s v="Medical"/>
    <n v="1285"/>
    <n v="3"/>
    <s v="Female"/>
    <n v="46"/>
    <n v="3"/>
    <n v="2"/>
    <s v="Laboratory Technician"/>
    <n v="2"/>
    <s v="Divorced"/>
    <n v="4444"/>
    <n v="22534"/>
    <n v="4"/>
    <s v="No"/>
    <n v="13"/>
    <n v="3"/>
    <n v="3"/>
    <n v="2"/>
    <n v="15"/>
    <n v="2"/>
    <n v="4"/>
    <n v="11"/>
    <n v="8"/>
    <n v="5"/>
    <n v="10"/>
    <x v="2"/>
  </r>
  <r>
    <n v="28"/>
    <x v="1"/>
    <s v="Travel_Frequently"/>
    <n v="791"/>
    <s v="Research &amp; Development"/>
    <n v="1"/>
    <n v="4"/>
    <s v="Medical"/>
    <n v="1286"/>
    <n v="4"/>
    <s v="Male"/>
    <n v="44"/>
    <n v="3"/>
    <n v="1"/>
    <s v="Laboratory Technician"/>
    <n v="3"/>
    <s v="Single"/>
    <n v="2154"/>
    <n v="6842"/>
    <n v="0"/>
    <s v="Yes"/>
    <n v="11"/>
    <n v="3"/>
    <n v="3"/>
    <n v="0"/>
    <n v="5"/>
    <n v="2"/>
    <n v="2"/>
    <n v="4"/>
    <n v="2"/>
    <n v="0"/>
    <n v="2"/>
    <x v="2"/>
  </r>
  <r>
    <n v="44"/>
    <x v="1"/>
    <s v="Travel_Rarely"/>
    <n v="1199"/>
    <s v="Research &amp; Development"/>
    <n v="4"/>
    <n v="2"/>
    <s v="Life Sciences"/>
    <n v="1288"/>
    <n v="3"/>
    <s v="Male"/>
    <n v="92"/>
    <n v="4"/>
    <n v="5"/>
    <s v="Manager"/>
    <n v="1"/>
    <s v="Divorced"/>
    <n v="19190"/>
    <n v="17477"/>
    <n v="1"/>
    <s v="No"/>
    <n v="14"/>
    <n v="3"/>
    <n v="4"/>
    <n v="2"/>
    <n v="26"/>
    <n v="4"/>
    <n v="2"/>
    <n v="25"/>
    <n v="9"/>
    <n v="14"/>
    <n v="13"/>
    <x v="0"/>
  </r>
  <r>
    <n v="34"/>
    <x v="1"/>
    <s v="Travel_Frequently"/>
    <n v="648"/>
    <s v="Human Resources"/>
    <n v="11"/>
    <n v="3"/>
    <s v="Life Sciences"/>
    <n v="1289"/>
    <n v="3"/>
    <s v="Male"/>
    <n v="56"/>
    <n v="2"/>
    <n v="2"/>
    <s v="Human Resources"/>
    <n v="2"/>
    <s v="Married"/>
    <n v="4490"/>
    <n v="21833"/>
    <n v="4"/>
    <s v="No"/>
    <n v="11"/>
    <n v="3"/>
    <n v="4"/>
    <n v="2"/>
    <n v="14"/>
    <n v="5"/>
    <n v="4"/>
    <n v="10"/>
    <n v="9"/>
    <n v="1"/>
    <n v="8"/>
    <x v="2"/>
  </r>
  <r>
    <n v="35"/>
    <x v="1"/>
    <s v="Travel_Rarely"/>
    <n v="735"/>
    <s v="Research &amp; Development"/>
    <n v="6"/>
    <n v="1"/>
    <s v="Life Sciences"/>
    <n v="1291"/>
    <n v="3"/>
    <s v="Male"/>
    <n v="66"/>
    <n v="3"/>
    <n v="1"/>
    <s v="Research Scientist"/>
    <n v="3"/>
    <s v="Married"/>
    <n v="3506"/>
    <n v="6020"/>
    <n v="0"/>
    <s v="Yes"/>
    <n v="14"/>
    <n v="3"/>
    <n v="4"/>
    <n v="0"/>
    <n v="4"/>
    <n v="3"/>
    <n v="3"/>
    <n v="3"/>
    <n v="2"/>
    <n v="2"/>
    <n v="2"/>
    <x v="0"/>
  </r>
  <r>
    <n v="42"/>
    <x v="1"/>
    <s v="Travel_Rarely"/>
    <n v="603"/>
    <s v="Research &amp; Development"/>
    <n v="7"/>
    <n v="4"/>
    <s v="Medical"/>
    <n v="1292"/>
    <n v="2"/>
    <s v="Female"/>
    <n v="78"/>
    <n v="4"/>
    <n v="2"/>
    <s v="Research Scientist"/>
    <n v="2"/>
    <s v="Married"/>
    <n v="2372"/>
    <n v="5628"/>
    <n v="6"/>
    <s v="Yes"/>
    <n v="16"/>
    <n v="3"/>
    <n v="4"/>
    <n v="0"/>
    <n v="18"/>
    <n v="2"/>
    <n v="3"/>
    <n v="1"/>
    <n v="0"/>
    <n v="0"/>
    <n v="0"/>
    <x v="0"/>
  </r>
  <r>
    <n v="43"/>
    <x v="1"/>
    <s v="Travel_Rarely"/>
    <n v="531"/>
    <s v="Sales"/>
    <n v="4"/>
    <n v="4"/>
    <s v="Marketing"/>
    <n v="1293"/>
    <n v="4"/>
    <s v="Female"/>
    <n v="56"/>
    <n v="2"/>
    <n v="3"/>
    <s v="Sales Executive"/>
    <n v="4"/>
    <s v="Single"/>
    <n v="10231"/>
    <n v="20364"/>
    <n v="3"/>
    <s v="No"/>
    <n v="14"/>
    <n v="3"/>
    <n v="4"/>
    <n v="0"/>
    <n v="23"/>
    <n v="3"/>
    <n v="4"/>
    <n v="21"/>
    <n v="7"/>
    <n v="15"/>
    <n v="17"/>
    <x v="0"/>
  </r>
  <r>
    <n v="36"/>
    <x v="1"/>
    <s v="Travel_Rarely"/>
    <n v="429"/>
    <s v="Research &amp; Development"/>
    <n v="2"/>
    <n v="4"/>
    <s v="Life Sciences"/>
    <n v="1294"/>
    <n v="3"/>
    <s v="Female"/>
    <n v="53"/>
    <n v="3"/>
    <n v="2"/>
    <s v="Manufacturing Director"/>
    <n v="2"/>
    <s v="Single"/>
    <n v="5410"/>
    <n v="2323"/>
    <n v="9"/>
    <s v="Yes"/>
    <n v="11"/>
    <n v="3"/>
    <n v="4"/>
    <n v="0"/>
    <n v="18"/>
    <n v="2"/>
    <n v="3"/>
    <n v="16"/>
    <n v="14"/>
    <n v="5"/>
    <n v="12"/>
    <x v="0"/>
  </r>
  <r>
    <n v="44"/>
    <x v="0"/>
    <s v="Travel_Rarely"/>
    <n v="621"/>
    <s v="Research &amp; Development"/>
    <n v="15"/>
    <n v="3"/>
    <s v="Medical"/>
    <n v="1295"/>
    <n v="1"/>
    <s v="Female"/>
    <n v="73"/>
    <n v="3"/>
    <n v="3"/>
    <s v="Healthcare Representative"/>
    <n v="4"/>
    <s v="Married"/>
    <n v="7978"/>
    <n v="14075"/>
    <n v="1"/>
    <s v="No"/>
    <n v="11"/>
    <n v="3"/>
    <n v="4"/>
    <n v="1"/>
    <n v="10"/>
    <n v="2"/>
    <n v="3"/>
    <n v="10"/>
    <n v="7"/>
    <n v="0"/>
    <n v="5"/>
    <x v="0"/>
  </r>
  <r>
    <n v="28"/>
    <x v="1"/>
    <s v="Travel_Frequently"/>
    <n v="193"/>
    <s v="Research &amp; Development"/>
    <n v="2"/>
    <n v="3"/>
    <s v="Life Sciences"/>
    <n v="1296"/>
    <n v="4"/>
    <s v="Male"/>
    <n v="52"/>
    <n v="2"/>
    <n v="1"/>
    <s v="Laboratory Technician"/>
    <n v="4"/>
    <s v="Married"/>
    <n v="3867"/>
    <n v="14222"/>
    <n v="1"/>
    <s v="Yes"/>
    <n v="12"/>
    <n v="3"/>
    <n v="2"/>
    <n v="1"/>
    <n v="2"/>
    <n v="2"/>
    <n v="3"/>
    <n v="2"/>
    <n v="2"/>
    <n v="2"/>
    <n v="2"/>
    <x v="2"/>
  </r>
  <r>
    <n v="51"/>
    <x v="1"/>
    <s v="Travel_Frequently"/>
    <n v="968"/>
    <s v="Research &amp; Development"/>
    <n v="6"/>
    <n v="2"/>
    <s v="Medical"/>
    <n v="1297"/>
    <n v="2"/>
    <s v="Female"/>
    <n v="40"/>
    <n v="2"/>
    <n v="1"/>
    <s v="Laboratory Technician"/>
    <n v="3"/>
    <s v="Single"/>
    <n v="2838"/>
    <n v="4257"/>
    <n v="0"/>
    <s v="No"/>
    <n v="14"/>
    <n v="3"/>
    <n v="2"/>
    <n v="0"/>
    <n v="8"/>
    <n v="6"/>
    <n v="2"/>
    <n v="7"/>
    <n v="0"/>
    <n v="7"/>
    <n v="7"/>
    <x v="1"/>
  </r>
  <r>
    <n v="30"/>
    <x v="1"/>
    <s v="Non-Travel"/>
    <n v="879"/>
    <s v="Research &amp; Development"/>
    <n v="9"/>
    <n v="2"/>
    <s v="Medical"/>
    <n v="1298"/>
    <n v="3"/>
    <s v="Female"/>
    <n v="72"/>
    <n v="3"/>
    <n v="2"/>
    <s v="Manufacturing Director"/>
    <n v="3"/>
    <s v="Single"/>
    <n v="4695"/>
    <n v="12858"/>
    <n v="7"/>
    <s v="Yes"/>
    <n v="18"/>
    <n v="3"/>
    <n v="3"/>
    <n v="0"/>
    <n v="10"/>
    <n v="3"/>
    <n v="3"/>
    <n v="8"/>
    <n v="4"/>
    <n v="1"/>
    <n v="7"/>
    <x v="2"/>
  </r>
  <r>
    <n v="29"/>
    <x v="0"/>
    <s v="Travel_Rarely"/>
    <n v="806"/>
    <s v="Research &amp; Development"/>
    <n v="7"/>
    <n v="3"/>
    <s v="Technical Degree"/>
    <n v="1299"/>
    <n v="2"/>
    <s v="Female"/>
    <n v="39"/>
    <n v="3"/>
    <n v="1"/>
    <s v="Laboratory Technician"/>
    <n v="3"/>
    <s v="Divorced"/>
    <n v="3339"/>
    <n v="17285"/>
    <n v="3"/>
    <s v="Yes"/>
    <n v="13"/>
    <n v="3"/>
    <n v="1"/>
    <n v="2"/>
    <n v="10"/>
    <n v="2"/>
    <n v="3"/>
    <n v="7"/>
    <n v="7"/>
    <n v="7"/>
    <n v="7"/>
    <x v="2"/>
  </r>
  <r>
    <n v="28"/>
    <x v="1"/>
    <s v="Travel_Rarely"/>
    <n v="640"/>
    <s v="Research &amp; Development"/>
    <n v="1"/>
    <n v="3"/>
    <s v="Technical Degree"/>
    <n v="1301"/>
    <n v="4"/>
    <s v="Male"/>
    <n v="84"/>
    <n v="3"/>
    <n v="1"/>
    <s v="Research Scientist"/>
    <n v="1"/>
    <s v="Single"/>
    <n v="2080"/>
    <n v="4732"/>
    <n v="2"/>
    <s v="No"/>
    <n v="11"/>
    <n v="3"/>
    <n v="2"/>
    <n v="0"/>
    <n v="5"/>
    <n v="2"/>
    <n v="2"/>
    <n v="3"/>
    <n v="2"/>
    <n v="1"/>
    <n v="2"/>
    <x v="2"/>
  </r>
  <r>
    <n v="25"/>
    <x v="1"/>
    <s v="Travel_Rarely"/>
    <n v="266"/>
    <s v="Research &amp; Development"/>
    <n v="1"/>
    <n v="3"/>
    <s v="Medical"/>
    <n v="1303"/>
    <n v="4"/>
    <s v="Female"/>
    <n v="40"/>
    <n v="3"/>
    <n v="1"/>
    <s v="Research Scientist"/>
    <n v="2"/>
    <s v="Single"/>
    <n v="2096"/>
    <n v="18830"/>
    <n v="1"/>
    <s v="No"/>
    <n v="18"/>
    <n v="3"/>
    <n v="4"/>
    <n v="0"/>
    <n v="2"/>
    <n v="3"/>
    <n v="2"/>
    <n v="2"/>
    <n v="2"/>
    <n v="2"/>
    <n v="1"/>
    <x v="2"/>
  </r>
  <r>
    <n v="32"/>
    <x v="1"/>
    <s v="Travel_Rarely"/>
    <n v="604"/>
    <s v="Sales"/>
    <n v="8"/>
    <n v="3"/>
    <s v="Medical"/>
    <n v="1304"/>
    <n v="3"/>
    <s v="Male"/>
    <n v="56"/>
    <n v="4"/>
    <n v="2"/>
    <s v="Sales Executive"/>
    <n v="4"/>
    <s v="Married"/>
    <n v="6209"/>
    <n v="11693"/>
    <n v="1"/>
    <s v="No"/>
    <n v="15"/>
    <n v="3"/>
    <n v="3"/>
    <n v="2"/>
    <n v="10"/>
    <n v="4"/>
    <n v="4"/>
    <n v="10"/>
    <n v="7"/>
    <n v="0"/>
    <n v="8"/>
    <x v="2"/>
  </r>
  <r>
    <n v="45"/>
    <x v="1"/>
    <s v="Travel_Frequently"/>
    <n v="364"/>
    <s v="Research &amp; Development"/>
    <n v="25"/>
    <n v="3"/>
    <s v="Medical"/>
    <n v="1306"/>
    <n v="2"/>
    <s v="Female"/>
    <n v="83"/>
    <n v="3"/>
    <n v="5"/>
    <s v="Manager"/>
    <n v="2"/>
    <s v="Single"/>
    <n v="18061"/>
    <n v="13035"/>
    <n v="3"/>
    <s v="No"/>
    <n v="22"/>
    <n v="4"/>
    <n v="3"/>
    <n v="0"/>
    <n v="22"/>
    <n v="4"/>
    <n v="3"/>
    <n v="0"/>
    <n v="0"/>
    <n v="0"/>
    <n v="0"/>
    <x v="1"/>
  </r>
  <r>
    <n v="39"/>
    <x v="1"/>
    <s v="Travel_Rarely"/>
    <n v="412"/>
    <s v="Research &amp; Development"/>
    <n v="13"/>
    <n v="4"/>
    <s v="Medical"/>
    <n v="1307"/>
    <n v="3"/>
    <s v="Female"/>
    <n v="94"/>
    <n v="2"/>
    <n v="4"/>
    <s v="Manager"/>
    <n v="2"/>
    <s v="Divorced"/>
    <n v="17123"/>
    <n v="17334"/>
    <n v="6"/>
    <s v="Yes"/>
    <n v="13"/>
    <n v="3"/>
    <n v="4"/>
    <n v="2"/>
    <n v="21"/>
    <n v="4"/>
    <n v="3"/>
    <n v="19"/>
    <n v="9"/>
    <n v="15"/>
    <n v="2"/>
    <x v="0"/>
  </r>
  <r>
    <n v="58"/>
    <x v="1"/>
    <s v="Travel_Rarely"/>
    <n v="848"/>
    <s v="Research &amp; Development"/>
    <n v="23"/>
    <n v="4"/>
    <s v="Life Sciences"/>
    <n v="1308"/>
    <n v="1"/>
    <s v="Male"/>
    <n v="88"/>
    <n v="3"/>
    <n v="1"/>
    <s v="Research Scientist"/>
    <n v="3"/>
    <s v="Divorced"/>
    <n v="2372"/>
    <n v="26076"/>
    <n v="1"/>
    <s v="No"/>
    <n v="12"/>
    <n v="3"/>
    <n v="4"/>
    <n v="2"/>
    <n v="2"/>
    <n v="3"/>
    <n v="3"/>
    <n v="2"/>
    <n v="2"/>
    <n v="2"/>
    <n v="2"/>
    <x v="3"/>
  </r>
  <r>
    <n v="32"/>
    <x v="0"/>
    <s v="Travel_Rarely"/>
    <n v="1089"/>
    <s v="Research &amp; Development"/>
    <n v="7"/>
    <n v="2"/>
    <s v="Life Sciences"/>
    <n v="1309"/>
    <n v="4"/>
    <s v="Male"/>
    <n v="79"/>
    <n v="3"/>
    <n v="2"/>
    <s v="Laboratory Technician"/>
    <n v="3"/>
    <s v="Married"/>
    <n v="4883"/>
    <n v="22845"/>
    <n v="1"/>
    <s v="No"/>
    <n v="18"/>
    <n v="3"/>
    <n v="1"/>
    <n v="1"/>
    <n v="10"/>
    <n v="3"/>
    <n v="3"/>
    <n v="10"/>
    <n v="4"/>
    <n v="1"/>
    <n v="1"/>
    <x v="2"/>
  </r>
  <r>
    <n v="39"/>
    <x v="0"/>
    <s v="Travel_Rarely"/>
    <n v="360"/>
    <s v="Research &amp; Development"/>
    <n v="23"/>
    <n v="3"/>
    <s v="Medical"/>
    <n v="1310"/>
    <n v="3"/>
    <s v="Male"/>
    <n v="93"/>
    <n v="3"/>
    <n v="1"/>
    <s v="Research Scientist"/>
    <n v="1"/>
    <s v="Single"/>
    <n v="3904"/>
    <n v="22154"/>
    <n v="0"/>
    <s v="No"/>
    <n v="13"/>
    <n v="3"/>
    <n v="1"/>
    <n v="0"/>
    <n v="6"/>
    <n v="2"/>
    <n v="3"/>
    <n v="5"/>
    <n v="2"/>
    <n v="0"/>
    <n v="3"/>
    <x v="0"/>
  </r>
  <r>
    <n v="30"/>
    <x v="1"/>
    <s v="Travel_Rarely"/>
    <n v="1138"/>
    <s v="Research &amp; Development"/>
    <n v="6"/>
    <n v="3"/>
    <s v="Technical Degree"/>
    <n v="1311"/>
    <n v="1"/>
    <s v="Female"/>
    <n v="48"/>
    <n v="2"/>
    <n v="2"/>
    <s v="Laboratory Technician"/>
    <n v="4"/>
    <s v="Married"/>
    <n v="4627"/>
    <n v="23631"/>
    <n v="0"/>
    <s v="No"/>
    <n v="12"/>
    <n v="3"/>
    <n v="1"/>
    <n v="1"/>
    <n v="10"/>
    <n v="6"/>
    <n v="3"/>
    <n v="9"/>
    <n v="2"/>
    <n v="6"/>
    <n v="7"/>
    <x v="2"/>
  </r>
  <r>
    <n v="36"/>
    <x v="1"/>
    <s v="Travel_Rarely"/>
    <n v="325"/>
    <s v="Research &amp; Development"/>
    <n v="10"/>
    <n v="4"/>
    <s v="Technical Degree"/>
    <n v="1312"/>
    <n v="4"/>
    <s v="Female"/>
    <n v="63"/>
    <n v="3"/>
    <n v="3"/>
    <s v="Healthcare Representative"/>
    <n v="3"/>
    <s v="Married"/>
    <n v="7094"/>
    <n v="5747"/>
    <n v="3"/>
    <s v="No"/>
    <n v="12"/>
    <n v="3"/>
    <n v="1"/>
    <n v="0"/>
    <n v="10"/>
    <n v="0"/>
    <n v="3"/>
    <n v="7"/>
    <n v="7"/>
    <n v="1"/>
    <n v="7"/>
    <x v="0"/>
  </r>
  <r>
    <n v="46"/>
    <x v="1"/>
    <s v="Travel_Rarely"/>
    <n v="991"/>
    <s v="Human Resources"/>
    <n v="1"/>
    <n v="2"/>
    <s v="Life Sciences"/>
    <n v="1314"/>
    <n v="4"/>
    <s v="Female"/>
    <n v="44"/>
    <n v="3"/>
    <n v="1"/>
    <s v="Human Resources"/>
    <n v="1"/>
    <s v="Single"/>
    <n v="3423"/>
    <n v="22957"/>
    <n v="6"/>
    <s v="No"/>
    <n v="12"/>
    <n v="3"/>
    <n v="3"/>
    <n v="0"/>
    <n v="10"/>
    <n v="3"/>
    <n v="4"/>
    <n v="7"/>
    <n v="6"/>
    <n v="5"/>
    <n v="7"/>
    <x v="1"/>
  </r>
  <r>
    <n v="28"/>
    <x v="1"/>
    <s v="Non-Travel"/>
    <n v="1476"/>
    <s v="Research &amp; Development"/>
    <n v="1"/>
    <n v="3"/>
    <s v="Life Sciences"/>
    <n v="1315"/>
    <n v="3"/>
    <s v="Female"/>
    <n v="55"/>
    <n v="1"/>
    <n v="2"/>
    <s v="Laboratory Technician"/>
    <n v="4"/>
    <s v="Married"/>
    <n v="6674"/>
    <n v="16392"/>
    <n v="0"/>
    <s v="No"/>
    <n v="11"/>
    <n v="3"/>
    <n v="1"/>
    <n v="3"/>
    <n v="10"/>
    <n v="6"/>
    <n v="3"/>
    <n v="9"/>
    <n v="8"/>
    <n v="7"/>
    <n v="5"/>
    <x v="2"/>
  </r>
  <r>
    <n v="50"/>
    <x v="1"/>
    <s v="Travel_Rarely"/>
    <n v="1322"/>
    <s v="Research &amp; Development"/>
    <n v="28"/>
    <n v="3"/>
    <s v="Life Sciences"/>
    <n v="1317"/>
    <n v="4"/>
    <s v="Female"/>
    <n v="43"/>
    <n v="3"/>
    <n v="4"/>
    <s v="Research Director"/>
    <n v="1"/>
    <s v="Married"/>
    <n v="16880"/>
    <n v="22422"/>
    <n v="4"/>
    <s v="Yes"/>
    <n v="11"/>
    <n v="3"/>
    <n v="2"/>
    <n v="0"/>
    <n v="25"/>
    <n v="2"/>
    <n v="3"/>
    <n v="3"/>
    <n v="2"/>
    <n v="1"/>
    <n v="2"/>
    <x v="1"/>
  </r>
  <r>
    <n v="40"/>
    <x v="0"/>
    <s v="Travel_Rarely"/>
    <n v="299"/>
    <s v="Sales"/>
    <n v="25"/>
    <n v="4"/>
    <s v="Marketing"/>
    <n v="1318"/>
    <n v="4"/>
    <s v="Male"/>
    <n v="57"/>
    <n v="2"/>
    <n v="3"/>
    <s v="Sales Executive"/>
    <n v="2"/>
    <s v="Single"/>
    <n v="9094"/>
    <n v="17235"/>
    <n v="2"/>
    <s v="Yes"/>
    <n v="12"/>
    <n v="3"/>
    <n v="3"/>
    <n v="0"/>
    <n v="9"/>
    <n v="2"/>
    <n v="3"/>
    <n v="5"/>
    <n v="4"/>
    <n v="1"/>
    <n v="0"/>
    <x v="0"/>
  </r>
  <r>
    <n v="52"/>
    <x v="0"/>
    <s v="Travel_Rarely"/>
    <n v="1030"/>
    <s v="Sales"/>
    <n v="5"/>
    <n v="3"/>
    <s v="Life Sciences"/>
    <n v="1319"/>
    <n v="2"/>
    <s v="Male"/>
    <n v="64"/>
    <n v="3"/>
    <n v="3"/>
    <s v="Sales Executive"/>
    <n v="2"/>
    <s v="Single"/>
    <n v="8446"/>
    <n v="21534"/>
    <n v="9"/>
    <s v="Yes"/>
    <n v="19"/>
    <n v="3"/>
    <n v="3"/>
    <n v="0"/>
    <n v="10"/>
    <n v="2"/>
    <n v="2"/>
    <n v="8"/>
    <n v="7"/>
    <n v="7"/>
    <n v="7"/>
    <x v="1"/>
  </r>
  <r>
    <n v="30"/>
    <x v="1"/>
    <s v="Travel_Rarely"/>
    <n v="634"/>
    <s v="Research &amp; Development"/>
    <n v="17"/>
    <n v="4"/>
    <s v="Medical"/>
    <n v="1321"/>
    <n v="2"/>
    <s v="Female"/>
    <n v="95"/>
    <n v="3"/>
    <n v="3"/>
    <s v="Manager"/>
    <n v="1"/>
    <s v="Married"/>
    <n v="11916"/>
    <n v="25927"/>
    <n v="1"/>
    <s v="Yes"/>
    <n v="23"/>
    <n v="4"/>
    <n v="4"/>
    <n v="2"/>
    <n v="9"/>
    <n v="2"/>
    <n v="3"/>
    <n v="9"/>
    <n v="1"/>
    <n v="0"/>
    <n v="8"/>
    <x v="2"/>
  </r>
  <r>
    <n v="39"/>
    <x v="1"/>
    <s v="Travel_Rarely"/>
    <n v="524"/>
    <s v="Research &amp; Development"/>
    <n v="18"/>
    <n v="2"/>
    <s v="Life Sciences"/>
    <n v="1322"/>
    <n v="1"/>
    <s v="Male"/>
    <n v="32"/>
    <n v="3"/>
    <n v="2"/>
    <s v="Manufacturing Director"/>
    <n v="3"/>
    <s v="Single"/>
    <n v="4534"/>
    <n v="13352"/>
    <n v="0"/>
    <s v="No"/>
    <n v="11"/>
    <n v="3"/>
    <n v="1"/>
    <n v="0"/>
    <n v="9"/>
    <n v="6"/>
    <n v="3"/>
    <n v="8"/>
    <n v="7"/>
    <n v="1"/>
    <n v="7"/>
    <x v="0"/>
  </r>
  <r>
    <n v="31"/>
    <x v="1"/>
    <s v="Non-Travel"/>
    <n v="587"/>
    <s v="Sales"/>
    <n v="2"/>
    <n v="4"/>
    <s v="Life Sciences"/>
    <n v="1324"/>
    <n v="4"/>
    <s v="Female"/>
    <n v="57"/>
    <n v="3"/>
    <n v="3"/>
    <s v="Sales Executive"/>
    <n v="3"/>
    <s v="Divorced"/>
    <n v="9852"/>
    <n v="8935"/>
    <n v="1"/>
    <s v="Yes"/>
    <n v="19"/>
    <n v="3"/>
    <n v="1"/>
    <n v="1"/>
    <n v="10"/>
    <n v="5"/>
    <n v="2"/>
    <n v="10"/>
    <n v="8"/>
    <n v="9"/>
    <n v="6"/>
    <x v="2"/>
  </r>
  <r>
    <n v="41"/>
    <x v="1"/>
    <s v="Non-Travel"/>
    <n v="256"/>
    <s v="Sales"/>
    <n v="10"/>
    <n v="2"/>
    <s v="Medical"/>
    <n v="1329"/>
    <n v="3"/>
    <s v="Male"/>
    <n v="40"/>
    <n v="1"/>
    <n v="2"/>
    <s v="Sales Executive"/>
    <n v="2"/>
    <s v="Single"/>
    <n v="6151"/>
    <n v="22074"/>
    <n v="1"/>
    <s v="No"/>
    <n v="13"/>
    <n v="3"/>
    <n v="1"/>
    <n v="0"/>
    <n v="19"/>
    <n v="4"/>
    <n v="3"/>
    <n v="19"/>
    <n v="2"/>
    <n v="11"/>
    <n v="9"/>
    <x v="0"/>
  </r>
  <r>
    <n v="31"/>
    <x v="0"/>
    <s v="Travel_Frequently"/>
    <n v="1060"/>
    <s v="Sales"/>
    <n v="1"/>
    <n v="3"/>
    <s v="Life Sciences"/>
    <n v="1331"/>
    <n v="4"/>
    <s v="Female"/>
    <n v="54"/>
    <n v="3"/>
    <n v="1"/>
    <s v="Sales Representative"/>
    <n v="2"/>
    <s v="Single"/>
    <n v="2302"/>
    <n v="8319"/>
    <n v="1"/>
    <s v="Yes"/>
    <n v="11"/>
    <n v="3"/>
    <n v="1"/>
    <n v="0"/>
    <n v="3"/>
    <n v="2"/>
    <n v="4"/>
    <n v="3"/>
    <n v="2"/>
    <n v="2"/>
    <n v="2"/>
    <x v="2"/>
  </r>
  <r>
    <n v="44"/>
    <x v="0"/>
    <s v="Travel_Rarely"/>
    <n v="935"/>
    <s v="Research &amp; Development"/>
    <n v="3"/>
    <n v="3"/>
    <s v="Life Sciences"/>
    <n v="1333"/>
    <n v="1"/>
    <s v="Male"/>
    <n v="89"/>
    <n v="3"/>
    <n v="1"/>
    <s v="Laboratory Technician"/>
    <n v="1"/>
    <s v="Married"/>
    <n v="2362"/>
    <n v="14669"/>
    <n v="4"/>
    <s v="No"/>
    <n v="12"/>
    <n v="3"/>
    <n v="3"/>
    <n v="0"/>
    <n v="10"/>
    <n v="4"/>
    <n v="4"/>
    <n v="3"/>
    <n v="2"/>
    <n v="1"/>
    <n v="2"/>
    <x v="0"/>
  </r>
  <r>
    <n v="42"/>
    <x v="1"/>
    <s v="Non-Travel"/>
    <n v="495"/>
    <s v="Research &amp; Development"/>
    <n v="2"/>
    <n v="1"/>
    <s v="Life Sciences"/>
    <n v="1334"/>
    <n v="3"/>
    <s v="Male"/>
    <n v="37"/>
    <n v="3"/>
    <n v="4"/>
    <s v="Manager"/>
    <n v="3"/>
    <s v="Married"/>
    <n v="17861"/>
    <n v="26582"/>
    <n v="0"/>
    <s v="Yes"/>
    <n v="13"/>
    <n v="3"/>
    <n v="4"/>
    <n v="0"/>
    <n v="21"/>
    <n v="3"/>
    <n v="2"/>
    <n v="20"/>
    <n v="8"/>
    <n v="2"/>
    <n v="10"/>
    <x v="0"/>
  </r>
  <r>
    <n v="55"/>
    <x v="1"/>
    <s v="Travel_Rarely"/>
    <n v="282"/>
    <s v="Research &amp; Development"/>
    <n v="2"/>
    <n v="2"/>
    <s v="Medical"/>
    <n v="1336"/>
    <n v="4"/>
    <s v="Female"/>
    <n v="58"/>
    <n v="1"/>
    <n v="5"/>
    <s v="Manager"/>
    <n v="3"/>
    <s v="Married"/>
    <n v="19187"/>
    <n v="6992"/>
    <n v="4"/>
    <s v="No"/>
    <n v="14"/>
    <n v="3"/>
    <n v="4"/>
    <n v="1"/>
    <n v="23"/>
    <n v="5"/>
    <n v="3"/>
    <n v="19"/>
    <n v="9"/>
    <n v="9"/>
    <n v="11"/>
    <x v="3"/>
  </r>
  <r>
    <n v="56"/>
    <x v="1"/>
    <s v="Travel_Rarely"/>
    <n v="206"/>
    <s v="Human Resources"/>
    <n v="8"/>
    <n v="4"/>
    <s v="Life Sciences"/>
    <n v="1338"/>
    <n v="4"/>
    <s v="Male"/>
    <n v="99"/>
    <n v="3"/>
    <n v="5"/>
    <s v="Manager"/>
    <n v="2"/>
    <s v="Single"/>
    <n v="19717"/>
    <n v="4022"/>
    <n v="6"/>
    <s v="No"/>
    <n v="14"/>
    <n v="3"/>
    <n v="1"/>
    <n v="0"/>
    <n v="36"/>
    <n v="4"/>
    <n v="3"/>
    <n v="7"/>
    <n v="3"/>
    <n v="7"/>
    <n v="7"/>
    <x v="3"/>
  </r>
  <r>
    <n v="40"/>
    <x v="1"/>
    <s v="Non-Travel"/>
    <n v="458"/>
    <s v="Research &amp; Development"/>
    <n v="16"/>
    <n v="2"/>
    <s v="Life Sciences"/>
    <n v="1340"/>
    <n v="3"/>
    <s v="Male"/>
    <n v="74"/>
    <n v="3"/>
    <n v="1"/>
    <s v="Research Scientist"/>
    <n v="3"/>
    <s v="Divorced"/>
    <n v="3544"/>
    <n v="8532"/>
    <n v="9"/>
    <s v="No"/>
    <n v="16"/>
    <n v="3"/>
    <n v="2"/>
    <n v="1"/>
    <n v="6"/>
    <n v="0"/>
    <n v="3"/>
    <n v="4"/>
    <n v="2"/>
    <n v="0"/>
    <n v="0"/>
    <x v="0"/>
  </r>
  <r>
    <n v="34"/>
    <x v="1"/>
    <s v="Travel_Rarely"/>
    <n v="943"/>
    <s v="Research &amp; Development"/>
    <n v="9"/>
    <n v="3"/>
    <s v="Life Sciences"/>
    <n v="1344"/>
    <n v="4"/>
    <s v="Male"/>
    <n v="86"/>
    <n v="3"/>
    <n v="3"/>
    <s v="Healthcare Representative"/>
    <n v="4"/>
    <s v="Divorced"/>
    <n v="8500"/>
    <n v="5494"/>
    <n v="0"/>
    <s v="No"/>
    <n v="11"/>
    <n v="3"/>
    <n v="4"/>
    <n v="1"/>
    <n v="10"/>
    <n v="0"/>
    <n v="2"/>
    <n v="9"/>
    <n v="7"/>
    <n v="1"/>
    <n v="6"/>
    <x v="2"/>
  </r>
  <r>
    <n v="40"/>
    <x v="1"/>
    <s v="Travel_Rarely"/>
    <n v="523"/>
    <s v="Research &amp; Development"/>
    <n v="2"/>
    <n v="3"/>
    <s v="Life Sciences"/>
    <n v="1346"/>
    <n v="3"/>
    <s v="Male"/>
    <n v="98"/>
    <n v="3"/>
    <n v="2"/>
    <s v="Research Scientist"/>
    <n v="4"/>
    <s v="Single"/>
    <n v="4661"/>
    <n v="22455"/>
    <n v="1"/>
    <s v="No"/>
    <n v="13"/>
    <n v="3"/>
    <n v="3"/>
    <n v="0"/>
    <n v="9"/>
    <n v="4"/>
    <n v="3"/>
    <n v="9"/>
    <n v="8"/>
    <n v="8"/>
    <n v="8"/>
    <x v="0"/>
  </r>
  <r>
    <n v="41"/>
    <x v="1"/>
    <s v="Travel_Frequently"/>
    <n v="1018"/>
    <s v="Sales"/>
    <n v="1"/>
    <n v="3"/>
    <s v="Marketing"/>
    <n v="1349"/>
    <n v="3"/>
    <s v="Female"/>
    <n v="66"/>
    <n v="3"/>
    <n v="2"/>
    <s v="Sales Executive"/>
    <n v="1"/>
    <s v="Divorced"/>
    <n v="4103"/>
    <n v="4297"/>
    <n v="0"/>
    <s v="No"/>
    <n v="17"/>
    <n v="3"/>
    <n v="4"/>
    <n v="1"/>
    <n v="10"/>
    <n v="2"/>
    <n v="3"/>
    <n v="9"/>
    <n v="3"/>
    <n v="1"/>
    <n v="7"/>
    <x v="0"/>
  </r>
  <r>
    <n v="35"/>
    <x v="1"/>
    <s v="Travel_Frequently"/>
    <n v="482"/>
    <s v="Research &amp; Development"/>
    <n v="4"/>
    <n v="4"/>
    <s v="Life Sciences"/>
    <n v="1350"/>
    <n v="3"/>
    <s v="Male"/>
    <n v="87"/>
    <n v="3"/>
    <n v="2"/>
    <s v="Research Scientist"/>
    <n v="3"/>
    <s v="Single"/>
    <n v="4249"/>
    <n v="2690"/>
    <n v="1"/>
    <s v="Yes"/>
    <n v="11"/>
    <n v="3"/>
    <n v="2"/>
    <n v="0"/>
    <n v="9"/>
    <n v="3"/>
    <n v="3"/>
    <n v="9"/>
    <n v="6"/>
    <n v="1"/>
    <n v="1"/>
    <x v="0"/>
  </r>
  <r>
    <n v="51"/>
    <x v="1"/>
    <s v="Travel_Rarely"/>
    <n v="770"/>
    <s v="Human Resources"/>
    <n v="5"/>
    <n v="3"/>
    <s v="Life Sciences"/>
    <n v="1352"/>
    <n v="3"/>
    <s v="Male"/>
    <n v="84"/>
    <n v="3"/>
    <n v="4"/>
    <s v="Manager"/>
    <n v="2"/>
    <s v="Divorced"/>
    <n v="14026"/>
    <n v="17588"/>
    <n v="1"/>
    <s v="Yes"/>
    <n v="11"/>
    <n v="3"/>
    <n v="2"/>
    <n v="1"/>
    <n v="33"/>
    <n v="2"/>
    <n v="3"/>
    <n v="33"/>
    <n v="9"/>
    <n v="0"/>
    <n v="10"/>
    <x v="1"/>
  </r>
  <r>
    <n v="38"/>
    <x v="1"/>
    <s v="Travel_Rarely"/>
    <n v="1009"/>
    <s v="Sales"/>
    <n v="2"/>
    <n v="2"/>
    <s v="Life Sciences"/>
    <n v="1355"/>
    <n v="2"/>
    <s v="Female"/>
    <n v="31"/>
    <n v="3"/>
    <n v="2"/>
    <s v="Sales Executive"/>
    <n v="1"/>
    <s v="Divorced"/>
    <n v="6893"/>
    <n v="19461"/>
    <n v="3"/>
    <s v="No"/>
    <n v="15"/>
    <n v="3"/>
    <n v="4"/>
    <n v="1"/>
    <n v="11"/>
    <n v="3"/>
    <n v="3"/>
    <n v="7"/>
    <n v="7"/>
    <n v="1"/>
    <n v="7"/>
    <x v="0"/>
  </r>
  <r>
    <n v="34"/>
    <x v="1"/>
    <s v="Travel_Rarely"/>
    <n v="507"/>
    <s v="Sales"/>
    <n v="15"/>
    <n v="2"/>
    <s v="Medical"/>
    <n v="1356"/>
    <n v="3"/>
    <s v="Female"/>
    <n v="66"/>
    <n v="3"/>
    <n v="2"/>
    <s v="Sales Executive"/>
    <n v="1"/>
    <s v="Single"/>
    <n v="6125"/>
    <n v="23553"/>
    <n v="1"/>
    <s v="No"/>
    <n v="12"/>
    <n v="3"/>
    <n v="4"/>
    <n v="0"/>
    <n v="10"/>
    <n v="6"/>
    <n v="4"/>
    <n v="10"/>
    <n v="8"/>
    <n v="9"/>
    <n v="6"/>
    <x v="2"/>
  </r>
  <r>
    <n v="25"/>
    <x v="1"/>
    <s v="Travel_Rarely"/>
    <n v="882"/>
    <s v="Research &amp; Development"/>
    <n v="19"/>
    <n v="1"/>
    <s v="Medical"/>
    <n v="1358"/>
    <n v="4"/>
    <s v="Male"/>
    <n v="67"/>
    <n v="3"/>
    <n v="1"/>
    <s v="Laboratory Technician"/>
    <n v="4"/>
    <s v="Married"/>
    <n v="3669"/>
    <n v="9075"/>
    <n v="3"/>
    <s v="No"/>
    <n v="11"/>
    <n v="3"/>
    <n v="3"/>
    <n v="3"/>
    <n v="7"/>
    <n v="6"/>
    <n v="2"/>
    <n v="3"/>
    <n v="2"/>
    <n v="1"/>
    <n v="2"/>
    <x v="2"/>
  </r>
  <r>
    <n v="58"/>
    <x v="0"/>
    <s v="Travel_Rarely"/>
    <n v="601"/>
    <s v="Research &amp; Development"/>
    <n v="7"/>
    <n v="4"/>
    <s v="Medical"/>
    <n v="1360"/>
    <n v="3"/>
    <s v="Female"/>
    <n v="53"/>
    <n v="2"/>
    <n v="3"/>
    <s v="Manufacturing Director"/>
    <n v="1"/>
    <s v="Married"/>
    <n v="10008"/>
    <n v="12023"/>
    <n v="7"/>
    <s v="Yes"/>
    <n v="14"/>
    <n v="3"/>
    <n v="4"/>
    <n v="0"/>
    <n v="31"/>
    <n v="0"/>
    <n v="2"/>
    <n v="10"/>
    <n v="9"/>
    <n v="5"/>
    <n v="9"/>
    <x v="3"/>
  </r>
  <r>
    <n v="40"/>
    <x v="1"/>
    <s v="Travel_Rarely"/>
    <n v="329"/>
    <s v="Research &amp; Development"/>
    <n v="1"/>
    <n v="4"/>
    <s v="Life Sciences"/>
    <n v="1361"/>
    <n v="2"/>
    <s v="Male"/>
    <n v="88"/>
    <n v="3"/>
    <n v="1"/>
    <s v="Laboratory Technician"/>
    <n v="2"/>
    <s v="Married"/>
    <n v="2387"/>
    <n v="6762"/>
    <n v="3"/>
    <s v="No"/>
    <n v="22"/>
    <n v="4"/>
    <n v="3"/>
    <n v="1"/>
    <n v="7"/>
    <n v="3"/>
    <n v="3"/>
    <n v="4"/>
    <n v="2"/>
    <n v="0"/>
    <n v="3"/>
    <x v="0"/>
  </r>
  <r>
    <n v="36"/>
    <x v="1"/>
    <s v="Travel_Frequently"/>
    <n v="607"/>
    <s v="Sales"/>
    <n v="7"/>
    <n v="3"/>
    <s v="Marketing"/>
    <n v="1362"/>
    <n v="1"/>
    <s v="Female"/>
    <n v="83"/>
    <n v="4"/>
    <n v="2"/>
    <s v="Sales Executive"/>
    <n v="1"/>
    <s v="Married"/>
    <n v="4639"/>
    <n v="2261"/>
    <n v="2"/>
    <s v="No"/>
    <n v="16"/>
    <n v="3"/>
    <n v="4"/>
    <n v="1"/>
    <n v="17"/>
    <n v="2"/>
    <n v="2"/>
    <n v="15"/>
    <n v="7"/>
    <n v="6"/>
    <n v="13"/>
    <x v="0"/>
  </r>
  <r>
    <n v="48"/>
    <x v="1"/>
    <s v="Travel_Rarely"/>
    <n v="855"/>
    <s v="Research &amp; Development"/>
    <n v="4"/>
    <n v="3"/>
    <s v="Life Sciences"/>
    <n v="1363"/>
    <n v="4"/>
    <s v="Male"/>
    <n v="54"/>
    <n v="3"/>
    <n v="3"/>
    <s v="Manufacturing Director"/>
    <n v="4"/>
    <s v="Single"/>
    <n v="7898"/>
    <n v="18706"/>
    <n v="1"/>
    <s v="No"/>
    <n v="11"/>
    <n v="3"/>
    <n v="3"/>
    <n v="0"/>
    <n v="11"/>
    <n v="2"/>
    <n v="3"/>
    <n v="10"/>
    <n v="9"/>
    <n v="0"/>
    <n v="8"/>
    <x v="1"/>
  </r>
  <r>
    <n v="27"/>
    <x v="1"/>
    <s v="Travel_Rarely"/>
    <n v="1291"/>
    <s v="Sales"/>
    <n v="11"/>
    <n v="3"/>
    <s v="Medical"/>
    <n v="1364"/>
    <n v="3"/>
    <s v="Female"/>
    <n v="98"/>
    <n v="4"/>
    <n v="1"/>
    <s v="Sales Representative"/>
    <n v="4"/>
    <s v="Married"/>
    <n v="2534"/>
    <n v="6527"/>
    <n v="8"/>
    <s v="No"/>
    <n v="14"/>
    <n v="3"/>
    <n v="2"/>
    <n v="1"/>
    <n v="5"/>
    <n v="4"/>
    <n v="3"/>
    <n v="1"/>
    <n v="0"/>
    <n v="0"/>
    <n v="0"/>
    <x v="2"/>
  </r>
  <r>
    <n v="51"/>
    <x v="1"/>
    <s v="Travel_Rarely"/>
    <n v="1405"/>
    <s v="Research &amp; Development"/>
    <n v="11"/>
    <n v="2"/>
    <s v="Technical Degree"/>
    <n v="1367"/>
    <n v="4"/>
    <s v="Female"/>
    <n v="82"/>
    <n v="2"/>
    <n v="4"/>
    <s v="Manufacturing Director"/>
    <n v="2"/>
    <s v="Single"/>
    <n v="13142"/>
    <n v="24439"/>
    <n v="3"/>
    <s v="No"/>
    <n v="16"/>
    <n v="3"/>
    <n v="2"/>
    <n v="0"/>
    <n v="29"/>
    <n v="1"/>
    <n v="2"/>
    <n v="5"/>
    <n v="2"/>
    <n v="0"/>
    <n v="3"/>
    <x v="1"/>
  </r>
  <r>
    <n v="18"/>
    <x v="1"/>
    <s v="Non-Travel"/>
    <n v="1124"/>
    <s v="Research &amp; Development"/>
    <n v="1"/>
    <n v="3"/>
    <s v="Life Sciences"/>
    <n v="1368"/>
    <n v="4"/>
    <s v="Female"/>
    <n v="97"/>
    <n v="3"/>
    <n v="1"/>
    <s v="Laboratory Technician"/>
    <n v="4"/>
    <s v="Single"/>
    <n v="1611"/>
    <n v="19305"/>
    <n v="1"/>
    <s v="No"/>
    <n v="15"/>
    <n v="3"/>
    <n v="3"/>
    <n v="0"/>
    <n v="0"/>
    <n v="5"/>
    <n v="4"/>
    <n v="0"/>
    <n v="0"/>
    <n v="0"/>
    <n v="0"/>
    <x v="2"/>
  </r>
  <r>
    <n v="35"/>
    <x v="1"/>
    <s v="Travel_Rarely"/>
    <n v="817"/>
    <s v="Research &amp; Development"/>
    <n v="1"/>
    <n v="3"/>
    <s v="Medical"/>
    <n v="1369"/>
    <n v="4"/>
    <s v="Female"/>
    <n v="60"/>
    <n v="2"/>
    <n v="2"/>
    <s v="Laboratory Technician"/>
    <n v="4"/>
    <s v="Married"/>
    <n v="5363"/>
    <n v="10846"/>
    <n v="0"/>
    <s v="No"/>
    <n v="12"/>
    <n v="3"/>
    <n v="2"/>
    <n v="1"/>
    <n v="10"/>
    <n v="0"/>
    <n v="3"/>
    <n v="9"/>
    <n v="7"/>
    <n v="0"/>
    <n v="0"/>
    <x v="0"/>
  </r>
  <r>
    <n v="27"/>
    <x v="1"/>
    <s v="Travel_Frequently"/>
    <n v="793"/>
    <s v="Sales"/>
    <n v="2"/>
    <n v="1"/>
    <s v="Life Sciences"/>
    <n v="1371"/>
    <n v="4"/>
    <s v="Male"/>
    <n v="43"/>
    <n v="1"/>
    <n v="2"/>
    <s v="Sales Executive"/>
    <n v="4"/>
    <s v="Single"/>
    <n v="5071"/>
    <n v="20392"/>
    <n v="3"/>
    <s v="No"/>
    <n v="20"/>
    <n v="4"/>
    <n v="2"/>
    <n v="0"/>
    <n v="8"/>
    <n v="3"/>
    <n v="3"/>
    <n v="6"/>
    <n v="2"/>
    <n v="0"/>
    <n v="0"/>
    <x v="2"/>
  </r>
  <r>
    <n v="55"/>
    <x v="0"/>
    <s v="Travel_Rarely"/>
    <n v="267"/>
    <s v="Sales"/>
    <n v="13"/>
    <n v="4"/>
    <s v="Marketing"/>
    <n v="1372"/>
    <n v="1"/>
    <s v="Male"/>
    <n v="85"/>
    <n v="4"/>
    <n v="4"/>
    <s v="Sales Executive"/>
    <n v="3"/>
    <s v="Single"/>
    <n v="13695"/>
    <n v="9277"/>
    <n v="6"/>
    <s v="Yes"/>
    <n v="17"/>
    <n v="3"/>
    <n v="3"/>
    <n v="0"/>
    <n v="24"/>
    <n v="2"/>
    <n v="2"/>
    <n v="19"/>
    <n v="7"/>
    <n v="3"/>
    <n v="8"/>
    <x v="3"/>
  </r>
  <r>
    <n v="56"/>
    <x v="1"/>
    <s v="Travel_Rarely"/>
    <n v="1369"/>
    <s v="Research &amp; Development"/>
    <n v="23"/>
    <n v="3"/>
    <s v="Life Sciences"/>
    <n v="1373"/>
    <n v="4"/>
    <s v="Male"/>
    <n v="68"/>
    <n v="3"/>
    <n v="4"/>
    <s v="Manufacturing Director"/>
    <n v="2"/>
    <s v="Married"/>
    <n v="13402"/>
    <n v="18235"/>
    <n v="4"/>
    <s v="Yes"/>
    <n v="12"/>
    <n v="3"/>
    <n v="1"/>
    <n v="1"/>
    <n v="33"/>
    <n v="0"/>
    <n v="3"/>
    <n v="19"/>
    <n v="16"/>
    <n v="15"/>
    <n v="9"/>
    <x v="3"/>
  </r>
  <r>
    <n v="34"/>
    <x v="1"/>
    <s v="Non-Travel"/>
    <n v="999"/>
    <s v="Research &amp; Development"/>
    <n v="26"/>
    <n v="1"/>
    <s v="Technical Degree"/>
    <n v="1374"/>
    <n v="1"/>
    <s v="Female"/>
    <n v="92"/>
    <n v="2"/>
    <n v="1"/>
    <s v="Research Scientist"/>
    <n v="3"/>
    <s v="Divorced"/>
    <n v="2029"/>
    <n v="15891"/>
    <n v="1"/>
    <s v="No"/>
    <n v="20"/>
    <n v="4"/>
    <n v="3"/>
    <n v="3"/>
    <n v="5"/>
    <n v="2"/>
    <n v="3"/>
    <n v="5"/>
    <n v="4"/>
    <n v="0"/>
    <n v="0"/>
    <x v="2"/>
  </r>
  <r>
    <n v="40"/>
    <x v="1"/>
    <s v="Travel_Rarely"/>
    <n v="1202"/>
    <s v="Research &amp; Development"/>
    <n v="2"/>
    <n v="1"/>
    <s v="Medical"/>
    <n v="1375"/>
    <n v="2"/>
    <s v="Female"/>
    <n v="89"/>
    <n v="4"/>
    <n v="2"/>
    <s v="Healthcare Representative"/>
    <n v="3"/>
    <s v="Divorced"/>
    <n v="6377"/>
    <n v="13888"/>
    <n v="5"/>
    <s v="No"/>
    <n v="20"/>
    <n v="4"/>
    <n v="2"/>
    <n v="3"/>
    <n v="15"/>
    <n v="0"/>
    <n v="3"/>
    <n v="12"/>
    <n v="11"/>
    <n v="11"/>
    <n v="8"/>
    <x v="0"/>
  </r>
  <r>
    <n v="34"/>
    <x v="1"/>
    <s v="Travel_Rarely"/>
    <n v="285"/>
    <s v="Research &amp; Development"/>
    <n v="29"/>
    <n v="3"/>
    <s v="Medical"/>
    <n v="1377"/>
    <n v="2"/>
    <s v="Male"/>
    <n v="86"/>
    <n v="3"/>
    <n v="2"/>
    <s v="Laboratory Technician"/>
    <n v="3"/>
    <s v="Married"/>
    <n v="5429"/>
    <n v="17491"/>
    <n v="4"/>
    <s v="No"/>
    <n v="13"/>
    <n v="3"/>
    <n v="1"/>
    <n v="2"/>
    <n v="10"/>
    <n v="1"/>
    <n v="3"/>
    <n v="8"/>
    <n v="7"/>
    <n v="7"/>
    <n v="7"/>
    <x v="2"/>
  </r>
  <r>
    <n v="31"/>
    <x v="0"/>
    <s v="Travel_Frequently"/>
    <n v="703"/>
    <s v="Sales"/>
    <n v="2"/>
    <n v="3"/>
    <s v="Life Sciences"/>
    <n v="1379"/>
    <n v="3"/>
    <s v="Female"/>
    <n v="90"/>
    <n v="2"/>
    <n v="1"/>
    <s v="Sales Representative"/>
    <n v="4"/>
    <s v="Single"/>
    <n v="2785"/>
    <n v="11882"/>
    <n v="7"/>
    <s v="No"/>
    <n v="14"/>
    <n v="3"/>
    <n v="3"/>
    <n v="0"/>
    <n v="3"/>
    <n v="3"/>
    <n v="4"/>
    <n v="1"/>
    <n v="0"/>
    <n v="0"/>
    <n v="0"/>
    <x v="2"/>
  </r>
  <r>
    <n v="35"/>
    <x v="0"/>
    <s v="Travel_Frequently"/>
    <n v="662"/>
    <s v="Sales"/>
    <n v="18"/>
    <n v="4"/>
    <s v="Marketing"/>
    <n v="1380"/>
    <n v="4"/>
    <s v="Female"/>
    <n v="67"/>
    <n v="3"/>
    <n v="2"/>
    <s v="Sales Executive"/>
    <n v="3"/>
    <s v="Married"/>
    <n v="4614"/>
    <n v="23288"/>
    <n v="0"/>
    <s v="Yes"/>
    <n v="18"/>
    <n v="3"/>
    <n v="3"/>
    <n v="1"/>
    <n v="5"/>
    <n v="0"/>
    <n v="2"/>
    <n v="4"/>
    <n v="2"/>
    <n v="3"/>
    <n v="2"/>
    <x v="0"/>
  </r>
  <r>
    <n v="38"/>
    <x v="1"/>
    <s v="Travel_Frequently"/>
    <n v="693"/>
    <s v="Research &amp; Development"/>
    <n v="7"/>
    <n v="3"/>
    <s v="Life Sciences"/>
    <n v="1382"/>
    <n v="4"/>
    <s v="Male"/>
    <n v="57"/>
    <n v="4"/>
    <n v="1"/>
    <s v="Research Scientist"/>
    <n v="3"/>
    <s v="Divorced"/>
    <n v="2610"/>
    <n v="15748"/>
    <n v="1"/>
    <s v="No"/>
    <n v="11"/>
    <n v="3"/>
    <n v="4"/>
    <n v="3"/>
    <n v="4"/>
    <n v="2"/>
    <n v="3"/>
    <n v="4"/>
    <n v="2"/>
    <n v="0"/>
    <n v="3"/>
    <x v="0"/>
  </r>
  <r>
    <n v="34"/>
    <x v="1"/>
    <s v="Travel_Rarely"/>
    <n v="404"/>
    <s v="Research &amp; Development"/>
    <n v="2"/>
    <n v="4"/>
    <s v="Technical Degree"/>
    <n v="1383"/>
    <n v="3"/>
    <s v="Female"/>
    <n v="98"/>
    <n v="3"/>
    <n v="2"/>
    <s v="Healthcare Representative"/>
    <n v="4"/>
    <s v="Single"/>
    <n v="6687"/>
    <n v="6163"/>
    <n v="1"/>
    <s v="No"/>
    <n v="11"/>
    <n v="3"/>
    <n v="4"/>
    <n v="0"/>
    <n v="14"/>
    <n v="2"/>
    <n v="4"/>
    <n v="14"/>
    <n v="11"/>
    <n v="4"/>
    <n v="11"/>
    <x v="2"/>
  </r>
  <r>
    <n v="28"/>
    <x v="1"/>
    <s v="Travel_Rarely"/>
    <n v="736"/>
    <s v="Sales"/>
    <n v="26"/>
    <n v="3"/>
    <s v="Life Sciences"/>
    <n v="1387"/>
    <n v="3"/>
    <s v="Male"/>
    <n v="48"/>
    <n v="2"/>
    <n v="2"/>
    <s v="Sales Executive"/>
    <n v="1"/>
    <s v="Married"/>
    <n v="4724"/>
    <n v="24232"/>
    <n v="1"/>
    <s v="No"/>
    <n v="11"/>
    <n v="3"/>
    <n v="3"/>
    <n v="1"/>
    <n v="5"/>
    <n v="0"/>
    <n v="3"/>
    <n v="5"/>
    <n v="3"/>
    <n v="0"/>
    <n v="4"/>
    <x v="2"/>
  </r>
  <r>
    <n v="31"/>
    <x v="0"/>
    <s v="Travel_Rarely"/>
    <n v="330"/>
    <s v="Research &amp; Development"/>
    <n v="22"/>
    <n v="4"/>
    <s v="Medical"/>
    <n v="1389"/>
    <n v="4"/>
    <s v="Male"/>
    <n v="98"/>
    <n v="3"/>
    <n v="2"/>
    <s v="Manufacturing Director"/>
    <n v="3"/>
    <s v="Married"/>
    <n v="6179"/>
    <n v="21057"/>
    <n v="1"/>
    <s v="Yes"/>
    <n v="15"/>
    <n v="3"/>
    <n v="4"/>
    <n v="2"/>
    <n v="10"/>
    <n v="3"/>
    <n v="2"/>
    <n v="10"/>
    <n v="2"/>
    <n v="6"/>
    <n v="7"/>
    <x v="2"/>
  </r>
  <r>
    <n v="39"/>
    <x v="1"/>
    <s v="Travel_Rarely"/>
    <n v="1498"/>
    <s v="Sales"/>
    <n v="21"/>
    <n v="4"/>
    <s v="Life Sciences"/>
    <n v="1390"/>
    <n v="1"/>
    <s v="Male"/>
    <n v="44"/>
    <n v="2"/>
    <n v="2"/>
    <s v="Sales Executive"/>
    <n v="4"/>
    <s v="Married"/>
    <n v="6120"/>
    <n v="3567"/>
    <n v="3"/>
    <s v="Yes"/>
    <n v="12"/>
    <n v="3"/>
    <n v="4"/>
    <n v="2"/>
    <n v="8"/>
    <n v="2"/>
    <n v="4"/>
    <n v="5"/>
    <n v="4"/>
    <n v="1"/>
    <n v="4"/>
    <x v="0"/>
  </r>
  <r>
    <n v="51"/>
    <x v="1"/>
    <s v="Travel_Frequently"/>
    <n v="541"/>
    <s v="Sales"/>
    <n v="2"/>
    <n v="3"/>
    <s v="Marketing"/>
    <n v="1391"/>
    <n v="2"/>
    <s v="Male"/>
    <n v="52"/>
    <n v="3"/>
    <n v="3"/>
    <s v="Sales Executive"/>
    <n v="2"/>
    <s v="Married"/>
    <n v="10596"/>
    <n v="15395"/>
    <n v="2"/>
    <s v="No"/>
    <n v="11"/>
    <n v="3"/>
    <n v="2"/>
    <n v="0"/>
    <n v="14"/>
    <n v="5"/>
    <n v="3"/>
    <n v="4"/>
    <n v="2"/>
    <n v="3"/>
    <n v="2"/>
    <x v="1"/>
  </r>
  <r>
    <n v="41"/>
    <x v="1"/>
    <s v="Travel_Frequently"/>
    <n v="1200"/>
    <s v="Research &amp; Development"/>
    <n v="22"/>
    <n v="3"/>
    <s v="Life Sciences"/>
    <n v="1392"/>
    <n v="4"/>
    <s v="Female"/>
    <n v="75"/>
    <n v="3"/>
    <n v="2"/>
    <s v="Research Scientist"/>
    <n v="4"/>
    <s v="Divorced"/>
    <n v="5467"/>
    <n v="13953"/>
    <n v="3"/>
    <s v="Yes"/>
    <n v="14"/>
    <n v="3"/>
    <n v="1"/>
    <n v="2"/>
    <n v="12"/>
    <n v="4"/>
    <n v="2"/>
    <n v="6"/>
    <n v="2"/>
    <n v="3"/>
    <n v="3"/>
    <x v="0"/>
  </r>
  <r>
    <n v="37"/>
    <x v="1"/>
    <s v="Travel_Rarely"/>
    <n v="1439"/>
    <s v="Research &amp; Development"/>
    <n v="4"/>
    <n v="1"/>
    <s v="Life Sciences"/>
    <n v="1394"/>
    <n v="3"/>
    <s v="Male"/>
    <n v="54"/>
    <n v="3"/>
    <n v="1"/>
    <s v="Research Scientist"/>
    <n v="3"/>
    <s v="Married"/>
    <n v="2996"/>
    <n v="5182"/>
    <n v="7"/>
    <s v="Yes"/>
    <n v="15"/>
    <n v="3"/>
    <n v="4"/>
    <n v="0"/>
    <n v="8"/>
    <n v="2"/>
    <n v="3"/>
    <n v="6"/>
    <n v="4"/>
    <n v="1"/>
    <n v="3"/>
    <x v="0"/>
  </r>
  <r>
    <n v="33"/>
    <x v="1"/>
    <s v="Travel_Frequently"/>
    <n v="1111"/>
    <s v="Sales"/>
    <n v="5"/>
    <n v="1"/>
    <s v="Life Sciences"/>
    <n v="1395"/>
    <n v="2"/>
    <s v="Male"/>
    <n v="61"/>
    <n v="3"/>
    <n v="2"/>
    <s v="Sales Executive"/>
    <n v="4"/>
    <s v="Married"/>
    <n v="9998"/>
    <n v="19293"/>
    <n v="6"/>
    <s v="No"/>
    <n v="13"/>
    <n v="3"/>
    <n v="1"/>
    <n v="0"/>
    <n v="8"/>
    <n v="2"/>
    <n v="4"/>
    <n v="5"/>
    <n v="4"/>
    <n v="1"/>
    <n v="2"/>
    <x v="2"/>
  </r>
  <r>
    <n v="32"/>
    <x v="1"/>
    <s v="Travel_Rarely"/>
    <n v="499"/>
    <s v="Sales"/>
    <n v="2"/>
    <n v="1"/>
    <s v="Marketing"/>
    <n v="1396"/>
    <n v="3"/>
    <s v="Male"/>
    <n v="36"/>
    <n v="3"/>
    <n v="2"/>
    <s v="Sales Executive"/>
    <n v="2"/>
    <s v="Married"/>
    <n v="4078"/>
    <n v="20497"/>
    <n v="0"/>
    <s v="Yes"/>
    <n v="13"/>
    <n v="3"/>
    <n v="1"/>
    <n v="3"/>
    <n v="4"/>
    <n v="3"/>
    <n v="2"/>
    <n v="3"/>
    <n v="2"/>
    <n v="1"/>
    <n v="2"/>
    <x v="2"/>
  </r>
  <r>
    <n v="39"/>
    <x v="1"/>
    <s v="Non-Travel"/>
    <n v="1485"/>
    <s v="Research &amp; Development"/>
    <n v="25"/>
    <n v="2"/>
    <s v="Life Sciences"/>
    <n v="1397"/>
    <n v="3"/>
    <s v="Male"/>
    <n v="71"/>
    <n v="3"/>
    <n v="3"/>
    <s v="Healthcare Representative"/>
    <n v="3"/>
    <s v="Married"/>
    <n v="10920"/>
    <n v="3449"/>
    <n v="3"/>
    <s v="No"/>
    <n v="21"/>
    <n v="4"/>
    <n v="2"/>
    <n v="1"/>
    <n v="13"/>
    <n v="2"/>
    <n v="3"/>
    <n v="6"/>
    <n v="4"/>
    <n v="0"/>
    <n v="5"/>
    <x v="0"/>
  </r>
  <r>
    <n v="25"/>
    <x v="1"/>
    <s v="Travel_Rarely"/>
    <n v="1372"/>
    <s v="Sales"/>
    <n v="18"/>
    <n v="1"/>
    <s v="Life Sciences"/>
    <n v="1399"/>
    <n v="1"/>
    <s v="Male"/>
    <n v="93"/>
    <n v="4"/>
    <n v="2"/>
    <s v="Sales Executive"/>
    <n v="3"/>
    <s v="Married"/>
    <n v="6232"/>
    <n v="12477"/>
    <n v="2"/>
    <s v="No"/>
    <n v="11"/>
    <n v="3"/>
    <n v="2"/>
    <n v="0"/>
    <n v="6"/>
    <n v="3"/>
    <n v="2"/>
    <n v="3"/>
    <n v="2"/>
    <n v="1"/>
    <n v="2"/>
    <x v="2"/>
  </r>
  <r>
    <n v="52"/>
    <x v="1"/>
    <s v="Travel_Frequently"/>
    <n v="322"/>
    <s v="Research &amp; Development"/>
    <n v="28"/>
    <n v="2"/>
    <s v="Medical"/>
    <n v="1401"/>
    <n v="4"/>
    <s v="Female"/>
    <n v="59"/>
    <n v="4"/>
    <n v="4"/>
    <s v="Manufacturing Director"/>
    <n v="3"/>
    <s v="Married"/>
    <n v="13247"/>
    <n v="9731"/>
    <n v="2"/>
    <s v="Yes"/>
    <n v="11"/>
    <n v="3"/>
    <n v="2"/>
    <n v="1"/>
    <n v="24"/>
    <n v="3"/>
    <n v="2"/>
    <n v="5"/>
    <n v="3"/>
    <n v="0"/>
    <n v="2"/>
    <x v="1"/>
  </r>
  <r>
    <n v="43"/>
    <x v="1"/>
    <s v="Travel_Rarely"/>
    <n v="930"/>
    <s v="Research &amp; Development"/>
    <n v="6"/>
    <n v="3"/>
    <s v="Medical"/>
    <n v="1402"/>
    <n v="1"/>
    <s v="Female"/>
    <n v="73"/>
    <n v="2"/>
    <n v="2"/>
    <s v="Research Scientist"/>
    <n v="3"/>
    <s v="Single"/>
    <n v="4081"/>
    <n v="20003"/>
    <n v="1"/>
    <s v="Yes"/>
    <n v="14"/>
    <n v="3"/>
    <n v="1"/>
    <n v="0"/>
    <n v="20"/>
    <n v="3"/>
    <n v="1"/>
    <n v="20"/>
    <n v="7"/>
    <n v="1"/>
    <n v="8"/>
    <x v="0"/>
  </r>
  <r>
    <n v="27"/>
    <x v="1"/>
    <s v="Travel_Rarely"/>
    <n v="205"/>
    <s v="Sales"/>
    <n v="10"/>
    <n v="3"/>
    <s v="Marketing"/>
    <n v="1403"/>
    <n v="4"/>
    <s v="Female"/>
    <n v="98"/>
    <n v="2"/>
    <n v="2"/>
    <s v="Sales Executive"/>
    <n v="4"/>
    <s v="Married"/>
    <n v="5769"/>
    <n v="7100"/>
    <n v="1"/>
    <s v="Yes"/>
    <n v="11"/>
    <n v="3"/>
    <n v="4"/>
    <n v="0"/>
    <n v="6"/>
    <n v="3"/>
    <n v="3"/>
    <n v="6"/>
    <n v="2"/>
    <n v="4"/>
    <n v="4"/>
    <x v="2"/>
  </r>
  <r>
    <n v="27"/>
    <x v="0"/>
    <s v="Travel_Rarely"/>
    <n v="135"/>
    <s v="Research &amp; Development"/>
    <n v="17"/>
    <n v="4"/>
    <s v="Life Sciences"/>
    <n v="1405"/>
    <n v="4"/>
    <s v="Female"/>
    <n v="51"/>
    <n v="3"/>
    <n v="1"/>
    <s v="Research Scientist"/>
    <n v="3"/>
    <s v="Single"/>
    <n v="2394"/>
    <n v="25681"/>
    <n v="1"/>
    <s v="Yes"/>
    <n v="13"/>
    <n v="3"/>
    <n v="4"/>
    <n v="0"/>
    <n v="8"/>
    <n v="2"/>
    <n v="3"/>
    <n v="8"/>
    <n v="2"/>
    <n v="7"/>
    <n v="7"/>
    <x v="2"/>
  </r>
  <r>
    <n v="26"/>
    <x v="1"/>
    <s v="Travel_Rarely"/>
    <n v="683"/>
    <s v="Research &amp; Development"/>
    <n v="2"/>
    <n v="1"/>
    <s v="Medical"/>
    <n v="1407"/>
    <n v="1"/>
    <s v="Male"/>
    <n v="36"/>
    <n v="2"/>
    <n v="1"/>
    <s v="Research Scientist"/>
    <n v="4"/>
    <s v="Single"/>
    <n v="3904"/>
    <n v="4050"/>
    <n v="0"/>
    <s v="No"/>
    <n v="12"/>
    <n v="3"/>
    <n v="4"/>
    <n v="0"/>
    <n v="5"/>
    <n v="2"/>
    <n v="3"/>
    <n v="4"/>
    <n v="3"/>
    <n v="1"/>
    <n v="1"/>
    <x v="2"/>
  </r>
  <r>
    <n v="42"/>
    <x v="1"/>
    <s v="Travel_Rarely"/>
    <n v="1147"/>
    <s v="Human Resources"/>
    <n v="10"/>
    <n v="3"/>
    <s v="Human Resources"/>
    <n v="1408"/>
    <n v="3"/>
    <s v="Female"/>
    <n v="31"/>
    <n v="3"/>
    <n v="4"/>
    <s v="Manager"/>
    <n v="1"/>
    <s v="Married"/>
    <n v="16799"/>
    <n v="16616"/>
    <n v="0"/>
    <s v="No"/>
    <n v="14"/>
    <n v="3"/>
    <n v="3"/>
    <n v="1"/>
    <n v="21"/>
    <n v="5"/>
    <n v="3"/>
    <n v="20"/>
    <n v="7"/>
    <n v="0"/>
    <n v="9"/>
    <x v="0"/>
  </r>
  <r>
    <n v="52"/>
    <x v="1"/>
    <s v="Travel_Rarely"/>
    <n v="258"/>
    <s v="Research &amp; Development"/>
    <n v="8"/>
    <n v="4"/>
    <s v="Other"/>
    <n v="1409"/>
    <n v="3"/>
    <s v="Female"/>
    <n v="54"/>
    <n v="3"/>
    <n v="1"/>
    <s v="Laboratory Technician"/>
    <n v="1"/>
    <s v="Married"/>
    <n v="2950"/>
    <n v="17363"/>
    <n v="9"/>
    <s v="No"/>
    <n v="13"/>
    <n v="3"/>
    <n v="3"/>
    <n v="0"/>
    <n v="12"/>
    <n v="2"/>
    <n v="1"/>
    <n v="5"/>
    <n v="4"/>
    <n v="0"/>
    <n v="4"/>
    <x v="1"/>
  </r>
  <r>
    <n v="37"/>
    <x v="1"/>
    <s v="Travel_Rarely"/>
    <n v="1462"/>
    <s v="Research &amp; Development"/>
    <n v="11"/>
    <n v="3"/>
    <s v="Medical"/>
    <n v="1411"/>
    <n v="1"/>
    <s v="Female"/>
    <n v="94"/>
    <n v="3"/>
    <n v="1"/>
    <s v="Laboratory Technician"/>
    <n v="3"/>
    <s v="Single"/>
    <n v="3629"/>
    <n v="19106"/>
    <n v="4"/>
    <s v="No"/>
    <n v="18"/>
    <n v="3"/>
    <n v="1"/>
    <n v="0"/>
    <n v="8"/>
    <n v="6"/>
    <n v="3"/>
    <n v="3"/>
    <n v="2"/>
    <n v="0"/>
    <n v="2"/>
    <x v="0"/>
  </r>
  <r>
    <n v="35"/>
    <x v="1"/>
    <s v="Travel_Frequently"/>
    <n v="200"/>
    <s v="Research &amp; Development"/>
    <n v="18"/>
    <n v="2"/>
    <s v="Life Sciences"/>
    <n v="1412"/>
    <n v="3"/>
    <s v="Male"/>
    <n v="60"/>
    <n v="3"/>
    <n v="3"/>
    <s v="Manufacturing Director"/>
    <n v="4"/>
    <s v="Single"/>
    <n v="9362"/>
    <n v="19944"/>
    <n v="2"/>
    <s v="No"/>
    <n v="11"/>
    <n v="3"/>
    <n v="3"/>
    <n v="0"/>
    <n v="10"/>
    <n v="2"/>
    <n v="3"/>
    <n v="2"/>
    <n v="2"/>
    <n v="2"/>
    <n v="2"/>
    <x v="0"/>
  </r>
  <r>
    <n v="25"/>
    <x v="1"/>
    <s v="Travel_Rarely"/>
    <n v="949"/>
    <s v="Research &amp; Development"/>
    <n v="1"/>
    <n v="3"/>
    <s v="Technical Degree"/>
    <n v="1415"/>
    <n v="1"/>
    <s v="Male"/>
    <n v="81"/>
    <n v="3"/>
    <n v="1"/>
    <s v="Laboratory Technician"/>
    <n v="4"/>
    <s v="Married"/>
    <n v="3229"/>
    <n v="4910"/>
    <n v="4"/>
    <s v="No"/>
    <n v="11"/>
    <n v="3"/>
    <n v="2"/>
    <n v="1"/>
    <n v="7"/>
    <n v="2"/>
    <n v="2"/>
    <n v="3"/>
    <n v="2"/>
    <n v="0"/>
    <n v="2"/>
    <x v="2"/>
  </r>
  <r>
    <n v="26"/>
    <x v="1"/>
    <s v="Travel_Rarely"/>
    <n v="652"/>
    <s v="Research &amp; Development"/>
    <n v="7"/>
    <n v="3"/>
    <s v="Other"/>
    <n v="1417"/>
    <n v="3"/>
    <s v="Male"/>
    <n v="100"/>
    <n v="4"/>
    <n v="1"/>
    <s v="Laboratory Technician"/>
    <n v="1"/>
    <s v="Single"/>
    <n v="3578"/>
    <n v="23577"/>
    <n v="0"/>
    <s v="No"/>
    <n v="12"/>
    <n v="3"/>
    <n v="4"/>
    <n v="0"/>
    <n v="8"/>
    <n v="2"/>
    <n v="3"/>
    <n v="7"/>
    <n v="7"/>
    <n v="0"/>
    <n v="7"/>
    <x v="2"/>
  </r>
  <r>
    <n v="29"/>
    <x v="1"/>
    <s v="Travel_Rarely"/>
    <n v="332"/>
    <s v="Human Resources"/>
    <n v="17"/>
    <n v="3"/>
    <s v="Other"/>
    <n v="1419"/>
    <n v="2"/>
    <s v="Male"/>
    <n v="51"/>
    <n v="2"/>
    <n v="3"/>
    <s v="Human Resources"/>
    <n v="1"/>
    <s v="Single"/>
    <n v="7988"/>
    <n v="9769"/>
    <n v="1"/>
    <s v="No"/>
    <n v="13"/>
    <n v="3"/>
    <n v="1"/>
    <n v="0"/>
    <n v="10"/>
    <n v="3"/>
    <n v="2"/>
    <n v="10"/>
    <n v="9"/>
    <n v="0"/>
    <n v="9"/>
    <x v="2"/>
  </r>
  <r>
    <n v="49"/>
    <x v="0"/>
    <s v="Travel_Frequently"/>
    <n v="1475"/>
    <s v="Research &amp; Development"/>
    <n v="28"/>
    <n v="2"/>
    <s v="Life Sciences"/>
    <n v="1420"/>
    <n v="1"/>
    <s v="Male"/>
    <n v="97"/>
    <n v="2"/>
    <n v="2"/>
    <s v="Laboratory Technician"/>
    <n v="1"/>
    <s v="Single"/>
    <n v="4284"/>
    <n v="22710"/>
    <n v="3"/>
    <s v="No"/>
    <n v="20"/>
    <n v="4"/>
    <n v="1"/>
    <n v="0"/>
    <n v="20"/>
    <n v="2"/>
    <n v="3"/>
    <n v="4"/>
    <n v="3"/>
    <n v="1"/>
    <n v="3"/>
    <x v="1"/>
  </r>
  <r>
    <n v="29"/>
    <x v="0"/>
    <s v="Travel_Frequently"/>
    <n v="337"/>
    <s v="Research &amp; Development"/>
    <n v="14"/>
    <n v="1"/>
    <s v="Other"/>
    <n v="1421"/>
    <n v="3"/>
    <s v="Female"/>
    <n v="84"/>
    <n v="3"/>
    <n v="3"/>
    <s v="Healthcare Representative"/>
    <n v="4"/>
    <s v="Single"/>
    <n v="7553"/>
    <n v="22930"/>
    <n v="0"/>
    <s v="Yes"/>
    <n v="12"/>
    <n v="3"/>
    <n v="1"/>
    <n v="0"/>
    <n v="9"/>
    <n v="1"/>
    <n v="3"/>
    <n v="8"/>
    <n v="7"/>
    <n v="7"/>
    <n v="7"/>
    <x v="2"/>
  </r>
  <r>
    <n v="54"/>
    <x v="1"/>
    <s v="Travel_Rarely"/>
    <n v="971"/>
    <s v="Research &amp; Development"/>
    <n v="1"/>
    <n v="3"/>
    <s v="Medical"/>
    <n v="1422"/>
    <n v="4"/>
    <s v="Female"/>
    <n v="54"/>
    <n v="3"/>
    <n v="4"/>
    <s v="Research Director"/>
    <n v="4"/>
    <s v="Single"/>
    <n v="17328"/>
    <n v="5652"/>
    <n v="6"/>
    <s v="No"/>
    <n v="19"/>
    <n v="3"/>
    <n v="4"/>
    <n v="0"/>
    <n v="29"/>
    <n v="3"/>
    <n v="2"/>
    <n v="20"/>
    <n v="7"/>
    <n v="12"/>
    <n v="7"/>
    <x v="1"/>
  </r>
  <r>
    <n v="58"/>
    <x v="1"/>
    <s v="Travel_Rarely"/>
    <n v="1055"/>
    <s v="Research &amp; Development"/>
    <n v="1"/>
    <n v="3"/>
    <s v="Medical"/>
    <n v="1423"/>
    <n v="4"/>
    <s v="Female"/>
    <n v="76"/>
    <n v="3"/>
    <n v="5"/>
    <s v="Research Director"/>
    <n v="1"/>
    <s v="Married"/>
    <n v="19701"/>
    <n v="22456"/>
    <n v="3"/>
    <s v="Yes"/>
    <n v="21"/>
    <n v="4"/>
    <n v="3"/>
    <n v="1"/>
    <n v="32"/>
    <n v="3"/>
    <n v="3"/>
    <n v="9"/>
    <n v="8"/>
    <n v="1"/>
    <n v="5"/>
    <x v="3"/>
  </r>
  <r>
    <n v="55"/>
    <x v="1"/>
    <s v="Travel_Rarely"/>
    <n v="1136"/>
    <s v="Research &amp; Development"/>
    <n v="1"/>
    <n v="4"/>
    <s v="Medical"/>
    <n v="1424"/>
    <n v="2"/>
    <s v="Male"/>
    <n v="81"/>
    <n v="4"/>
    <n v="4"/>
    <s v="Research Director"/>
    <n v="4"/>
    <s v="Divorced"/>
    <n v="14732"/>
    <n v="12414"/>
    <n v="2"/>
    <s v="No"/>
    <n v="13"/>
    <n v="3"/>
    <n v="4"/>
    <n v="2"/>
    <n v="31"/>
    <n v="4"/>
    <n v="4"/>
    <n v="7"/>
    <n v="7"/>
    <n v="0"/>
    <n v="0"/>
    <x v="3"/>
  </r>
  <r>
    <n v="36"/>
    <x v="1"/>
    <s v="Travel_Rarely"/>
    <n v="1174"/>
    <s v="Sales"/>
    <n v="3"/>
    <n v="4"/>
    <s v="Marketing"/>
    <n v="1425"/>
    <n v="1"/>
    <s v="Female"/>
    <n v="99"/>
    <n v="3"/>
    <n v="2"/>
    <s v="Sales Executive"/>
    <n v="2"/>
    <s v="Single"/>
    <n v="9278"/>
    <n v="20763"/>
    <n v="3"/>
    <s v="Yes"/>
    <n v="16"/>
    <n v="3"/>
    <n v="4"/>
    <n v="0"/>
    <n v="15"/>
    <n v="3"/>
    <n v="3"/>
    <n v="5"/>
    <n v="4"/>
    <n v="0"/>
    <n v="1"/>
    <x v="0"/>
  </r>
  <r>
    <n v="31"/>
    <x v="0"/>
    <s v="Travel_Frequently"/>
    <n v="667"/>
    <s v="Sales"/>
    <n v="1"/>
    <n v="4"/>
    <s v="Life Sciences"/>
    <n v="1427"/>
    <n v="2"/>
    <s v="Female"/>
    <n v="50"/>
    <n v="1"/>
    <n v="1"/>
    <s v="Sales Representative"/>
    <n v="3"/>
    <s v="Single"/>
    <n v="1359"/>
    <n v="16154"/>
    <n v="1"/>
    <s v="No"/>
    <n v="12"/>
    <n v="3"/>
    <n v="2"/>
    <n v="0"/>
    <n v="1"/>
    <n v="3"/>
    <n v="3"/>
    <n v="1"/>
    <n v="0"/>
    <n v="0"/>
    <n v="0"/>
    <x v="2"/>
  </r>
  <r>
    <n v="30"/>
    <x v="1"/>
    <s v="Travel_Rarely"/>
    <n v="855"/>
    <s v="Sales"/>
    <n v="7"/>
    <n v="4"/>
    <s v="Marketing"/>
    <n v="1428"/>
    <n v="4"/>
    <s v="Female"/>
    <n v="73"/>
    <n v="3"/>
    <n v="2"/>
    <s v="Sales Executive"/>
    <n v="1"/>
    <s v="Divorced"/>
    <n v="4779"/>
    <n v="12761"/>
    <n v="7"/>
    <s v="No"/>
    <n v="14"/>
    <n v="3"/>
    <n v="2"/>
    <n v="2"/>
    <n v="8"/>
    <n v="3"/>
    <n v="3"/>
    <n v="3"/>
    <n v="2"/>
    <n v="0"/>
    <n v="2"/>
    <x v="2"/>
  </r>
  <r>
    <n v="31"/>
    <x v="1"/>
    <s v="Travel_Rarely"/>
    <n v="182"/>
    <s v="Research &amp; Development"/>
    <n v="8"/>
    <n v="5"/>
    <s v="Life Sciences"/>
    <n v="1430"/>
    <n v="1"/>
    <s v="Female"/>
    <n v="93"/>
    <n v="3"/>
    <n v="4"/>
    <s v="Research Director"/>
    <n v="2"/>
    <s v="Single"/>
    <n v="16422"/>
    <n v="8847"/>
    <n v="3"/>
    <s v="No"/>
    <n v="11"/>
    <n v="3"/>
    <n v="3"/>
    <n v="0"/>
    <n v="9"/>
    <n v="3"/>
    <n v="4"/>
    <n v="3"/>
    <n v="2"/>
    <n v="1"/>
    <n v="0"/>
    <x v="2"/>
  </r>
  <r>
    <n v="34"/>
    <x v="1"/>
    <s v="Travel_Frequently"/>
    <n v="560"/>
    <s v="Research &amp; Development"/>
    <n v="1"/>
    <n v="4"/>
    <s v="Other"/>
    <n v="1431"/>
    <n v="4"/>
    <s v="Male"/>
    <n v="91"/>
    <n v="3"/>
    <n v="1"/>
    <s v="Research Scientist"/>
    <n v="1"/>
    <s v="Divorced"/>
    <n v="2996"/>
    <n v="20284"/>
    <n v="5"/>
    <s v="No"/>
    <n v="14"/>
    <n v="3"/>
    <n v="3"/>
    <n v="2"/>
    <n v="10"/>
    <n v="2"/>
    <n v="3"/>
    <n v="4"/>
    <n v="3"/>
    <n v="1"/>
    <n v="3"/>
    <x v="2"/>
  </r>
  <r>
    <n v="31"/>
    <x v="0"/>
    <s v="Travel_Rarely"/>
    <n v="202"/>
    <s v="Research &amp; Development"/>
    <n v="8"/>
    <n v="3"/>
    <s v="Life Sciences"/>
    <n v="1433"/>
    <n v="1"/>
    <s v="Female"/>
    <n v="34"/>
    <n v="2"/>
    <n v="1"/>
    <s v="Research Scientist"/>
    <n v="2"/>
    <s v="Single"/>
    <n v="1261"/>
    <n v="22262"/>
    <n v="1"/>
    <s v="No"/>
    <n v="12"/>
    <n v="3"/>
    <n v="3"/>
    <n v="0"/>
    <n v="1"/>
    <n v="3"/>
    <n v="4"/>
    <n v="1"/>
    <n v="0"/>
    <n v="0"/>
    <n v="0"/>
    <x v="2"/>
  </r>
  <r>
    <n v="27"/>
    <x v="1"/>
    <s v="Travel_Rarely"/>
    <n v="1377"/>
    <s v="Research &amp; Development"/>
    <n v="11"/>
    <n v="1"/>
    <s v="Life Sciences"/>
    <n v="1434"/>
    <n v="2"/>
    <s v="Male"/>
    <n v="91"/>
    <n v="3"/>
    <n v="1"/>
    <s v="Laboratory Technician"/>
    <n v="1"/>
    <s v="Married"/>
    <n v="2099"/>
    <n v="7679"/>
    <n v="0"/>
    <s v="No"/>
    <n v="14"/>
    <n v="3"/>
    <n v="2"/>
    <n v="0"/>
    <n v="6"/>
    <n v="3"/>
    <n v="4"/>
    <n v="5"/>
    <n v="0"/>
    <n v="1"/>
    <n v="4"/>
    <x v="2"/>
  </r>
  <r>
    <n v="36"/>
    <x v="1"/>
    <s v="Travel_Rarely"/>
    <n v="172"/>
    <s v="Research &amp; Development"/>
    <n v="4"/>
    <n v="4"/>
    <s v="Life Sciences"/>
    <n v="1435"/>
    <n v="1"/>
    <s v="Male"/>
    <n v="37"/>
    <n v="2"/>
    <n v="2"/>
    <s v="Laboratory Technician"/>
    <n v="4"/>
    <s v="Single"/>
    <n v="5810"/>
    <n v="22604"/>
    <n v="1"/>
    <s v="No"/>
    <n v="16"/>
    <n v="3"/>
    <n v="3"/>
    <n v="0"/>
    <n v="10"/>
    <n v="2"/>
    <n v="2"/>
    <n v="10"/>
    <n v="4"/>
    <n v="1"/>
    <n v="8"/>
    <x v="0"/>
  </r>
  <r>
    <n v="36"/>
    <x v="1"/>
    <s v="Travel_Rarely"/>
    <n v="329"/>
    <s v="Sales"/>
    <n v="16"/>
    <n v="4"/>
    <s v="Marketing"/>
    <n v="1436"/>
    <n v="3"/>
    <s v="Female"/>
    <n v="98"/>
    <n v="2"/>
    <n v="2"/>
    <s v="Sales Executive"/>
    <n v="1"/>
    <s v="Married"/>
    <n v="5647"/>
    <n v="13494"/>
    <n v="4"/>
    <s v="No"/>
    <n v="13"/>
    <n v="3"/>
    <n v="1"/>
    <n v="2"/>
    <n v="11"/>
    <n v="3"/>
    <n v="2"/>
    <n v="3"/>
    <n v="2"/>
    <n v="0"/>
    <n v="2"/>
    <x v="0"/>
  </r>
  <r>
    <n v="47"/>
    <x v="1"/>
    <s v="Travel_Rarely"/>
    <n v="465"/>
    <s v="Research &amp; Development"/>
    <n v="1"/>
    <n v="3"/>
    <s v="Technical Degree"/>
    <n v="1438"/>
    <n v="1"/>
    <s v="Male"/>
    <n v="74"/>
    <n v="3"/>
    <n v="1"/>
    <s v="Research Scientist"/>
    <n v="4"/>
    <s v="Married"/>
    <n v="3420"/>
    <n v="10205"/>
    <n v="7"/>
    <s v="No"/>
    <n v="12"/>
    <n v="3"/>
    <n v="3"/>
    <n v="1"/>
    <n v="17"/>
    <n v="2"/>
    <n v="2"/>
    <n v="6"/>
    <n v="5"/>
    <n v="1"/>
    <n v="2"/>
    <x v="1"/>
  </r>
  <r>
    <n v="25"/>
    <x v="0"/>
    <s v="Travel_Rarely"/>
    <n v="383"/>
    <s v="Sales"/>
    <n v="9"/>
    <n v="2"/>
    <s v="Life Sciences"/>
    <n v="1439"/>
    <n v="1"/>
    <s v="Male"/>
    <n v="68"/>
    <n v="2"/>
    <n v="1"/>
    <s v="Sales Representative"/>
    <n v="1"/>
    <s v="Married"/>
    <n v="4400"/>
    <n v="15182"/>
    <n v="3"/>
    <s v="No"/>
    <n v="12"/>
    <n v="3"/>
    <n v="1"/>
    <n v="0"/>
    <n v="6"/>
    <n v="2"/>
    <n v="3"/>
    <n v="3"/>
    <n v="2"/>
    <n v="2"/>
    <n v="2"/>
    <x v="2"/>
  </r>
  <r>
    <n v="37"/>
    <x v="1"/>
    <s v="Non-Travel"/>
    <n v="1413"/>
    <s v="Research &amp; Development"/>
    <n v="5"/>
    <n v="2"/>
    <s v="Technical Degree"/>
    <n v="1440"/>
    <n v="3"/>
    <s v="Male"/>
    <n v="84"/>
    <n v="4"/>
    <n v="1"/>
    <s v="Laboratory Technician"/>
    <n v="3"/>
    <s v="Single"/>
    <n v="3500"/>
    <n v="25470"/>
    <n v="0"/>
    <s v="No"/>
    <n v="14"/>
    <n v="3"/>
    <n v="1"/>
    <n v="0"/>
    <n v="7"/>
    <n v="2"/>
    <n v="1"/>
    <n v="6"/>
    <n v="5"/>
    <n v="1"/>
    <n v="3"/>
    <x v="0"/>
  </r>
  <r>
    <n v="56"/>
    <x v="1"/>
    <s v="Travel_Rarely"/>
    <n v="1255"/>
    <s v="Research &amp; Development"/>
    <n v="1"/>
    <n v="2"/>
    <s v="Life Sciences"/>
    <n v="1441"/>
    <n v="1"/>
    <s v="Female"/>
    <n v="90"/>
    <n v="3"/>
    <n v="1"/>
    <s v="Research Scientist"/>
    <n v="1"/>
    <s v="Married"/>
    <n v="2066"/>
    <n v="10494"/>
    <n v="2"/>
    <s v="No"/>
    <n v="22"/>
    <n v="4"/>
    <n v="4"/>
    <n v="1"/>
    <n v="5"/>
    <n v="3"/>
    <n v="4"/>
    <n v="3"/>
    <n v="2"/>
    <n v="1"/>
    <n v="0"/>
    <x v="3"/>
  </r>
  <r>
    <n v="47"/>
    <x v="1"/>
    <s v="Travel_Rarely"/>
    <n v="359"/>
    <s v="Research &amp; Development"/>
    <n v="2"/>
    <n v="4"/>
    <s v="Medical"/>
    <n v="1443"/>
    <n v="1"/>
    <s v="Female"/>
    <n v="82"/>
    <n v="3"/>
    <n v="4"/>
    <s v="Research Director"/>
    <n v="3"/>
    <s v="Married"/>
    <n v="17169"/>
    <n v="26703"/>
    <n v="3"/>
    <s v="No"/>
    <n v="19"/>
    <n v="3"/>
    <n v="2"/>
    <n v="2"/>
    <n v="26"/>
    <n v="2"/>
    <n v="4"/>
    <n v="20"/>
    <n v="17"/>
    <n v="5"/>
    <n v="6"/>
    <x v="1"/>
  </r>
  <r>
    <n v="24"/>
    <x v="1"/>
    <s v="Travel_Rarely"/>
    <n v="1476"/>
    <s v="Sales"/>
    <n v="4"/>
    <n v="1"/>
    <s v="Medical"/>
    <n v="1445"/>
    <n v="4"/>
    <s v="Female"/>
    <n v="42"/>
    <n v="3"/>
    <n v="2"/>
    <s v="Sales Executive"/>
    <n v="3"/>
    <s v="Married"/>
    <n v="4162"/>
    <n v="15211"/>
    <n v="1"/>
    <s v="Yes"/>
    <n v="12"/>
    <n v="3"/>
    <n v="3"/>
    <n v="2"/>
    <n v="5"/>
    <n v="3"/>
    <n v="3"/>
    <n v="5"/>
    <n v="4"/>
    <n v="0"/>
    <n v="3"/>
    <x v="2"/>
  </r>
  <r>
    <n v="32"/>
    <x v="1"/>
    <s v="Travel_Rarely"/>
    <n v="601"/>
    <s v="Sales"/>
    <n v="7"/>
    <n v="5"/>
    <s v="Marketing"/>
    <n v="1446"/>
    <n v="4"/>
    <s v="Male"/>
    <n v="97"/>
    <n v="3"/>
    <n v="2"/>
    <s v="Sales Executive"/>
    <n v="4"/>
    <s v="Married"/>
    <n v="9204"/>
    <n v="23343"/>
    <n v="4"/>
    <s v="No"/>
    <n v="12"/>
    <n v="3"/>
    <n v="3"/>
    <n v="1"/>
    <n v="7"/>
    <n v="3"/>
    <n v="2"/>
    <n v="4"/>
    <n v="3"/>
    <n v="0"/>
    <n v="3"/>
    <x v="2"/>
  </r>
  <r>
    <n v="34"/>
    <x v="1"/>
    <s v="Travel_Rarely"/>
    <n v="401"/>
    <s v="Research &amp; Development"/>
    <n v="1"/>
    <n v="3"/>
    <s v="Life Sciences"/>
    <n v="1447"/>
    <n v="4"/>
    <s v="Female"/>
    <n v="86"/>
    <n v="2"/>
    <n v="1"/>
    <s v="Laboratory Technician"/>
    <n v="2"/>
    <s v="Married"/>
    <n v="3294"/>
    <n v="3708"/>
    <n v="5"/>
    <s v="No"/>
    <n v="17"/>
    <n v="3"/>
    <n v="1"/>
    <n v="1"/>
    <n v="7"/>
    <n v="2"/>
    <n v="2"/>
    <n v="5"/>
    <n v="4"/>
    <n v="0"/>
    <n v="2"/>
    <x v="2"/>
  </r>
  <r>
    <n v="41"/>
    <x v="1"/>
    <s v="Travel_Rarely"/>
    <n v="1283"/>
    <s v="Research &amp; Development"/>
    <n v="5"/>
    <n v="5"/>
    <s v="Medical"/>
    <n v="1448"/>
    <n v="2"/>
    <s v="Male"/>
    <n v="90"/>
    <n v="4"/>
    <n v="1"/>
    <s v="Research Scientist"/>
    <n v="3"/>
    <s v="Married"/>
    <n v="2127"/>
    <n v="5561"/>
    <n v="2"/>
    <s v="Yes"/>
    <n v="12"/>
    <n v="3"/>
    <n v="1"/>
    <n v="0"/>
    <n v="7"/>
    <n v="5"/>
    <n v="2"/>
    <n v="4"/>
    <n v="2"/>
    <n v="0"/>
    <n v="3"/>
    <x v="0"/>
  </r>
  <r>
    <n v="40"/>
    <x v="1"/>
    <s v="Non-Travel"/>
    <n v="663"/>
    <s v="Research &amp; Development"/>
    <n v="9"/>
    <n v="4"/>
    <s v="Other"/>
    <n v="1449"/>
    <n v="3"/>
    <s v="Male"/>
    <n v="81"/>
    <n v="3"/>
    <n v="2"/>
    <s v="Laboratory Technician"/>
    <n v="3"/>
    <s v="Divorced"/>
    <n v="3975"/>
    <n v="23099"/>
    <n v="3"/>
    <s v="No"/>
    <n v="11"/>
    <n v="3"/>
    <n v="3"/>
    <n v="2"/>
    <n v="11"/>
    <n v="2"/>
    <n v="4"/>
    <n v="8"/>
    <n v="7"/>
    <n v="0"/>
    <n v="7"/>
    <x v="0"/>
  </r>
  <r>
    <n v="31"/>
    <x v="1"/>
    <s v="Travel_Rarely"/>
    <n v="326"/>
    <s v="Sales"/>
    <n v="8"/>
    <n v="2"/>
    <s v="Life Sciences"/>
    <n v="1453"/>
    <n v="1"/>
    <s v="Male"/>
    <n v="31"/>
    <n v="3"/>
    <n v="3"/>
    <s v="Sales Executive"/>
    <n v="4"/>
    <s v="Divorced"/>
    <n v="10793"/>
    <n v="8386"/>
    <n v="1"/>
    <s v="No"/>
    <n v="18"/>
    <n v="3"/>
    <n v="1"/>
    <n v="1"/>
    <n v="13"/>
    <n v="5"/>
    <n v="3"/>
    <n v="13"/>
    <n v="7"/>
    <n v="9"/>
    <n v="9"/>
    <x v="2"/>
  </r>
  <r>
    <n v="46"/>
    <x v="0"/>
    <s v="Travel_Rarely"/>
    <n v="377"/>
    <s v="Sales"/>
    <n v="9"/>
    <n v="3"/>
    <s v="Marketing"/>
    <n v="1457"/>
    <n v="1"/>
    <s v="Male"/>
    <n v="52"/>
    <n v="3"/>
    <n v="3"/>
    <s v="Sales Executive"/>
    <n v="4"/>
    <s v="Divorced"/>
    <n v="10096"/>
    <n v="15986"/>
    <n v="4"/>
    <s v="No"/>
    <n v="11"/>
    <n v="3"/>
    <n v="1"/>
    <n v="1"/>
    <n v="28"/>
    <n v="1"/>
    <n v="4"/>
    <n v="7"/>
    <n v="7"/>
    <n v="4"/>
    <n v="3"/>
    <x v="1"/>
  </r>
  <r>
    <n v="39"/>
    <x v="0"/>
    <s v="Non-Travel"/>
    <n v="592"/>
    <s v="Research &amp; Development"/>
    <n v="2"/>
    <n v="3"/>
    <s v="Life Sciences"/>
    <n v="1458"/>
    <n v="1"/>
    <s v="Female"/>
    <n v="54"/>
    <n v="2"/>
    <n v="1"/>
    <s v="Laboratory Technician"/>
    <n v="1"/>
    <s v="Single"/>
    <n v="3646"/>
    <n v="17181"/>
    <n v="2"/>
    <s v="Yes"/>
    <n v="23"/>
    <n v="4"/>
    <n v="2"/>
    <n v="0"/>
    <n v="11"/>
    <n v="2"/>
    <n v="4"/>
    <n v="1"/>
    <n v="0"/>
    <n v="0"/>
    <n v="0"/>
    <x v="0"/>
  </r>
  <r>
    <n v="31"/>
    <x v="0"/>
    <s v="Travel_Frequently"/>
    <n v="1445"/>
    <s v="Research &amp; Development"/>
    <n v="1"/>
    <n v="5"/>
    <s v="Life Sciences"/>
    <n v="1459"/>
    <n v="3"/>
    <s v="Female"/>
    <n v="100"/>
    <n v="4"/>
    <n v="3"/>
    <s v="Manufacturing Director"/>
    <n v="2"/>
    <s v="Single"/>
    <n v="7446"/>
    <n v="8931"/>
    <n v="1"/>
    <s v="No"/>
    <n v="11"/>
    <n v="3"/>
    <n v="1"/>
    <n v="0"/>
    <n v="10"/>
    <n v="2"/>
    <n v="3"/>
    <n v="10"/>
    <n v="8"/>
    <n v="4"/>
    <n v="7"/>
    <x v="2"/>
  </r>
  <r>
    <n v="45"/>
    <x v="1"/>
    <s v="Travel_Rarely"/>
    <n v="1038"/>
    <s v="Research &amp; Development"/>
    <n v="20"/>
    <n v="3"/>
    <s v="Medical"/>
    <n v="1460"/>
    <n v="2"/>
    <s v="Male"/>
    <n v="95"/>
    <n v="1"/>
    <n v="3"/>
    <s v="Healthcare Representative"/>
    <n v="1"/>
    <s v="Divorced"/>
    <n v="10851"/>
    <n v="19863"/>
    <n v="2"/>
    <s v="Yes"/>
    <n v="18"/>
    <n v="3"/>
    <n v="2"/>
    <n v="1"/>
    <n v="24"/>
    <n v="2"/>
    <n v="3"/>
    <n v="7"/>
    <n v="7"/>
    <n v="0"/>
    <n v="7"/>
    <x v="1"/>
  </r>
  <r>
    <n v="31"/>
    <x v="1"/>
    <s v="Travel_Rarely"/>
    <n v="1398"/>
    <s v="Human Resources"/>
    <n v="8"/>
    <n v="2"/>
    <s v="Medical"/>
    <n v="1461"/>
    <n v="4"/>
    <s v="Female"/>
    <n v="96"/>
    <n v="4"/>
    <n v="1"/>
    <s v="Human Resources"/>
    <n v="2"/>
    <s v="Single"/>
    <n v="2109"/>
    <n v="24609"/>
    <n v="9"/>
    <s v="No"/>
    <n v="18"/>
    <n v="3"/>
    <n v="4"/>
    <n v="0"/>
    <n v="8"/>
    <n v="3"/>
    <n v="3"/>
    <n v="3"/>
    <n v="2"/>
    <n v="0"/>
    <n v="2"/>
    <x v="2"/>
  </r>
  <r>
    <n v="31"/>
    <x v="0"/>
    <s v="Travel_Frequently"/>
    <n v="523"/>
    <s v="Research &amp; Development"/>
    <n v="2"/>
    <n v="3"/>
    <s v="Life Sciences"/>
    <n v="1464"/>
    <n v="2"/>
    <s v="Male"/>
    <n v="94"/>
    <n v="3"/>
    <n v="1"/>
    <s v="Laboratory Technician"/>
    <n v="4"/>
    <s v="Married"/>
    <n v="3722"/>
    <n v="21081"/>
    <n v="6"/>
    <s v="Yes"/>
    <n v="13"/>
    <n v="3"/>
    <n v="3"/>
    <n v="1"/>
    <n v="7"/>
    <n v="2"/>
    <n v="1"/>
    <n v="2"/>
    <n v="2"/>
    <n v="2"/>
    <n v="2"/>
    <x v="2"/>
  </r>
  <r>
    <n v="45"/>
    <x v="1"/>
    <s v="Travel_Rarely"/>
    <n v="1448"/>
    <s v="Research &amp; Development"/>
    <n v="29"/>
    <n v="3"/>
    <s v="Technical Degree"/>
    <n v="1465"/>
    <n v="2"/>
    <s v="Male"/>
    <n v="55"/>
    <n v="3"/>
    <n v="3"/>
    <s v="Manufacturing Director"/>
    <n v="4"/>
    <s v="Married"/>
    <n v="9380"/>
    <n v="14720"/>
    <n v="4"/>
    <s v="Yes"/>
    <n v="18"/>
    <n v="3"/>
    <n v="4"/>
    <n v="2"/>
    <n v="10"/>
    <n v="4"/>
    <n v="4"/>
    <n v="3"/>
    <n v="1"/>
    <n v="1"/>
    <n v="2"/>
    <x v="1"/>
  </r>
  <r>
    <n v="48"/>
    <x v="1"/>
    <s v="Travel_Rarely"/>
    <n v="1221"/>
    <s v="Sales"/>
    <n v="7"/>
    <n v="3"/>
    <s v="Marketing"/>
    <n v="1466"/>
    <n v="3"/>
    <s v="Male"/>
    <n v="96"/>
    <n v="3"/>
    <n v="2"/>
    <s v="Sales Executive"/>
    <n v="1"/>
    <s v="Divorced"/>
    <n v="5486"/>
    <n v="24795"/>
    <n v="4"/>
    <s v="No"/>
    <n v="11"/>
    <n v="3"/>
    <n v="1"/>
    <n v="3"/>
    <n v="15"/>
    <n v="3"/>
    <n v="3"/>
    <n v="2"/>
    <n v="2"/>
    <n v="2"/>
    <n v="2"/>
    <x v="1"/>
  </r>
  <r>
    <n v="34"/>
    <x v="0"/>
    <s v="Travel_Rarely"/>
    <n v="1107"/>
    <s v="Human Resources"/>
    <n v="9"/>
    <n v="4"/>
    <s v="Technical Degree"/>
    <n v="1467"/>
    <n v="1"/>
    <s v="Female"/>
    <n v="52"/>
    <n v="3"/>
    <n v="1"/>
    <s v="Human Resources"/>
    <n v="3"/>
    <s v="Married"/>
    <n v="2742"/>
    <n v="3072"/>
    <n v="1"/>
    <s v="No"/>
    <n v="15"/>
    <n v="3"/>
    <n v="4"/>
    <n v="0"/>
    <n v="2"/>
    <n v="0"/>
    <n v="3"/>
    <n v="2"/>
    <n v="2"/>
    <n v="2"/>
    <n v="2"/>
    <x v="2"/>
  </r>
  <r>
    <n v="40"/>
    <x v="1"/>
    <s v="Non-Travel"/>
    <n v="218"/>
    <s v="Research &amp; Development"/>
    <n v="8"/>
    <n v="1"/>
    <s v="Medical"/>
    <n v="1468"/>
    <n v="4"/>
    <s v="Male"/>
    <n v="55"/>
    <n v="2"/>
    <n v="3"/>
    <s v="Research Director"/>
    <n v="2"/>
    <s v="Divorced"/>
    <n v="13757"/>
    <n v="25178"/>
    <n v="2"/>
    <s v="No"/>
    <n v="11"/>
    <n v="3"/>
    <n v="3"/>
    <n v="1"/>
    <n v="16"/>
    <n v="5"/>
    <n v="3"/>
    <n v="9"/>
    <n v="8"/>
    <n v="4"/>
    <n v="8"/>
    <x v="0"/>
  </r>
  <r>
    <n v="28"/>
    <x v="1"/>
    <s v="Travel_Rarely"/>
    <n v="866"/>
    <s v="Sales"/>
    <n v="5"/>
    <n v="3"/>
    <s v="Medical"/>
    <n v="1469"/>
    <n v="4"/>
    <s v="Male"/>
    <n v="84"/>
    <n v="3"/>
    <n v="2"/>
    <s v="Sales Executive"/>
    <n v="1"/>
    <s v="Single"/>
    <n v="8463"/>
    <n v="23490"/>
    <n v="0"/>
    <s v="No"/>
    <n v="18"/>
    <n v="3"/>
    <n v="4"/>
    <n v="0"/>
    <n v="6"/>
    <n v="4"/>
    <n v="3"/>
    <n v="5"/>
    <n v="4"/>
    <n v="1"/>
    <n v="3"/>
    <x v="2"/>
  </r>
  <r>
    <n v="44"/>
    <x v="1"/>
    <s v="Non-Travel"/>
    <n v="981"/>
    <s v="Research &amp; Development"/>
    <n v="5"/>
    <n v="3"/>
    <s v="Life Sciences"/>
    <n v="1471"/>
    <n v="3"/>
    <s v="Male"/>
    <n v="90"/>
    <n v="2"/>
    <n v="1"/>
    <s v="Laboratory Technician"/>
    <n v="3"/>
    <s v="Single"/>
    <n v="3162"/>
    <n v="7973"/>
    <n v="3"/>
    <s v="No"/>
    <n v="14"/>
    <n v="3"/>
    <n v="4"/>
    <n v="0"/>
    <n v="7"/>
    <n v="5"/>
    <n v="3"/>
    <n v="5"/>
    <n v="2"/>
    <n v="0"/>
    <n v="3"/>
    <x v="0"/>
  </r>
  <r>
    <n v="53"/>
    <x v="1"/>
    <s v="Travel_Rarely"/>
    <n v="447"/>
    <s v="Research &amp; Development"/>
    <n v="2"/>
    <n v="3"/>
    <s v="Medical"/>
    <n v="1472"/>
    <n v="4"/>
    <s v="Male"/>
    <n v="39"/>
    <n v="4"/>
    <n v="4"/>
    <s v="Research Director"/>
    <n v="2"/>
    <s v="Single"/>
    <n v="16598"/>
    <n v="19764"/>
    <n v="4"/>
    <s v="No"/>
    <n v="12"/>
    <n v="3"/>
    <n v="2"/>
    <n v="0"/>
    <n v="35"/>
    <n v="2"/>
    <n v="2"/>
    <n v="9"/>
    <n v="8"/>
    <n v="8"/>
    <n v="8"/>
    <x v="1"/>
  </r>
  <r>
    <n v="49"/>
    <x v="1"/>
    <s v="Travel_Rarely"/>
    <n v="1495"/>
    <s v="Research &amp; Development"/>
    <n v="5"/>
    <n v="4"/>
    <s v="Technical Degree"/>
    <n v="1473"/>
    <n v="1"/>
    <s v="Male"/>
    <n v="96"/>
    <n v="3"/>
    <n v="2"/>
    <s v="Healthcare Representative"/>
    <n v="3"/>
    <s v="Married"/>
    <n v="6651"/>
    <n v="21534"/>
    <n v="2"/>
    <s v="No"/>
    <n v="14"/>
    <n v="3"/>
    <n v="2"/>
    <n v="1"/>
    <n v="20"/>
    <n v="0"/>
    <n v="2"/>
    <n v="3"/>
    <n v="2"/>
    <n v="1"/>
    <n v="2"/>
    <x v="1"/>
  </r>
  <r>
    <n v="40"/>
    <x v="1"/>
    <s v="Travel_Rarely"/>
    <n v="896"/>
    <s v="Research &amp; Development"/>
    <n v="2"/>
    <n v="3"/>
    <s v="Medical"/>
    <n v="1474"/>
    <n v="3"/>
    <s v="Male"/>
    <n v="68"/>
    <n v="3"/>
    <n v="1"/>
    <s v="Research Scientist"/>
    <n v="3"/>
    <s v="Divorced"/>
    <n v="2345"/>
    <n v="8045"/>
    <n v="2"/>
    <s v="No"/>
    <n v="14"/>
    <n v="3"/>
    <n v="3"/>
    <n v="1"/>
    <n v="8"/>
    <n v="3"/>
    <n v="4"/>
    <n v="3"/>
    <n v="1"/>
    <n v="1"/>
    <n v="2"/>
    <x v="0"/>
  </r>
  <r>
    <n v="44"/>
    <x v="1"/>
    <s v="Travel_Rarely"/>
    <n v="1467"/>
    <s v="Research &amp; Development"/>
    <n v="20"/>
    <n v="3"/>
    <s v="Life Sciences"/>
    <n v="1475"/>
    <n v="4"/>
    <s v="Male"/>
    <n v="49"/>
    <n v="3"/>
    <n v="1"/>
    <s v="Research Scientist"/>
    <n v="2"/>
    <s v="Single"/>
    <n v="3420"/>
    <n v="21158"/>
    <n v="1"/>
    <s v="No"/>
    <n v="13"/>
    <n v="3"/>
    <n v="3"/>
    <n v="0"/>
    <n v="6"/>
    <n v="3"/>
    <n v="2"/>
    <n v="5"/>
    <n v="2"/>
    <n v="1"/>
    <n v="3"/>
    <x v="0"/>
  </r>
  <r>
    <n v="33"/>
    <x v="1"/>
    <s v="Travel_Frequently"/>
    <n v="430"/>
    <s v="Sales"/>
    <n v="7"/>
    <n v="3"/>
    <s v="Medical"/>
    <n v="1477"/>
    <n v="4"/>
    <s v="Male"/>
    <n v="54"/>
    <n v="3"/>
    <n v="2"/>
    <s v="Sales Executive"/>
    <n v="1"/>
    <s v="Married"/>
    <n v="4373"/>
    <n v="17456"/>
    <n v="0"/>
    <s v="No"/>
    <n v="14"/>
    <n v="3"/>
    <n v="1"/>
    <n v="2"/>
    <n v="5"/>
    <n v="2"/>
    <n v="3"/>
    <n v="4"/>
    <n v="3"/>
    <n v="0"/>
    <n v="3"/>
    <x v="2"/>
  </r>
  <r>
    <n v="34"/>
    <x v="1"/>
    <s v="Travel_Rarely"/>
    <n v="1326"/>
    <s v="Sales"/>
    <n v="3"/>
    <n v="3"/>
    <s v="Other"/>
    <n v="1478"/>
    <n v="4"/>
    <s v="Male"/>
    <n v="81"/>
    <n v="1"/>
    <n v="2"/>
    <s v="Sales Executive"/>
    <n v="1"/>
    <s v="Single"/>
    <n v="4759"/>
    <n v="15891"/>
    <n v="3"/>
    <s v="No"/>
    <n v="18"/>
    <n v="3"/>
    <n v="4"/>
    <n v="0"/>
    <n v="15"/>
    <n v="2"/>
    <n v="3"/>
    <n v="13"/>
    <n v="9"/>
    <n v="3"/>
    <n v="12"/>
    <x v="2"/>
  </r>
  <r>
    <n v="30"/>
    <x v="1"/>
    <s v="Travel_Rarely"/>
    <n v="1358"/>
    <s v="Sales"/>
    <n v="16"/>
    <n v="1"/>
    <s v="Life Sciences"/>
    <n v="1479"/>
    <n v="4"/>
    <s v="Male"/>
    <n v="96"/>
    <n v="3"/>
    <n v="2"/>
    <s v="Sales Executive"/>
    <n v="3"/>
    <s v="Married"/>
    <n v="5301"/>
    <n v="2939"/>
    <n v="8"/>
    <s v="No"/>
    <n v="15"/>
    <n v="3"/>
    <n v="3"/>
    <n v="2"/>
    <n v="4"/>
    <n v="2"/>
    <n v="2"/>
    <n v="2"/>
    <n v="1"/>
    <n v="2"/>
    <n v="2"/>
    <x v="2"/>
  </r>
  <r>
    <n v="42"/>
    <x v="1"/>
    <s v="Travel_Frequently"/>
    <n v="748"/>
    <s v="Research &amp; Development"/>
    <n v="9"/>
    <n v="2"/>
    <s v="Medical"/>
    <n v="1480"/>
    <n v="1"/>
    <s v="Female"/>
    <n v="74"/>
    <n v="3"/>
    <n v="1"/>
    <s v="Laboratory Technician"/>
    <n v="4"/>
    <s v="Single"/>
    <n v="3673"/>
    <n v="16458"/>
    <n v="1"/>
    <s v="No"/>
    <n v="13"/>
    <n v="3"/>
    <n v="3"/>
    <n v="0"/>
    <n v="12"/>
    <n v="3"/>
    <n v="3"/>
    <n v="12"/>
    <n v="9"/>
    <n v="5"/>
    <n v="8"/>
    <x v="0"/>
  </r>
  <r>
    <n v="44"/>
    <x v="1"/>
    <s v="Travel_Frequently"/>
    <n v="383"/>
    <s v="Sales"/>
    <n v="1"/>
    <n v="5"/>
    <s v="Marketing"/>
    <n v="1481"/>
    <n v="1"/>
    <s v="Female"/>
    <n v="79"/>
    <n v="3"/>
    <n v="2"/>
    <s v="Sales Executive"/>
    <n v="3"/>
    <s v="Married"/>
    <n v="4768"/>
    <n v="9282"/>
    <n v="7"/>
    <s v="No"/>
    <n v="12"/>
    <n v="3"/>
    <n v="3"/>
    <n v="1"/>
    <n v="11"/>
    <n v="4"/>
    <n v="2"/>
    <n v="1"/>
    <n v="0"/>
    <n v="0"/>
    <n v="0"/>
    <x v="0"/>
  </r>
  <r>
    <n v="30"/>
    <x v="1"/>
    <s v="Non-Travel"/>
    <n v="990"/>
    <s v="Research &amp; Development"/>
    <n v="7"/>
    <n v="3"/>
    <s v="Technical Degree"/>
    <n v="1482"/>
    <n v="3"/>
    <s v="Male"/>
    <n v="64"/>
    <n v="3"/>
    <n v="1"/>
    <s v="Research Scientist"/>
    <n v="3"/>
    <s v="Divorced"/>
    <n v="1274"/>
    <n v="7152"/>
    <n v="1"/>
    <s v="No"/>
    <n v="13"/>
    <n v="3"/>
    <n v="2"/>
    <n v="2"/>
    <n v="1"/>
    <n v="2"/>
    <n v="2"/>
    <n v="1"/>
    <n v="0"/>
    <n v="0"/>
    <n v="0"/>
    <x v="2"/>
  </r>
  <r>
    <n v="57"/>
    <x v="1"/>
    <s v="Travel_Rarely"/>
    <n v="405"/>
    <s v="Research &amp; Development"/>
    <n v="1"/>
    <n v="2"/>
    <s v="Life Sciences"/>
    <n v="1483"/>
    <n v="2"/>
    <s v="Male"/>
    <n v="93"/>
    <n v="4"/>
    <n v="2"/>
    <s v="Research Scientist"/>
    <n v="3"/>
    <s v="Married"/>
    <n v="4900"/>
    <n v="2721"/>
    <n v="0"/>
    <s v="No"/>
    <n v="24"/>
    <n v="4"/>
    <n v="1"/>
    <n v="1"/>
    <n v="13"/>
    <n v="2"/>
    <n v="2"/>
    <n v="12"/>
    <n v="9"/>
    <n v="2"/>
    <n v="8"/>
    <x v="3"/>
  </r>
  <r>
    <n v="49"/>
    <x v="1"/>
    <s v="Travel_Rarely"/>
    <n v="1490"/>
    <s v="Research &amp; Development"/>
    <n v="7"/>
    <n v="4"/>
    <s v="Life Sciences"/>
    <n v="1484"/>
    <n v="3"/>
    <s v="Male"/>
    <n v="35"/>
    <n v="3"/>
    <n v="3"/>
    <s v="Healthcare Representative"/>
    <n v="2"/>
    <s v="Divorced"/>
    <n v="10466"/>
    <n v="20948"/>
    <n v="3"/>
    <s v="No"/>
    <n v="14"/>
    <n v="3"/>
    <n v="2"/>
    <n v="2"/>
    <n v="29"/>
    <n v="3"/>
    <n v="3"/>
    <n v="8"/>
    <n v="7"/>
    <n v="0"/>
    <n v="7"/>
    <x v="1"/>
  </r>
  <r>
    <n v="34"/>
    <x v="1"/>
    <s v="Travel_Frequently"/>
    <n v="829"/>
    <s v="Research &amp; Development"/>
    <n v="15"/>
    <n v="3"/>
    <s v="Medical"/>
    <n v="1485"/>
    <n v="2"/>
    <s v="Male"/>
    <n v="71"/>
    <n v="3"/>
    <n v="4"/>
    <s v="Research Director"/>
    <n v="1"/>
    <s v="Divorced"/>
    <n v="17007"/>
    <n v="11929"/>
    <n v="7"/>
    <s v="No"/>
    <n v="14"/>
    <n v="3"/>
    <n v="4"/>
    <n v="2"/>
    <n v="16"/>
    <n v="3"/>
    <n v="2"/>
    <n v="14"/>
    <n v="8"/>
    <n v="6"/>
    <n v="9"/>
    <x v="2"/>
  </r>
  <r>
    <n v="28"/>
    <x v="0"/>
    <s v="Travel_Frequently"/>
    <n v="1496"/>
    <s v="Sales"/>
    <n v="1"/>
    <n v="3"/>
    <s v="Technical Degree"/>
    <n v="1486"/>
    <n v="1"/>
    <s v="Male"/>
    <n v="92"/>
    <n v="3"/>
    <n v="1"/>
    <s v="Sales Representative"/>
    <n v="3"/>
    <s v="Married"/>
    <n v="2909"/>
    <n v="15747"/>
    <n v="3"/>
    <s v="No"/>
    <n v="15"/>
    <n v="3"/>
    <n v="4"/>
    <n v="1"/>
    <n v="5"/>
    <n v="3"/>
    <n v="4"/>
    <n v="3"/>
    <n v="2"/>
    <n v="1"/>
    <n v="2"/>
    <x v="2"/>
  </r>
  <r>
    <n v="29"/>
    <x v="0"/>
    <s v="Travel_Frequently"/>
    <n v="115"/>
    <s v="Sales"/>
    <n v="13"/>
    <n v="3"/>
    <s v="Technical Degree"/>
    <n v="1487"/>
    <n v="1"/>
    <s v="Female"/>
    <n v="51"/>
    <n v="3"/>
    <n v="2"/>
    <s v="Sales Executive"/>
    <n v="2"/>
    <s v="Single"/>
    <n v="5765"/>
    <n v="17485"/>
    <n v="5"/>
    <s v="No"/>
    <n v="11"/>
    <n v="3"/>
    <n v="1"/>
    <n v="0"/>
    <n v="7"/>
    <n v="4"/>
    <n v="1"/>
    <n v="5"/>
    <n v="3"/>
    <n v="0"/>
    <n v="0"/>
    <x v="2"/>
  </r>
  <r>
    <n v="34"/>
    <x v="0"/>
    <s v="Travel_Rarely"/>
    <n v="790"/>
    <s v="Sales"/>
    <n v="24"/>
    <n v="4"/>
    <s v="Medical"/>
    <n v="1489"/>
    <n v="1"/>
    <s v="Female"/>
    <n v="40"/>
    <n v="2"/>
    <n v="2"/>
    <s v="Sales Executive"/>
    <n v="2"/>
    <s v="Single"/>
    <n v="4599"/>
    <n v="7815"/>
    <n v="0"/>
    <s v="Yes"/>
    <n v="23"/>
    <n v="4"/>
    <n v="3"/>
    <n v="0"/>
    <n v="16"/>
    <n v="2"/>
    <n v="4"/>
    <n v="15"/>
    <n v="9"/>
    <n v="10"/>
    <n v="10"/>
    <x v="2"/>
  </r>
  <r>
    <n v="35"/>
    <x v="1"/>
    <s v="Travel_Rarely"/>
    <n v="660"/>
    <s v="Sales"/>
    <n v="7"/>
    <n v="1"/>
    <s v="Life Sciences"/>
    <n v="1492"/>
    <n v="4"/>
    <s v="Male"/>
    <n v="76"/>
    <n v="3"/>
    <n v="1"/>
    <s v="Sales Representative"/>
    <n v="3"/>
    <s v="Married"/>
    <n v="2404"/>
    <n v="16192"/>
    <n v="1"/>
    <s v="No"/>
    <n v="13"/>
    <n v="3"/>
    <n v="1"/>
    <n v="1"/>
    <n v="1"/>
    <n v="3"/>
    <n v="3"/>
    <n v="1"/>
    <n v="0"/>
    <n v="0"/>
    <n v="0"/>
    <x v="0"/>
  </r>
  <r>
    <n v="24"/>
    <x v="0"/>
    <s v="Travel_Frequently"/>
    <n v="381"/>
    <s v="Research &amp; Development"/>
    <n v="9"/>
    <n v="3"/>
    <s v="Medical"/>
    <n v="1494"/>
    <n v="2"/>
    <s v="Male"/>
    <n v="89"/>
    <n v="3"/>
    <n v="1"/>
    <s v="Laboratory Technician"/>
    <n v="1"/>
    <s v="Single"/>
    <n v="3172"/>
    <n v="16998"/>
    <n v="2"/>
    <s v="Yes"/>
    <n v="11"/>
    <n v="3"/>
    <n v="3"/>
    <n v="0"/>
    <n v="4"/>
    <n v="2"/>
    <n v="2"/>
    <n v="0"/>
    <n v="0"/>
    <n v="0"/>
    <n v="0"/>
    <x v="2"/>
  </r>
  <r>
    <n v="24"/>
    <x v="1"/>
    <s v="Non-Travel"/>
    <n v="830"/>
    <s v="Sales"/>
    <n v="13"/>
    <n v="2"/>
    <s v="Life Sciences"/>
    <n v="1495"/>
    <n v="4"/>
    <s v="Female"/>
    <n v="78"/>
    <n v="3"/>
    <n v="1"/>
    <s v="Sales Representative"/>
    <n v="2"/>
    <s v="Married"/>
    <n v="2033"/>
    <n v="7103"/>
    <n v="1"/>
    <s v="No"/>
    <n v="13"/>
    <n v="3"/>
    <n v="3"/>
    <n v="1"/>
    <n v="1"/>
    <n v="2"/>
    <n v="3"/>
    <n v="1"/>
    <n v="0"/>
    <n v="0"/>
    <n v="0"/>
    <x v="2"/>
  </r>
  <r>
    <n v="44"/>
    <x v="1"/>
    <s v="Travel_Frequently"/>
    <n v="1193"/>
    <s v="Research &amp; Development"/>
    <n v="2"/>
    <n v="1"/>
    <s v="Medical"/>
    <n v="1496"/>
    <n v="2"/>
    <s v="Male"/>
    <n v="86"/>
    <n v="3"/>
    <n v="3"/>
    <s v="Manufacturing Director"/>
    <n v="3"/>
    <s v="Single"/>
    <n v="10209"/>
    <n v="19719"/>
    <n v="5"/>
    <s v="Yes"/>
    <n v="18"/>
    <n v="3"/>
    <n v="2"/>
    <n v="0"/>
    <n v="16"/>
    <n v="2"/>
    <n v="2"/>
    <n v="2"/>
    <n v="2"/>
    <n v="2"/>
    <n v="2"/>
    <x v="0"/>
  </r>
  <r>
    <n v="29"/>
    <x v="1"/>
    <s v="Travel_Rarely"/>
    <n v="1246"/>
    <s v="Sales"/>
    <n v="19"/>
    <n v="3"/>
    <s v="Life Sciences"/>
    <n v="1497"/>
    <n v="3"/>
    <s v="Male"/>
    <n v="77"/>
    <n v="2"/>
    <n v="2"/>
    <s v="Sales Executive"/>
    <n v="3"/>
    <s v="Divorced"/>
    <n v="8620"/>
    <n v="23757"/>
    <n v="1"/>
    <s v="No"/>
    <n v="14"/>
    <n v="3"/>
    <n v="3"/>
    <n v="2"/>
    <n v="10"/>
    <n v="3"/>
    <n v="3"/>
    <n v="10"/>
    <n v="7"/>
    <n v="0"/>
    <n v="4"/>
    <x v="2"/>
  </r>
  <r>
    <n v="30"/>
    <x v="1"/>
    <s v="Travel_Rarely"/>
    <n v="330"/>
    <s v="Human Resources"/>
    <n v="1"/>
    <n v="3"/>
    <s v="Life Sciences"/>
    <n v="1499"/>
    <n v="3"/>
    <s v="Male"/>
    <n v="46"/>
    <n v="3"/>
    <n v="1"/>
    <s v="Human Resources"/>
    <n v="3"/>
    <s v="Divorced"/>
    <n v="2064"/>
    <n v="15428"/>
    <n v="0"/>
    <s v="No"/>
    <n v="21"/>
    <n v="4"/>
    <n v="1"/>
    <n v="1"/>
    <n v="6"/>
    <n v="3"/>
    <n v="4"/>
    <n v="5"/>
    <n v="3"/>
    <n v="1"/>
    <n v="3"/>
    <x v="2"/>
  </r>
  <r>
    <n v="55"/>
    <x v="1"/>
    <s v="Travel_Rarely"/>
    <n v="1229"/>
    <s v="Research &amp; Development"/>
    <n v="4"/>
    <n v="4"/>
    <s v="Life Sciences"/>
    <n v="1501"/>
    <n v="4"/>
    <s v="Male"/>
    <n v="30"/>
    <n v="3"/>
    <n v="2"/>
    <s v="Healthcare Representative"/>
    <n v="3"/>
    <s v="Married"/>
    <n v="4035"/>
    <n v="16143"/>
    <n v="0"/>
    <s v="Yes"/>
    <n v="16"/>
    <n v="3"/>
    <n v="2"/>
    <n v="0"/>
    <n v="4"/>
    <n v="2"/>
    <n v="3"/>
    <n v="3"/>
    <n v="2"/>
    <n v="1"/>
    <n v="2"/>
    <x v="3"/>
  </r>
  <r>
    <n v="33"/>
    <x v="1"/>
    <s v="Travel_Rarely"/>
    <n v="1099"/>
    <s v="Research &amp; Development"/>
    <n v="4"/>
    <n v="4"/>
    <s v="Medical"/>
    <n v="1502"/>
    <n v="1"/>
    <s v="Female"/>
    <n v="82"/>
    <n v="2"/>
    <n v="1"/>
    <s v="Laboratory Technician"/>
    <n v="2"/>
    <s v="Married"/>
    <n v="3838"/>
    <n v="8192"/>
    <n v="8"/>
    <s v="No"/>
    <n v="11"/>
    <n v="3"/>
    <n v="4"/>
    <n v="0"/>
    <n v="8"/>
    <n v="5"/>
    <n v="3"/>
    <n v="5"/>
    <n v="4"/>
    <n v="0"/>
    <n v="2"/>
    <x v="2"/>
  </r>
  <r>
    <n v="47"/>
    <x v="1"/>
    <s v="Travel_Rarely"/>
    <n v="571"/>
    <s v="Sales"/>
    <n v="14"/>
    <n v="3"/>
    <s v="Medical"/>
    <n v="1503"/>
    <n v="3"/>
    <s v="Female"/>
    <n v="78"/>
    <n v="3"/>
    <n v="2"/>
    <s v="Sales Executive"/>
    <n v="3"/>
    <s v="Married"/>
    <n v="4591"/>
    <n v="24200"/>
    <n v="3"/>
    <s v="Yes"/>
    <n v="17"/>
    <n v="3"/>
    <n v="3"/>
    <n v="1"/>
    <n v="11"/>
    <n v="4"/>
    <n v="2"/>
    <n v="5"/>
    <n v="4"/>
    <n v="1"/>
    <n v="2"/>
    <x v="1"/>
  </r>
  <r>
    <n v="28"/>
    <x v="0"/>
    <s v="Travel_Frequently"/>
    <n v="289"/>
    <s v="Research &amp; Development"/>
    <n v="2"/>
    <n v="2"/>
    <s v="Medical"/>
    <n v="1504"/>
    <n v="3"/>
    <s v="Male"/>
    <n v="38"/>
    <n v="2"/>
    <n v="1"/>
    <s v="Laboratory Technician"/>
    <n v="1"/>
    <s v="Single"/>
    <n v="2561"/>
    <n v="5355"/>
    <n v="7"/>
    <s v="No"/>
    <n v="11"/>
    <n v="3"/>
    <n v="3"/>
    <n v="0"/>
    <n v="8"/>
    <n v="2"/>
    <n v="2"/>
    <n v="0"/>
    <n v="0"/>
    <n v="0"/>
    <n v="0"/>
    <x v="2"/>
  </r>
  <r>
    <n v="28"/>
    <x v="1"/>
    <s v="Travel_Rarely"/>
    <n v="1423"/>
    <s v="Research &amp; Development"/>
    <n v="1"/>
    <n v="3"/>
    <s v="Life Sciences"/>
    <n v="1506"/>
    <n v="1"/>
    <s v="Male"/>
    <n v="72"/>
    <n v="2"/>
    <n v="1"/>
    <s v="Research Scientist"/>
    <n v="3"/>
    <s v="Divorced"/>
    <n v="1563"/>
    <n v="12530"/>
    <n v="1"/>
    <s v="No"/>
    <n v="14"/>
    <n v="3"/>
    <n v="4"/>
    <n v="1"/>
    <n v="1"/>
    <n v="2"/>
    <n v="1"/>
    <n v="1"/>
    <n v="0"/>
    <n v="0"/>
    <n v="0"/>
    <x v="2"/>
  </r>
  <r>
    <n v="28"/>
    <x v="1"/>
    <s v="Travel_Frequently"/>
    <n v="467"/>
    <s v="Sales"/>
    <n v="7"/>
    <n v="3"/>
    <s v="Life Sciences"/>
    <n v="1507"/>
    <n v="3"/>
    <s v="Male"/>
    <n v="55"/>
    <n v="3"/>
    <n v="2"/>
    <s v="Sales Executive"/>
    <n v="1"/>
    <s v="Single"/>
    <n v="4898"/>
    <n v="11827"/>
    <n v="0"/>
    <s v="No"/>
    <n v="14"/>
    <n v="3"/>
    <n v="4"/>
    <n v="0"/>
    <n v="5"/>
    <n v="5"/>
    <n v="3"/>
    <n v="4"/>
    <n v="2"/>
    <n v="1"/>
    <n v="3"/>
    <x v="2"/>
  </r>
  <r>
    <n v="49"/>
    <x v="1"/>
    <s v="Travel_Rarely"/>
    <n v="271"/>
    <s v="Research &amp; Development"/>
    <n v="3"/>
    <n v="2"/>
    <s v="Medical"/>
    <n v="1509"/>
    <n v="3"/>
    <s v="Female"/>
    <n v="43"/>
    <n v="2"/>
    <n v="2"/>
    <s v="Laboratory Technician"/>
    <n v="1"/>
    <s v="Married"/>
    <n v="4789"/>
    <n v="23070"/>
    <n v="4"/>
    <s v="No"/>
    <n v="25"/>
    <n v="4"/>
    <n v="1"/>
    <n v="1"/>
    <n v="10"/>
    <n v="3"/>
    <n v="3"/>
    <n v="3"/>
    <n v="2"/>
    <n v="1"/>
    <n v="2"/>
    <x v="1"/>
  </r>
  <r>
    <n v="29"/>
    <x v="1"/>
    <s v="Travel_Frequently"/>
    <n v="410"/>
    <s v="Research &amp; Development"/>
    <n v="2"/>
    <n v="1"/>
    <s v="Life Sciences"/>
    <n v="1513"/>
    <n v="4"/>
    <s v="Female"/>
    <n v="97"/>
    <n v="3"/>
    <n v="1"/>
    <s v="Laboratory Technician"/>
    <n v="2"/>
    <s v="Married"/>
    <n v="3180"/>
    <n v="4668"/>
    <n v="0"/>
    <s v="No"/>
    <n v="13"/>
    <n v="3"/>
    <n v="3"/>
    <n v="3"/>
    <n v="4"/>
    <n v="3"/>
    <n v="3"/>
    <n v="3"/>
    <n v="2"/>
    <n v="0"/>
    <n v="2"/>
    <x v="2"/>
  </r>
  <r>
    <n v="28"/>
    <x v="1"/>
    <s v="Travel_Rarely"/>
    <n v="1083"/>
    <s v="Research &amp; Development"/>
    <n v="29"/>
    <n v="1"/>
    <s v="Life Sciences"/>
    <n v="1514"/>
    <n v="3"/>
    <s v="Male"/>
    <n v="96"/>
    <n v="1"/>
    <n v="2"/>
    <s v="Manufacturing Director"/>
    <n v="2"/>
    <s v="Married"/>
    <n v="6549"/>
    <n v="3173"/>
    <n v="1"/>
    <s v="No"/>
    <n v="14"/>
    <n v="3"/>
    <n v="2"/>
    <n v="2"/>
    <n v="8"/>
    <n v="2"/>
    <n v="2"/>
    <n v="8"/>
    <n v="6"/>
    <n v="1"/>
    <n v="7"/>
    <x v="2"/>
  </r>
  <r>
    <n v="33"/>
    <x v="1"/>
    <s v="Travel_Rarely"/>
    <n v="516"/>
    <s v="Research &amp; Development"/>
    <n v="8"/>
    <n v="5"/>
    <s v="Life Sciences"/>
    <n v="1515"/>
    <n v="4"/>
    <s v="Male"/>
    <n v="69"/>
    <n v="3"/>
    <n v="2"/>
    <s v="Healthcare Representative"/>
    <n v="3"/>
    <s v="Single"/>
    <n v="6388"/>
    <n v="22049"/>
    <n v="2"/>
    <s v="Yes"/>
    <n v="17"/>
    <n v="3"/>
    <n v="1"/>
    <n v="0"/>
    <n v="14"/>
    <n v="6"/>
    <n v="3"/>
    <n v="0"/>
    <n v="0"/>
    <n v="0"/>
    <n v="0"/>
    <x v="2"/>
  </r>
  <r>
    <n v="32"/>
    <x v="1"/>
    <s v="Travel_Rarely"/>
    <n v="495"/>
    <s v="Research &amp; Development"/>
    <n v="10"/>
    <n v="3"/>
    <s v="Medical"/>
    <n v="1516"/>
    <n v="3"/>
    <s v="Male"/>
    <n v="64"/>
    <n v="3"/>
    <n v="3"/>
    <s v="Manager"/>
    <n v="4"/>
    <s v="Single"/>
    <n v="11244"/>
    <n v="21072"/>
    <n v="2"/>
    <s v="No"/>
    <n v="25"/>
    <n v="4"/>
    <n v="2"/>
    <n v="0"/>
    <n v="10"/>
    <n v="5"/>
    <n v="4"/>
    <n v="5"/>
    <n v="2"/>
    <n v="0"/>
    <n v="0"/>
    <x v="2"/>
  </r>
  <r>
    <n v="54"/>
    <x v="1"/>
    <s v="Travel_Frequently"/>
    <n v="1050"/>
    <s v="Research &amp; Development"/>
    <n v="11"/>
    <n v="4"/>
    <s v="Medical"/>
    <n v="1520"/>
    <n v="2"/>
    <s v="Female"/>
    <n v="87"/>
    <n v="3"/>
    <n v="4"/>
    <s v="Manager"/>
    <n v="4"/>
    <s v="Divorced"/>
    <n v="16032"/>
    <n v="24456"/>
    <n v="3"/>
    <s v="No"/>
    <n v="20"/>
    <n v="4"/>
    <n v="1"/>
    <n v="1"/>
    <n v="26"/>
    <n v="2"/>
    <n v="3"/>
    <n v="14"/>
    <n v="9"/>
    <n v="1"/>
    <n v="12"/>
    <x v="1"/>
  </r>
  <r>
    <n v="29"/>
    <x v="0"/>
    <s v="Travel_Rarely"/>
    <n v="224"/>
    <s v="Research &amp; Development"/>
    <n v="1"/>
    <n v="4"/>
    <s v="Technical Degree"/>
    <n v="1522"/>
    <n v="1"/>
    <s v="Male"/>
    <n v="100"/>
    <n v="2"/>
    <n v="1"/>
    <s v="Research Scientist"/>
    <n v="1"/>
    <s v="Single"/>
    <n v="2362"/>
    <n v="7568"/>
    <n v="6"/>
    <s v="No"/>
    <n v="13"/>
    <n v="3"/>
    <n v="3"/>
    <n v="0"/>
    <n v="11"/>
    <n v="2"/>
    <n v="1"/>
    <n v="9"/>
    <n v="7"/>
    <n v="0"/>
    <n v="7"/>
    <x v="2"/>
  </r>
  <r>
    <n v="44"/>
    <x v="1"/>
    <s v="Travel_Rarely"/>
    <n v="136"/>
    <s v="Research &amp; Development"/>
    <n v="28"/>
    <n v="3"/>
    <s v="Life Sciences"/>
    <n v="1523"/>
    <n v="4"/>
    <s v="Male"/>
    <n v="32"/>
    <n v="3"/>
    <n v="4"/>
    <s v="Research Director"/>
    <n v="1"/>
    <s v="Married"/>
    <n v="16328"/>
    <n v="22074"/>
    <n v="3"/>
    <s v="No"/>
    <n v="13"/>
    <n v="3"/>
    <n v="3"/>
    <n v="1"/>
    <n v="24"/>
    <n v="1"/>
    <n v="4"/>
    <n v="20"/>
    <n v="6"/>
    <n v="14"/>
    <n v="17"/>
    <x v="0"/>
  </r>
  <r>
    <n v="39"/>
    <x v="1"/>
    <s v="Travel_Rarely"/>
    <n v="1089"/>
    <s v="Research &amp; Development"/>
    <n v="6"/>
    <n v="3"/>
    <s v="Life Sciences"/>
    <n v="1525"/>
    <n v="2"/>
    <s v="Female"/>
    <n v="32"/>
    <n v="3"/>
    <n v="3"/>
    <s v="Manufacturing Director"/>
    <n v="2"/>
    <s v="Single"/>
    <n v="8376"/>
    <n v="9150"/>
    <n v="4"/>
    <s v="No"/>
    <n v="18"/>
    <n v="3"/>
    <n v="4"/>
    <n v="0"/>
    <n v="9"/>
    <n v="3"/>
    <n v="3"/>
    <n v="2"/>
    <n v="0"/>
    <n v="2"/>
    <n v="2"/>
    <x v="0"/>
  </r>
  <r>
    <n v="46"/>
    <x v="1"/>
    <s v="Travel_Rarely"/>
    <n v="228"/>
    <s v="Sales"/>
    <n v="3"/>
    <n v="3"/>
    <s v="Life Sciences"/>
    <n v="1527"/>
    <n v="3"/>
    <s v="Female"/>
    <n v="51"/>
    <n v="3"/>
    <n v="4"/>
    <s v="Manager"/>
    <n v="2"/>
    <s v="Married"/>
    <n v="16606"/>
    <n v="11380"/>
    <n v="8"/>
    <s v="No"/>
    <n v="12"/>
    <n v="3"/>
    <n v="4"/>
    <n v="1"/>
    <n v="23"/>
    <n v="2"/>
    <n v="4"/>
    <n v="13"/>
    <n v="12"/>
    <n v="5"/>
    <n v="1"/>
    <x v="1"/>
  </r>
  <r>
    <n v="35"/>
    <x v="1"/>
    <s v="Travel_Rarely"/>
    <n v="1029"/>
    <s v="Research &amp; Development"/>
    <n v="16"/>
    <n v="3"/>
    <s v="Life Sciences"/>
    <n v="1529"/>
    <n v="4"/>
    <s v="Female"/>
    <n v="91"/>
    <n v="2"/>
    <n v="3"/>
    <s v="Healthcare Representative"/>
    <n v="2"/>
    <s v="Single"/>
    <n v="8606"/>
    <n v="21195"/>
    <n v="1"/>
    <s v="No"/>
    <n v="19"/>
    <n v="3"/>
    <n v="4"/>
    <n v="0"/>
    <n v="11"/>
    <n v="3"/>
    <n v="1"/>
    <n v="11"/>
    <n v="8"/>
    <n v="3"/>
    <n v="3"/>
    <x v="0"/>
  </r>
  <r>
    <n v="23"/>
    <x v="1"/>
    <s v="Travel_Rarely"/>
    <n v="507"/>
    <s v="Research &amp; Development"/>
    <n v="20"/>
    <n v="1"/>
    <s v="Life Sciences"/>
    <n v="1533"/>
    <n v="1"/>
    <s v="Male"/>
    <n v="97"/>
    <n v="3"/>
    <n v="2"/>
    <s v="Laboratory Technician"/>
    <n v="3"/>
    <s v="Single"/>
    <n v="2272"/>
    <n v="24812"/>
    <n v="0"/>
    <s v="No"/>
    <n v="14"/>
    <n v="3"/>
    <n v="2"/>
    <n v="0"/>
    <n v="5"/>
    <n v="2"/>
    <n v="3"/>
    <n v="4"/>
    <n v="3"/>
    <n v="1"/>
    <n v="2"/>
    <x v="2"/>
  </r>
  <r>
    <n v="40"/>
    <x v="0"/>
    <s v="Travel_Rarely"/>
    <n v="676"/>
    <s v="Research &amp; Development"/>
    <n v="9"/>
    <n v="4"/>
    <s v="Life Sciences"/>
    <n v="1534"/>
    <n v="4"/>
    <s v="Male"/>
    <n v="86"/>
    <n v="3"/>
    <n v="1"/>
    <s v="Laboratory Technician"/>
    <n v="1"/>
    <s v="Single"/>
    <n v="2018"/>
    <n v="21831"/>
    <n v="3"/>
    <s v="No"/>
    <n v="14"/>
    <n v="3"/>
    <n v="2"/>
    <n v="0"/>
    <n v="15"/>
    <n v="3"/>
    <n v="1"/>
    <n v="5"/>
    <n v="4"/>
    <n v="1"/>
    <n v="0"/>
    <x v="0"/>
  </r>
  <r>
    <n v="34"/>
    <x v="1"/>
    <s v="Travel_Rarely"/>
    <n v="971"/>
    <s v="Sales"/>
    <n v="1"/>
    <n v="3"/>
    <s v="Technical Degree"/>
    <n v="1535"/>
    <n v="4"/>
    <s v="Male"/>
    <n v="64"/>
    <n v="2"/>
    <n v="3"/>
    <s v="Sales Executive"/>
    <n v="3"/>
    <s v="Married"/>
    <n v="7083"/>
    <n v="12288"/>
    <n v="1"/>
    <s v="Yes"/>
    <n v="14"/>
    <n v="3"/>
    <n v="4"/>
    <n v="0"/>
    <n v="10"/>
    <n v="3"/>
    <n v="3"/>
    <n v="10"/>
    <n v="9"/>
    <n v="8"/>
    <n v="6"/>
    <x v="2"/>
  </r>
  <r>
    <n v="31"/>
    <x v="0"/>
    <s v="Travel_Frequently"/>
    <n v="561"/>
    <s v="Research &amp; Development"/>
    <n v="3"/>
    <n v="3"/>
    <s v="Life Sciences"/>
    <n v="1537"/>
    <n v="4"/>
    <s v="Female"/>
    <n v="33"/>
    <n v="3"/>
    <n v="1"/>
    <s v="Research Scientist"/>
    <n v="3"/>
    <s v="Single"/>
    <n v="4084"/>
    <n v="4156"/>
    <n v="1"/>
    <s v="No"/>
    <n v="12"/>
    <n v="3"/>
    <n v="1"/>
    <n v="0"/>
    <n v="7"/>
    <n v="2"/>
    <n v="1"/>
    <n v="7"/>
    <n v="2"/>
    <n v="7"/>
    <n v="7"/>
    <x v="2"/>
  </r>
  <r>
    <n v="50"/>
    <x v="1"/>
    <s v="Travel_Frequently"/>
    <n v="333"/>
    <s v="Research &amp; Development"/>
    <n v="22"/>
    <n v="5"/>
    <s v="Medical"/>
    <n v="1539"/>
    <n v="3"/>
    <s v="Male"/>
    <n v="88"/>
    <n v="1"/>
    <n v="4"/>
    <s v="Research Director"/>
    <n v="4"/>
    <s v="Single"/>
    <n v="14411"/>
    <n v="24450"/>
    <n v="1"/>
    <s v="Yes"/>
    <n v="13"/>
    <n v="3"/>
    <n v="4"/>
    <n v="0"/>
    <n v="32"/>
    <n v="2"/>
    <n v="3"/>
    <n v="32"/>
    <n v="6"/>
    <n v="13"/>
    <n v="9"/>
    <x v="1"/>
  </r>
  <r>
    <n v="34"/>
    <x v="1"/>
    <s v="Travel_Rarely"/>
    <n v="1440"/>
    <s v="Sales"/>
    <n v="7"/>
    <n v="2"/>
    <s v="Technical Degree"/>
    <n v="1541"/>
    <n v="2"/>
    <s v="Male"/>
    <n v="55"/>
    <n v="3"/>
    <n v="1"/>
    <s v="Sales Representative"/>
    <n v="3"/>
    <s v="Married"/>
    <n v="2308"/>
    <n v="4944"/>
    <n v="0"/>
    <s v="Yes"/>
    <n v="25"/>
    <n v="4"/>
    <n v="2"/>
    <n v="1"/>
    <n v="12"/>
    <n v="4"/>
    <n v="3"/>
    <n v="11"/>
    <n v="10"/>
    <n v="5"/>
    <n v="7"/>
    <x v="2"/>
  </r>
  <r>
    <n v="42"/>
    <x v="1"/>
    <s v="Travel_Rarely"/>
    <n v="1210"/>
    <s v="Research &amp; Development"/>
    <n v="2"/>
    <n v="3"/>
    <s v="Medical"/>
    <n v="1542"/>
    <n v="3"/>
    <s v="Male"/>
    <n v="68"/>
    <n v="2"/>
    <n v="1"/>
    <s v="Laboratory Technician"/>
    <n v="2"/>
    <s v="Married"/>
    <n v="4841"/>
    <n v="24052"/>
    <n v="4"/>
    <s v="No"/>
    <n v="14"/>
    <n v="3"/>
    <n v="2"/>
    <n v="1"/>
    <n v="4"/>
    <n v="3"/>
    <n v="3"/>
    <n v="1"/>
    <n v="0"/>
    <n v="0"/>
    <n v="0"/>
    <x v="0"/>
  </r>
  <r>
    <n v="37"/>
    <x v="1"/>
    <s v="Travel_Rarely"/>
    <n v="674"/>
    <s v="Research &amp; Development"/>
    <n v="13"/>
    <n v="3"/>
    <s v="Medical"/>
    <n v="1543"/>
    <n v="1"/>
    <s v="Male"/>
    <n v="47"/>
    <n v="3"/>
    <n v="2"/>
    <s v="Research Scientist"/>
    <n v="4"/>
    <s v="Married"/>
    <n v="4285"/>
    <n v="3031"/>
    <n v="1"/>
    <s v="No"/>
    <n v="17"/>
    <n v="3"/>
    <n v="1"/>
    <n v="0"/>
    <n v="10"/>
    <n v="2"/>
    <n v="3"/>
    <n v="10"/>
    <n v="8"/>
    <n v="3"/>
    <n v="7"/>
    <x v="0"/>
  </r>
  <r>
    <n v="29"/>
    <x v="1"/>
    <s v="Travel_Rarely"/>
    <n v="441"/>
    <s v="Research &amp; Development"/>
    <n v="8"/>
    <n v="1"/>
    <s v="Other"/>
    <n v="1544"/>
    <n v="3"/>
    <s v="Female"/>
    <n v="39"/>
    <n v="1"/>
    <n v="2"/>
    <s v="Healthcare Representative"/>
    <n v="1"/>
    <s v="Married"/>
    <n v="9715"/>
    <n v="7288"/>
    <n v="3"/>
    <s v="No"/>
    <n v="13"/>
    <n v="3"/>
    <n v="3"/>
    <n v="1"/>
    <n v="9"/>
    <n v="3"/>
    <n v="3"/>
    <n v="7"/>
    <n v="7"/>
    <n v="0"/>
    <n v="7"/>
    <x v="2"/>
  </r>
  <r>
    <n v="33"/>
    <x v="1"/>
    <s v="Travel_Rarely"/>
    <n v="575"/>
    <s v="Research &amp; Development"/>
    <n v="25"/>
    <n v="3"/>
    <s v="Life Sciences"/>
    <n v="1545"/>
    <n v="4"/>
    <s v="Male"/>
    <n v="44"/>
    <n v="2"/>
    <n v="2"/>
    <s v="Manufacturing Director"/>
    <n v="2"/>
    <s v="Single"/>
    <n v="4320"/>
    <n v="24152"/>
    <n v="1"/>
    <s v="No"/>
    <n v="13"/>
    <n v="3"/>
    <n v="4"/>
    <n v="0"/>
    <n v="5"/>
    <n v="2"/>
    <n v="3"/>
    <n v="5"/>
    <n v="3"/>
    <n v="0"/>
    <n v="2"/>
    <x v="2"/>
  </r>
  <r>
    <n v="45"/>
    <x v="1"/>
    <s v="Travel_Rarely"/>
    <n v="950"/>
    <s v="Research &amp; Development"/>
    <n v="28"/>
    <n v="3"/>
    <s v="Technical Degree"/>
    <n v="1546"/>
    <n v="4"/>
    <s v="Male"/>
    <n v="97"/>
    <n v="3"/>
    <n v="1"/>
    <s v="Research Scientist"/>
    <n v="4"/>
    <s v="Married"/>
    <n v="2132"/>
    <n v="4585"/>
    <n v="4"/>
    <s v="No"/>
    <n v="20"/>
    <n v="4"/>
    <n v="4"/>
    <n v="1"/>
    <n v="8"/>
    <n v="3"/>
    <n v="3"/>
    <n v="5"/>
    <n v="4"/>
    <n v="0"/>
    <n v="3"/>
    <x v="1"/>
  </r>
  <r>
    <n v="42"/>
    <x v="1"/>
    <s v="Travel_Frequently"/>
    <n v="288"/>
    <s v="Research &amp; Development"/>
    <n v="2"/>
    <n v="3"/>
    <s v="Life Sciences"/>
    <n v="1547"/>
    <n v="4"/>
    <s v="Male"/>
    <n v="40"/>
    <n v="3"/>
    <n v="3"/>
    <s v="Healthcare Representative"/>
    <n v="4"/>
    <s v="Married"/>
    <n v="10124"/>
    <n v="18611"/>
    <n v="2"/>
    <s v="Yes"/>
    <n v="14"/>
    <n v="3"/>
    <n v="3"/>
    <n v="1"/>
    <n v="24"/>
    <n v="3"/>
    <n v="1"/>
    <n v="20"/>
    <n v="8"/>
    <n v="13"/>
    <n v="9"/>
    <x v="0"/>
  </r>
  <r>
    <n v="40"/>
    <x v="1"/>
    <s v="Travel_Rarely"/>
    <n v="1342"/>
    <s v="Sales"/>
    <n v="9"/>
    <n v="2"/>
    <s v="Medical"/>
    <n v="1548"/>
    <n v="1"/>
    <s v="Male"/>
    <n v="47"/>
    <n v="3"/>
    <n v="2"/>
    <s v="Sales Executive"/>
    <n v="1"/>
    <s v="Married"/>
    <n v="5473"/>
    <n v="19345"/>
    <n v="0"/>
    <s v="No"/>
    <n v="12"/>
    <n v="3"/>
    <n v="4"/>
    <n v="0"/>
    <n v="9"/>
    <n v="5"/>
    <n v="4"/>
    <n v="8"/>
    <n v="4"/>
    <n v="7"/>
    <n v="1"/>
    <x v="0"/>
  </r>
  <r>
    <n v="33"/>
    <x v="1"/>
    <s v="Travel_Rarely"/>
    <n v="589"/>
    <s v="Research &amp; Development"/>
    <n v="28"/>
    <n v="4"/>
    <s v="Life Sciences"/>
    <n v="1549"/>
    <n v="2"/>
    <s v="Male"/>
    <n v="79"/>
    <n v="3"/>
    <n v="2"/>
    <s v="Laboratory Technician"/>
    <n v="3"/>
    <s v="Married"/>
    <n v="5207"/>
    <n v="22949"/>
    <n v="1"/>
    <s v="Yes"/>
    <n v="12"/>
    <n v="3"/>
    <n v="2"/>
    <n v="1"/>
    <n v="15"/>
    <n v="3"/>
    <n v="3"/>
    <n v="15"/>
    <n v="14"/>
    <n v="5"/>
    <n v="7"/>
    <x v="2"/>
  </r>
  <r>
    <n v="40"/>
    <x v="1"/>
    <s v="Travel_Rarely"/>
    <n v="898"/>
    <s v="Human Resources"/>
    <n v="6"/>
    <n v="2"/>
    <s v="Medical"/>
    <n v="1550"/>
    <n v="3"/>
    <s v="Male"/>
    <n v="38"/>
    <n v="3"/>
    <n v="4"/>
    <s v="Manager"/>
    <n v="4"/>
    <s v="Single"/>
    <n v="16437"/>
    <n v="17381"/>
    <n v="1"/>
    <s v="Yes"/>
    <n v="21"/>
    <n v="4"/>
    <n v="4"/>
    <n v="0"/>
    <n v="21"/>
    <n v="2"/>
    <n v="3"/>
    <n v="21"/>
    <n v="7"/>
    <n v="7"/>
    <n v="7"/>
    <x v="0"/>
  </r>
  <r>
    <n v="24"/>
    <x v="1"/>
    <s v="Travel_Rarely"/>
    <n v="350"/>
    <s v="Research &amp; Development"/>
    <n v="21"/>
    <n v="2"/>
    <s v="Technical Degree"/>
    <n v="1551"/>
    <n v="3"/>
    <s v="Male"/>
    <n v="57"/>
    <n v="2"/>
    <n v="1"/>
    <s v="Laboratory Technician"/>
    <n v="1"/>
    <s v="Divorced"/>
    <n v="2296"/>
    <n v="10036"/>
    <n v="0"/>
    <s v="No"/>
    <n v="14"/>
    <n v="3"/>
    <n v="2"/>
    <n v="3"/>
    <n v="2"/>
    <n v="3"/>
    <n v="3"/>
    <n v="1"/>
    <n v="1"/>
    <n v="0"/>
    <n v="0"/>
    <x v="2"/>
  </r>
  <r>
    <n v="40"/>
    <x v="1"/>
    <s v="Non-Travel"/>
    <n v="1142"/>
    <s v="Research &amp; Development"/>
    <n v="8"/>
    <n v="2"/>
    <s v="Life Sciences"/>
    <n v="1552"/>
    <n v="4"/>
    <s v="Male"/>
    <n v="72"/>
    <n v="3"/>
    <n v="2"/>
    <s v="Healthcare Representative"/>
    <n v="4"/>
    <s v="Divorced"/>
    <n v="4069"/>
    <n v="8841"/>
    <n v="3"/>
    <s v="Yes"/>
    <n v="18"/>
    <n v="3"/>
    <n v="3"/>
    <n v="0"/>
    <n v="8"/>
    <n v="2"/>
    <n v="3"/>
    <n v="2"/>
    <n v="2"/>
    <n v="2"/>
    <n v="2"/>
    <x v="0"/>
  </r>
  <r>
    <n v="45"/>
    <x v="1"/>
    <s v="Travel_Rarely"/>
    <n v="538"/>
    <s v="Research &amp; Development"/>
    <n v="1"/>
    <n v="4"/>
    <s v="Technical Degree"/>
    <n v="1553"/>
    <n v="1"/>
    <s v="Male"/>
    <n v="66"/>
    <n v="3"/>
    <n v="3"/>
    <s v="Healthcare Representative"/>
    <n v="2"/>
    <s v="Divorced"/>
    <n v="7441"/>
    <n v="20933"/>
    <n v="1"/>
    <s v="No"/>
    <n v="12"/>
    <n v="3"/>
    <n v="1"/>
    <n v="3"/>
    <n v="10"/>
    <n v="4"/>
    <n v="3"/>
    <n v="10"/>
    <n v="8"/>
    <n v="7"/>
    <n v="7"/>
    <x v="1"/>
  </r>
  <r>
    <n v="35"/>
    <x v="1"/>
    <s v="Travel_Rarely"/>
    <n v="1402"/>
    <s v="Sales"/>
    <n v="28"/>
    <n v="4"/>
    <s v="Life Sciences"/>
    <n v="1554"/>
    <n v="2"/>
    <s v="Female"/>
    <n v="98"/>
    <n v="2"/>
    <n v="1"/>
    <s v="Sales Representative"/>
    <n v="3"/>
    <s v="Married"/>
    <n v="2430"/>
    <n v="26204"/>
    <n v="0"/>
    <s v="No"/>
    <n v="23"/>
    <n v="4"/>
    <n v="1"/>
    <n v="2"/>
    <n v="6"/>
    <n v="5"/>
    <n v="3"/>
    <n v="5"/>
    <n v="3"/>
    <n v="4"/>
    <n v="2"/>
    <x v="0"/>
  </r>
  <r>
    <n v="32"/>
    <x v="1"/>
    <s v="Travel_Rarely"/>
    <n v="824"/>
    <s v="Research &amp; Development"/>
    <n v="5"/>
    <n v="2"/>
    <s v="Life Sciences"/>
    <n v="1555"/>
    <n v="4"/>
    <s v="Female"/>
    <n v="67"/>
    <n v="2"/>
    <n v="2"/>
    <s v="Research Scientist"/>
    <n v="2"/>
    <s v="Married"/>
    <n v="5878"/>
    <n v="15624"/>
    <n v="3"/>
    <s v="No"/>
    <n v="12"/>
    <n v="3"/>
    <n v="1"/>
    <n v="1"/>
    <n v="12"/>
    <n v="2"/>
    <n v="3"/>
    <n v="7"/>
    <n v="1"/>
    <n v="2"/>
    <n v="5"/>
    <x v="2"/>
  </r>
  <r>
    <n v="36"/>
    <x v="1"/>
    <s v="Travel_Rarely"/>
    <n v="1157"/>
    <s v="Sales"/>
    <n v="2"/>
    <n v="4"/>
    <s v="Life Sciences"/>
    <n v="1556"/>
    <n v="3"/>
    <s v="Male"/>
    <n v="70"/>
    <n v="3"/>
    <n v="1"/>
    <s v="Sales Representative"/>
    <n v="4"/>
    <s v="Single"/>
    <n v="2644"/>
    <n v="17001"/>
    <n v="3"/>
    <s v="Yes"/>
    <n v="21"/>
    <n v="4"/>
    <n v="4"/>
    <n v="0"/>
    <n v="7"/>
    <n v="3"/>
    <n v="2"/>
    <n v="3"/>
    <n v="2"/>
    <n v="1"/>
    <n v="2"/>
    <x v="0"/>
  </r>
  <r>
    <n v="48"/>
    <x v="1"/>
    <s v="Travel_Rarely"/>
    <n v="492"/>
    <s v="Sales"/>
    <n v="16"/>
    <n v="4"/>
    <s v="Life Sciences"/>
    <n v="1557"/>
    <n v="3"/>
    <s v="Female"/>
    <n v="96"/>
    <n v="3"/>
    <n v="2"/>
    <s v="Sales Executive"/>
    <n v="3"/>
    <s v="Divorced"/>
    <n v="6439"/>
    <n v="13693"/>
    <n v="8"/>
    <s v="No"/>
    <n v="14"/>
    <n v="3"/>
    <n v="3"/>
    <n v="1"/>
    <n v="18"/>
    <n v="2"/>
    <n v="3"/>
    <n v="8"/>
    <n v="7"/>
    <n v="7"/>
    <n v="7"/>
    <x v="1"/>
  </r>
  <r>
    <n v="29"/>
    <x v="1"/>
    <s v="Travel_Rarely"/>
    <n v="598"/>
    <s v="Research &amp; Development"/>
    <n v="9"/>
    <n v="3"/>
    <s v="Life Sciences"/>
    <n v="1558"/>
    <n v="3"/>
    <s v="Male"/>
    <n v="91"/>
    <n v="4"/>
    <n v="1"/>
    <s v="Research Scientist"/>
    <n v="3"/>
    <s v="Married"/>
    <n v="2451"/>
    <n v="22376"/>
    <n v="6"/>
    <s v="No"/>
    <n v="18"/>
    <n v="3"/>
    <n v="1"/>
    <n v="2"/>
    <n v="5"/>
    <n v="2"/>
    <n v="2"/>
    <n v="1"/>
    <n v="0"/>
    <n v="0"/>
    <n v="0"/>
    <x v="2"/>
  </r>
  <r>
    <n v="33"/>
    <x v="1"/>
    <s v="Travel_Rarely"/>
    <n v="1242"/>
    <s v="Sales"/>
    <n v="8"/>
    <n v="4"/>
    <s v="Life Sciences"/>
    <n v="1560"/>
    <n v="1"/>
    <s v="Male"/>
    <n v="46"/>
    <n v="3"/>
    <n v="2"/>
    <s v="Sales Executive"/>
    <n v="1"/>
    <s v="Married"/>
    <n v="6392"/>
    <n v="10589"/>
    <n v="2"/>
    <s v="No"/>
    <n v="13"/>
    <n v="3"/>
    <n v="4"/>
    <n v="1"/>
    <n v="8"/>
    <n v="6"/>
    <n v="1"/>
    <n v="2"/>
    <n v="2"/>
    <n v="2"/>
    <n v="2"/>
    <x v="2"/>
  </r>
  <r>
    <n v="30"/>
    <x v="0"/>
    <s v="Travel_Rarely"/>
    <n v="740"/>
    <s v="Sales"/>
    <n v="1"/>
    <n v="3"/>
    <s v="Life Sciences"/>
    <n v="1562"/>
    <n v="2"/>
    <s v="Male"/>
    <n v="64"/>
    <n v="2"/>
    <n v="2"/>
    <s v="Sales Executive"/>
    <n v="1"/>
    <s v="Married"/>
    <n v="9714"/>
    <n v="5323"/>
    <n v="1"/>
    <s v="No"/>
    <n v="11"/>
    <n v="3"/>
    <n v="4"/>
    <n v="1"/>
    <n v="10"/>
    <n v="4"/>
    <n v="3"/>
    <n v="10"/>
    <n v="8"/>
    <n v="6"/>
    <n v="7"/>
    <x v="2"/>
  </r>
  <r>
    <n v="38"/>
    <x v="1"/>
    <s v="Travel_Frequently"/>
    <n v="888"/>
    <s v="Human Resources"/>
    <n v="10"/>
    <n v="4"/>
    <s v="Human Resources"/>
    <n v="1563"/>
    <n v="3"/>
    <s v="Male"/>
    <n v="71"/>
    <n v="3"/>
    <n v="2"/>
    <s v="Human Resources"/>
    <n v="3"/>
    <s v="Married"/>
    <n v="6077"/>
    <n v="14814"/>
    <n v="3"/>
    <s v="No"/>
    <n v="11"/>
    <n v="3"/>
    <n v="3"/>
    <n v="0"/>
    <n v="10"/>
    <n v="2"/>
    <n v="3"/>
    <n v="6"/>
    <n v="3"/>
    <n v="1"/>
    <n v="2"/>
    <x v="0"/>
  </r>
  <r>
    <n v="35"/>
    <x v="1"/>
    <s v="Travel_Rarely"/>
    <n v="992"/>
    <s v="Research &amp; Development"/>
    <n v="1"/>
    <n v="3"/>
    <s v="Medical"/>
    <n v="1564"/>
    <n v="4"/>
    <s v="Male"/>
    <n v="68"/>
    <n v="2"/>
    <n v="1"/>
    <s v="Laboratory Technician"/>
    <n v="1"/>
    <s v="Single"/>
    <n v="2450"/>
    <n v="21731"/>
    <n v="1"/>
    <s v="No"/>
    <n v="19"/>
    <n v="3"/>
    <n v="2"/>
    <n v="0"/>
    <n v="3"/>
    <n v="3"/>
    <n v="3"/>
    <n v="3"/>
    <n v="0"/>
    <n v="1"/>
    <n v="2"/>
    <x v="0"/>
  </r>
  <r>
    <n v="30"/>
    <x v="1"/>
    <s v="Travel_Rarely"/>
    <n v="1288"/>
    <s v="Sales"/>
    <n v="29"/>
    <n v="4"/>
    <s v="Technical Degree"/>
    <n v="1568"/>
    <n v="3"/>
    <s v="Male"/>
    <n v="33"/>
    <n v="3"/>
    <n v="3"/>
    <s v="Sales Executive"/>
    <n v="2"/>
    <s v="Married"/>
    <n v="9250"/>
    <n v="17799"/>
    <n v="3"/>
    <s v="No"/>
    <n v="12"/>
    <n v="3"/>
    <n v="2"/>
    <n v="1"/>
    <n v="9"/>
    <n v="3"/>
    <n v="3"/>
    <n v="4"/>
    <n v="2"/>
    <n v="1"/>
    <n v="3"/>
    <x v="2"/>
  </r>
  <r>
    <n v="35"/>
    <x v="0"/>
    <s v="Travel_Rarely"/>
    <n v="104"/>
    <s v="Research &amp; Development"/>
    <n v="2"/>
    <n v="3"/>
    <s v="Life Sciences"/>
    <n v="1569"/>
    <n v="1"/>
    <s v="Female"/>
    <n v="69"/>
    <n v="3"/>
    <n v="1"/>
    <s v="Laboratory Technician"/>
    <n v="1"/>
    <s v="Divorced"/>
    <n v="2074"/>
    <n v="26619"/>
    <n v="1"/>
    <s v="Yes"/>
    <n v="12"/>
    <n v="3"/>
    <n v="4"/>
    <n v="1"/>
    <n v="1"/>
    <n v="2"/>
    <n v="3"/>
    <n v="1"/>
    <n v="0"/>
    <n v="0"/>
    <n v="0"/>
    <x v="0"/>
  </r>
  <r>
    <n v="53"/>
    <x v="0"/>
    <s v="Travel_Rarely"/>
    <n v="607"/>
    <s v="Research &amp; Development"/>
    <n v="2"/>
    <n v="5"/>
    <s v="Technical Degree"/>
    <n v="1572"/>
    <n v="3"/>
    <s v="Female"/>
    <n v="78"/>
    <n v="2"/>
    <n v="3"/>
    <s v="Manufacturing Director"/>
    <n v="4"/>
    <s v="Married"/>
    <n v="10169"/>
    <n v="14618"/>
    <n v="0"/>
    <s v="No"/>
    <n v="16"/>
    <n v="3"/>
    <n v="2"/>
    <n v="1"/>
    <n v="34"/>
    <n v="4"/>
    <n v="3"/>
    <n v="33"/>
    <n v="7"/>
    <n v="1"/>
    <n v="9"/>
    <x v="1"/>
  </r>
  <r>
    <n v="38"/>
    <x v="0"/>
    <s v="Travel_Rarely"/>
    <n v="903"/>
    <s v="Research &amp; Development"/>
    <n v="2"/>
    <n v="3"/>
    <s v="Medical"/>
    <n v="1573"/>
    <n v="3"/>
    <s v="Male"/>
    <n v="81"/>
    <n v="3"/>
    <n v="2"/>
    <s v="Manufacturing Director"/>
    <n v="2"/>
    <s v="Married"/>
    <n v="4855"/>
    <n v="7653"/>
    <n v="4"/>
    <s v="No"/>
    <n v="11"/>
    <n v="3"/>
    <n v="1"/>
    <n v="2"/>
    <n v="7"/>
    <n v="2"/>
    <n v="3"/>
    <n v="5"/>
    <n v="2"/>
    <n v="1"/>
    <n v="4"/>
    <x v="0"/>
  </r>
  <r>
    <n v="32"/>
    <x v="1"/>
    <s v="Non-Travel"/>
    <n v="1200"/>
    <s v="Research &amp; Development"/>
    <n v="1"/>
    <n v="4"/>
    <s v="Technical Degree"/>
    <n v="1574"/>
    <n v="4"/>
    <s v="Male"/>
    <n v="62"/>
    <n v="3"/>
    <n v="2"/>
    <s v="Research Scientist"/>
    <n v="1"/>
    <s v="Married"/>
    <n v="4087"/>
    <n v="25174"/>
    <n v="4"/>
    <s v="No"/>
    <n v="14"/>
    <n v="3"/>
    <n v="2"/>
    <n v="1"/>
    <n v="9"/>
    <n v="3"/>
    <n v="2"/>
    <n v="6"/>
    <n v="5"/>
    <n v="1"/>
    <n v="2"/>
    <x v="2"/>
  </r>
  <r>
    <n v="48"/>
    <x v="1"/>
    <s v="Travel_Rarely"/>
    <n v="1108"/>
    <s v="Research &amp; Development"/>
    <n v="15"/>
    <n v="4"/>
    <s v="Other"/>
    <n v="1576"/>
    <n v="3"/>
    <s v="Female"/>
    <n v="65"/>
    <n v="3"/>
    <n v="1"/>
    <s v="Research Scientist"/>
    <n v="1"/>
    <s v="Married"/>
    <n v="2367"/>
    <n v="16530"/>
    <n v="8"/>
    <s v="No"/>
    <n v="12"/>
    <n v="3"/>
    <n v="4"/>
    <n v="1"/>
    <n v="10"/>
    <n v="3"/>
    <n v="2"/>
    <n v="8"/>
    <n v="2"/>
    <n v="7"/>
    <n v="6"/>
    <x v="1"/>
  </r>
  <r>
    <n v="34"/>
    <x v="1"/>
    <s v="Travel_Rarely"/>
    <n v="479"/>
    <s v="Research &amp; Development"/>
    <n v="7"/>
    <n v="4"/>
    <s v="Medical"/>
    <n v="1577"/>
    <n v="1"/>
    <s v="Male"/>
    <n v="35"/>
    <n v="3"/>
    <n v="1"/>
    <s v="Research Scientist"/>
    <n v="4"/>
    <s v="Single"/>
    <n v="2972"/>
    <n v="22061"/>
    <n v="1"/>
    <s v="No"/>
    <n v="13"/>
    <n v="3"/>
    <n v="3"/>
    <n v="0"/>
    <n v="1"/>
    <n v="4"/>
    <n v="1"/>
    <n v="1"/>
    <n v="0"/>
    <n v="0"/>
    <n v="0"/>
    <x v="2"/>
  </r>
  <r>
    <n v="55"/>
    <x v="1"/>
    <s v="Travel_Rarely"/>
    <n v="685"/>
    <s v="Sales"/>
    <n v="26"/>
    <n v="5"/>
    <s v="Marketing"/>
    <n v="1578"/>
    <n v="3"/>
    <s v="Male"/>
    <n v="60"/>
    <n v="2"/>
    <n v="5"/>
    <s v="Manager"/>
    <n v="4"/>
    <s v="Married"/>
    <n v="19586"/>
    <n v="23037"/>
    <n v="1"/>
    <s v="No"/>
    <n v="21"/>
    <n v="4"/>
    <n v="3"/>
    <n v="1"/>
    <n v="36"/>
    <n v="3"/>
    <n v="3"/>
    <n v="36"/>
    <n v="6"/>
    <n v="2"/>
    <n v="13"/>
    <x v="3"/>
  </r>
  <r>
    <n v="34"/>
    <x v="1"/>
    <s v="Travel_Rarely"/>
    <n v="1351"/>
    <s v="Research &amp; Development"/>
    <n v="1"/>
    <n v="4"/>
    <s v="Life Sciences"/>
    <n v="1580"/>
    <n v="2"/>
    <s v="Male"/>
    <n v="45"/>
    <n v="3"/>
    <n v="2"/>
    <s v="Research Scientist"/>
    <n v="4"/>
    <s v="Married"/>
    <n v="5484"/>
    <n v="13008"/>
    <n v="9"/>
    <s v="No"/>
    <n v="17"/>
    <n v="3"/>
    <n v="2"/>
    <n v="1"/>
    <n v="9"/>
    <n v="3"/>
    <n v="2"/>
    <n v="2"/>
    <n v="2"/>
    <n v="2"/>
    <n v="1"/>
    <x v="2"/>
  </r>
  <r>
    <n v="26"/>
    <x v="1"/>
    <s v="Travel_Rarely"/>
    <n v="474"/>
    <s v="Research &amp; Development"/>
    <n v="3"/>
    <n v="3"/>
    <s v="Life Sciences"/>
    <n v="1581"/>
    <n v="1"/>
    <s v="Female"/>
    <n v="89"/>
    <n v="3"/>
    <n v="1"/>
    <s v="Research Scientist"/>
    <n v="4"/>
    <s v="Married"/>
    <n v="2061"/>
    <n v="11133"/>
    <n v="1"/>
    <s v="No"/>
    <n v="21"/>
    <n v="4"/>
    <n v="1"/>
    <n v="0"/>
    <n v="1"/>
    <n v="5"/>
    <n v="3"/>
    <n v="1"/>
    <n v="0"/>
    <n v="0"/>
    <n v="0"/>
    <x v="2"/>
  </r>
  <r>
    <n v="38"/>
    <x v="1"/>
    <s v="Travel_Rarely"/>
    <n v="1245"/>
    <s v="Sales"/>
    <n v="14"/>
    <n v="3"/>
    <s v="Life Sciences"/>
    <n v="1582"/>
    <n v="3"/>
    <s v="Male"/>
    <n v="80"/>
    <n v="3"/>
    <n v="2"/>
    <s v="Sales Executive"/>
    <n v="2"/>
    <s v="Married"/>
    <n v="9924"/>
    <n v="12355"/>
    <n v="0"/>
    <s v="No"/>
    <n v="11"/>
    <n v="3"/>
    <n v="4"/>
    <n v="1"/>
    <n v="10"/>
    <n v="3"/>
    <n v="3"/>
    <n v="9"/>
    <n v="8"/>
    <n v="7"/>
    <n v="7"/>
    <x v="0"/>
  </r>
  <r>
    <n v="38"/>
    <x v="1"/>
    <s v="Travel_Rarely"/>
    <n v="437"/>
    <s v="Sales"/>
    <n v="16"/>
    <n v="3"/>
    <s v="Life Sciences"/>
    <n v="1583"/>
    <n v="2"/>
    <s v="Female"/>
    <n v="90"/>
    <n v="3"/>
    <n v="2"/>
    <s v="Sales Executive"/>
    <n v="2"/>
    <s v="Single"/>
    <n v="4198"/>
    <n v="16379"/>
    <n v="2"/>
    <s v="No"/>
    <n v="12"/>
    <n v="3"/>
    <n v="2"/>
    <n v="0"/>
    <n v="8"/>
    <n v="5"/>
    <n v="4"/>
    <n v="3"/>
    <n v="2"/>
    <n v="1"/>
    <n v="2"/>
    <x v="0"/>
  </r>
  <r>
    <n v="36"/>
    <x v="1"/>
    <s v="Travel_Rarely"/>
    <n v="884"/>
    <s v="Sales"/>
    <n v="1"/>
    <n v="4"/>
    <s v="Life Sciences"/>
    <n v="1585"/>
    <n v="2"/>
    <s v="Female"/>
    <n v="73"/>
    <n v="3"/>
    <n v="2"/>
    <s v="Sales Executive"/>
    <n v="3"/>
    <s v="Single"/>
    <n v="6815"/>
    <n v="21447"/>
    <n v="6"/>
    <s v="No"/>
    <n v="13"/>
    <n v="3"/>
    <n v="1"/>
    <n v="0"/>
    <n v="15"/>
    <n v="5"/>
    <n v="3"/>
    <n v="1"/>
    <n v="0"/>
    <n v="0"/>
    <n v="0"/>
    <x v="0"/>
  </r>
  <r>
    <n v="29"/>
    <x v="1"/>
    <s v="Travel_Rarely"/>
    <n v="1370"/>
    <s v="Research &amp; Development"/>
    <n v="3"/>
    <n v="1"/>
    <s v="Medical"/>
    <n v="1586"/>
    <n v="2"/>
    <s v="Male"/>
    <n v="87"/>
    <n v="3"/>
    <n v="1"/>
    <s v="Laboratory Technician"/>
    <n v="1"/>
    <s v="Single"/>
    <n v="4723"/>
    <n v="16213"/>
    <n v="1"/>
    <s v="Yes"/>
    <n v="18"/>
    <n v="3"/>
    <n v="4"/>
    <n v="0"/>
    <n v="10"/>
    <n v="3"/>
    <n v="3"/>
    <n v="10"/>
    <n v="9"/>
    <n v="1"/>
    <n v="5"/>
    <x v="2"/>
  </r>
  <r>
    <n v="35"/>
    <x v="1"/>
    <s v="Travel_Rarely"/>
    <n v="670"/>
    <s v="Research &amp; Development"/>
    <n v="10"/>
    <n v="4"/>
    <s v="Medical"/>
    <n v="1587"/>
    <n v="1"/>
    <s v="Female"/>
    <n v="51"/>
    <n v="3"/>
    <n v="2"/>
    <s v="Healthcare Representative"/>
    <n v="3"/>
    <s v="Single"/>
    <n v="6142"/>
    <n v="4223"/>
    <n v="3"/>
    <s v="Yes"/>
    <n v="16"/>
    <n v="3"/>
    <n v="3"/>
    <n v="0"/>
    <n v="10"/>
    <n v="4"/>
    <n v="3"/>
    <n v="5"/>
    <n v="2"/>
    <n v="0"/>
    <n v="4"/>
    <x v="0"/>
  </r>
  <r>
    <n v="39"/>
    <x v="1"/>
    <s v="Travel_Rarely"/>
    <n v="1462"/>
    <s v="Sales"/>
    <n v="6"/>
    <n v="3"/>
    <s v="Medical"/>
    <n v="1588"/>
    <n v="4"/>
    <s v="Male"/>
    <n v="38"/>
    <n v="4"/>
    <n v="3"/>
    <s v="Sales Executive"/>
    <n v="3"/>
    <s v="Married"/>
    <n v="8237"/>
    <n v="4658"/>
    <n v="2"/>
    <s v="No"/>
    <n v="11"/>
    <n v="3"/>
    <n v="1"/>
    <n v="1"/>
    <n v="11"/>
    <n v="3"/>
    <n v="3"/>
    <n v="7"/>
    <n v="6"/>
    <n v="7"/>
    <n v="6"/>
    <x v="0"/>
  </r>
  <r>
    <n v="29"/>
    <x v="1"/>
    <s v="Travel_Frequently"/>
    <n v="995"/>
    <s v="Research &amp; Development"/>
    <n v="2"/>
    <n v="1"/>
    <s v="Life Sciences"/>
    <n v="1590"/>
    <n v="1"/>
    <s v="Male"/>
    <n v="87"/>
    <n v="3"/>
    <n v="2"/>
    <s v="Healthcare Representative"/>
    <n v="4"/>
    <s v="Divorced"/>
    <n v="8853"/>
    <n v="24483"/>
    <n v="1"/>
    <s v="No"/>
    <n v="19"/>
    <n v="3"/>
    <n v="4"/>
    <n v="1"/>
    <n v="6"/>
    <n v="0"/>
    <n v="4"/>
    <n v="6"/>
    <n v="4"/>
    <n v="1"/>
    <n v="3"/>
    <x v="2"/>
  </r>
  <r>
    <n v="50"/>
    <x v="1"/>
    <s v="Travel_Rarely"/>
    <n v="264"/>
    <s v="Sales"/>
    <n v="9"/>
    <n v="3"/>
    <s v="Marketing"/>
    <n v="1591"/>
    <n v="3"/>
    <s v="Male"/>
    <n v="59"/>
    <n v="3"/>
    <n v="5"/>
    <s v="Manager"/>
    <n v="3"/>
    <s v="Married"/>
    <n v="19331"/>
    <n v="19519"/>
    <n v="4"/>
    <s v="Yes"/>
    <n v="16"/>
    <n v="3"/>
    <n v="3"/>
    <n v="1"/>
    <n v="27"/>
    <n v="2"/>
    <n v="3"/>
    <n v="1"/>
    <n v="0"/>
    <n v="0"/>
    <n v="0"/>
    <x v="1"/>
  </r>
  <r>
    <n v="23"/>
    <x v="1"/>
    <s v="Travel_Rarely"/>
    <n v="977"/>
    <s v="Research &amp; Development"/>
    <n v="10"/>
    <n v="3"/>
    <s v="Technical Degree"/>
    <n v="1592"/>
    <n v="4"/>
    <s v="Male"/>
    <n v="45"/>
    <n v="4"/>
    <n v="1"/>
    <s v="Research Scientist"/>
    <n v="3"/>
    <s v="Married"/>
    <n v="2073"/>
    <n v="12826"/>
    <n v="2"/>
    <s v="No"/>
    <n v="16"/>
    <n v="3"/>
    <n v="4"/>
    <n v="1"/>
    <n v="4"/>
    <n v="2"/>
    <n v="3"/>
    <n v="2"/>
    <n v="2"/>
    <n v="2"/>
    <n v="2"/>
    <x v="2"/>
  </r>
  <r>
    <n v="36"/>
    <x v="1"/>
    <s v="Travel_Frequently"/>
    <n v="1302"/>
    <s v="Research &amp; Development"/>
    <n v="6"/>
    <n v="4"/>
    <s v="Life Sciences"/>
    <n v="1594"/>
    <n v="1"/>
    <s v="Male"/>
    <n v="80"/>
    <n v="4"/>
    <n v="2"/>
    <s v="Laboratory Technician"/>
    <n v="1"/>
    <s v="Married"/>
    <n v="5562"/>
    <n v="19711"/>
    <n v="3"/>
    <s v="Yes"/>
    <n v="13"/>
    <n v="3"/>
    <n v="4"/>
    <n v="1"/>
    <n v="9"/>
    <n v="3"/>
    <n v="3"/>
    <n v="3"/>
    <n v="2"/>
    <n v="0"/>
    <n v="2"/>
    <x v="0"/>
  </r>
  <r>
    <n v="42"/>
    <x v="1"/>
    <s v="Travel_Rarely"/>
    <n v="1059"/>
    <s v="Research &amp; Development"/>
    <n v="9"/>
    <n v="2"/>
    <s v="Other"/>
    <n v="1595"/>
    <n v="4"/>
    <s v="Male"/>
    <n v="93"/>
    <n v="2"/>
    <n v="5"/>
    <s v="Manager"/>
    <n v="4"/>
    <s v="Single"/>
    <n v="19613"/>
    <n v="26362"/>
    <n v="8"/>
    <s v="No"/>
    <n v="22"/>
    <n v="4"/>
    <n v="4"/>
    <n v="0"/>
    <n v="24"/>
    <n v="2"/>
    <n v="3"/>
    <n v="1"/>
    <n v="0"/>
    <n v="0"/>
    <n v="1"/>
    <x v="0"/>
  </r>
  <r>
    <n v="35"/>
    <x v="1"/>
    <s v="Travel_Rarely"/>
    <n v="750"/>
    <s v="Research &amp; Development"/>
    <n v="28"/>
    <n v="3"/>
    <s v="Life Sciences"/>
    <n v="1596"/>
    <n v="2"/>
    <s v="Male"/>
    <n v="46"/>
    <n v="4"/>
    <n v="2"/>
    <s v="Laboratory Technician"/>
    <n v="3"/>
    <s v="Married"/>
    <n v="3407"/>
    <n v="25348"/>
    <n v="1"/>
    <s v="No"/>
    <n v="17"/>
    <n v="3"/>
    <n v="4"/>
    <n v="2"/>
    <n v="10"/>
    <n v="3"/>
    <n v="2"/>
    <n v="10"/>
    <n v="9"/>
    <n v="6"/>
    <n v="8"/>
    <x v="0"/>
  </r>
  <r>
    <n v="34"/>
    <x v="1"/>
    <s v="Travel_Frequently"/>
    <n v="653"/>
    <s v="Research &amp; Development"/>
    <n v="10"/>
    <n v="4"/>
    <s v="Technical Degree"/>
    <n v="1597"/>
    <n v="4"/>
    <s v="Male"/>
    <n v="92"/>
    <n v="2"/>
    <n v="2"/>
    <s v="Healthcare Representative"/>
    <n v="3"/>
    <s v="Married"/>
    <n v="5063"/>
    <n v="15332"/>
    <n v="1"/>
    <s v="No"/>
    <n v="14"/>
    <n v="3"/>
    <n v="2"/>
    <n v="1"/>
    <n v="8"/>
    <n v="3"/>
    <n v="2"/>
    <n v="8"/>
    <n v="2"/>
    <n v="7"/>
    <n v="7"/>
    <x v="2"/>
  </r>
  <r>
    <n v="40"/>
    <x v="1"/>
    <s v="Travel_Rarely"/>
    <n v="118"/>
    <s v="Sales"/>
    <n v="14"/>
    <n v="2"/>
    <s v="Life Sciences"/>
    <n v="1598"/>
    <n v="4"/>
    <s v="Female"/>
    <n v="84"/>
    <n v="3"/>
    <n v="2"/>
    <s v="Sales Executive"/>
    <n v="1"/>
    <s v="Married"/>
    <n v="4639"/>
    <n v="11262"/>
    <n v="1"/>
    <s v="No"/>
    <n v="15"/>
    <n v="3"/>
    <n v="3"/>
    <n v="1"/>
    <n v="5"/>
    <n v="2"/>
    <n v="3"/>
    <n v="5"/>
    <n v="4"/>
    <n v="1"/>
    <n v="2"/>
    <x v="0"/>
  </r>
  <r>
    <n v="43"/>
    <x v="1"/>
    <s v="Travel_Rarely"/>
    <n v="990"/>
    <s v="Research &amp; Development"/>
    <n v="27"/>
    <n v="3"/>
    <s v="Technical Degree"/>
    <n v="1599"/>
    <n v="4"/>
    <s v="Male"/>
    <n v="87"/>
    <n v="4"/>
    <n v="1"/>
    <s v="Laboratory Technician"/>
    <n v="2"/>
    <s v="Divorced"/>
    <n v="4876"/>
    <n v="5855"/>
    <n v="5"/>
    <s v="No"/>
    <n v="12"/>
    <n v="3"/>
    <n v="3"/>
    <n v="1"/>
    <n v="8"/>
    <n v="0"/>
    <n v="3"/>
    <n v="6"/>
    <n v="4"/>
    <n v="0"/>
    <n v="2"/>
    <x v="0"/>
  </r>
  <r>
    <n v="35"/>
    <x v="1"/>
    <s v="Travel_Rarely"/>
    <n v="1349"/>
    <s v="Research &amp; Development"/>
    <n v="7"/>
    <n v="2"/>
    <s v="Life Sciences"/>
    <n v="1601"/>
    <n v="3"/>
    <s v="Male"/>
    <n v="63"/>
    <n v="2"/>
    <n v="1"/>
    <s v="Laboratory Technician"/>
    <n v="4"/>
    <s v="Married"/>
    <n v="2690"/>
    <n v="7713"/>
    <n v="1"/>
    <s v="No"/>
    <n v="18"/>
    <n v="3"/>
    <n v="4"/>
    <n v="1"/>
    <n v="1"/>
    <n v="5"/>
    <n v="2"/>
    <n v="1"/>
    <n v="0"/>
    <n v="0"/>
    <n v="1"/>
    <x v="0"/>
  </r>
  <r>
    <n v="46"/>
    <x v="1"/>
    <s v="Travel_Rarely"/>
    <n v="563"/>
    <s v="Sales"/>
    <n v="1"/>
    <n v="4"/>
    <s v="Life Sciences"/>
    <n v="1602"/>
    <n v="4"/>
    <s v="Male"/>
    <n v="56"/>
    <n v="4"/>
    <n v="4"/>
    <s v="Manager"/>
    <n v="1"/>
    <s v="Single"/>
    <n v="17567"/>
    <n v="3156"/>
    <n v="1"/>
    <s v="No"/>
    <n v="15"/>
    <n v="3"/>
    <n v="2"/>
    <n v="0"/>
    <n v="27"/>
    <n v="5"/>
    <n v="1"/>
    <n v="26"/>
    <n v="0"/>
    <n v="0"/>
    <n v="12"/>
    <x v="1"/>
  </r>
  <r>
    <n v="28"/>
    <x v="0"/>
    <s v="Travel_Rarely"/>
    <n v="329"/>
    <s v="Research &amp; Development"/>
    <n v="24"/>
    <n v="3"/>
    <s v="Medical"/>
    <n v="1604"/>
    <n v="3"/>
    <s v="Male"/>
    <n v="51"/>
    <n v="3"/>
    <n v="1"/>
    <s v="Laboratory Technician"/>
    <n v="2"/>
    <s v="Married"/>
    <n v="2408"/>
    <n v="7324"/>
    <n v="1"/>
    <s v="Yes"/>
    <n v="17"/>
    <n v="3"/>
    <n v="3"/>
    <n v="3"/>
    <n v="1"/>
    <n v="3"/>
    <n v="3"/>
    <n v="1"/>
    <n v="1"/>
    <n v="0"/>
    <n v="0"/>
    <x v="2"/>
  </r>
  <r>
    <n v="22"/>
    <x v="1"/>
    <s v="Non-Travel"/>
    <n v="457"/>
    <s v="Research &amp; Development"/>
    <n v="26"/>
    <n v="2"/>
    <s v="Other"/>
    <n v="1605"/>
    <n v="2"/>
    <s v="Female"/>
    <n v="85"/>
    <n v="2"/>
    <n v="1"/>
    <s v="Research Scientist"/>
    <n v="3"/>
    <s v="Married"/>
    <n v="2814"/>
    <n v="10293"/>
    <n v="1"/>
    <s v="Yes"/>
    <n v="14"/>
    <n v="3"/>
    <n v="2"/>
    <n v="0"/>
    <n v="4"/>
    <n v="2"/>
    <n v="2"/>
    <n v="4"/>
    <n v="2"/>
    <n v="1"/>
    <n v="3"/>
    <x v="2"/>
  </r>
  <r>
    <n v="50"/>
    <x v="1"/>
    <s v="Travel_Frequently"/>
    <n v="1234"/>
    <s v="Research &amp; Development"/>
    <n v="20"/>
    <n v="5"/>
    <s v="Medical"/>
    <n v="1606"/>
    <n v="2"/>
    <s v="Male"/>
    <n v="41"/>
    <n v="3"/>
    <n v="4"/>
    <s v="Healthcare Representative"/>
    <n v="3"/>
    <s v="Married"/>
    <n v="11245"/>
    <n v="20689"/>
    <n v="2"/>
    <s v="Yes"/>
    <n v="15"/>
    <n v="3"/>
    <n v="3"/>
    <n v="1"/>
    <n v="32"/>
    <n v="3"/>
    <n v="3"/>
    <n v="30"/>
    <n v="8"/>
    <n v="12"/>
    <n v="13"/>
    <x v="1"/>
  </r>
  <r>
    <n v="32"/>
    <x v="1"/>
    <s v="Travel_Rarely"/>
    <n v="634"/>
    <s v="Research &amp; Development"/>
    <n v="5"/>
    <n v="4"/>
    <s v="Other"/>
    <n v="1607"/>
    <n v="2"/>
    <s v="Female"/>
    <n v="35"/>
    <n v="4"/>
    <n v="1"/>
    <s v="Research Scientist"/>
    <n v="4"/>
    <s v="Married"/>
    <n v="3312"/>
    <n v="18783"/>
    <n v="3"/>
    <s v="No"/>
    <n v="17"/>
    <n v="3"/>
    <n v="4"/>
    <n v="2"/>
    <n v="6"/>
    <n v="3"/>
    <n v="3"/>
    <n v="3"/>
    <n v="2"/>
    <n v="0"/>
    <n v="2"/>
    <x v="2"/>
  </r>
  <r>
    <n v="44"/>
    <x v="1"/>
    <s v="Travel_Rarely"/>
    <n v="1313"/>
    <s v="Research &amp; Development"/>
    <n v="7"/>
    <n v="3"/>
    <s v="Medical"/>
    <n v="1608"/>
    <n v="2"/>
    <s v="Female"/>
    <n v="31"/>
    <n v="3"/>
    <n v="5"/>
    <s v="Research Director"/>
    <n v="4"/>
    <s v="Divorced"/>
    <n v="19049"/>
    <n v="3549"/>
    <n v="0"/>
    <s v="Yes"/>
    <n v="14"/>
    <n v="3"/>
    <n v="4"/>
    <n v="1"/>
    <n v="23"/>
    <n v="4"/>
    <n v="2"/>
    <n v="22"/>
    <n v="7"/>
    <n v="1"/>
    <n v="10"/>
    <x v="0"/>
  </r>
  <r>
    <n v="30"/>
    <x v="1"/>
    <s v="Travel_Rarely"/>
    <n v="241"/>
    <s v="Research &amp; Development"/>
    <n v="7"/>
    <n v="3"/>
    <s v="Medical"/>
    <n v="1609"/>
    <n v="2"/>
    <s v="Male"/>
    <n v="48"/>
    <n v="2"/>
    <n v="1"/>
    <s v="Research Scientist"/>
    <n v="2"/>
    <s v="Married"/>
    <n v="2141"/>
    <n v="5348"/>
    <n v="1"/>
    <s v="No"/>
    <n v="12"/>
    <n v="3"/>
    <n v="2"/>
    <n v="1"/>
    <n v="6"/>
    <n v="3"/>
    <n v="2"/>
    <n v="6"/>
    <n v="4"/>
    <n v="1"/>
    <n v="1"/>
    <x v="2"/>
  </r>
  <r>
    <n v="45"/>
    <x v="1"/>
    <s v="Travel_Rarely"/>
    <n v="1015"/>
    <s v="Research &amp; Development"/>
    <n v="5"/>
    <n v="5"/>
    <s v="Medical"/>
    <n v="1611"/>
    <n v="3"/>
    <s v="Female"/>
    <n v="50"/>
    <n v="1"/>
    <n v="2"/>
    <s v="Laboratory Technician"/>
    <n v="1"/>
    <s v="Single"/>
    <n v="5769"/>
    <n v="23447"/>
    <n v="1"/>
    <s v="Yes"/>
    <n v="14"/>
    <n v="3"/>
    <n v="1"/>
    <n v="0"/>
    <n v="10"/>
    <n v="3"/>
    <n v="3"/>
    <n v="10"/>
    <n v="7"/>
    <n v="1"/>
    <n v="4"/>
    <x v="1"/>
  </r>
  <r>
    <n v="45"/>
    <x v="1"/>
    <s v="Non-Travel"/>
    <n v="336"/>
    <s v="Sales"/>
    <n v="26"/>
    <n v="3"/>
    <s v="Marketing"/>
    <n v="1612"/>
    <n v="1"/>
    <s v="Male"/>
    <n v="52"/>
    <n v="2"/>
    <n v="2"/>
    <s v="Sales Executive"/>
    <n v="1"/>
    <s v="Married"/>
    <n v="4385"/>
    <n v="24162"/>
    <n v="1"/>
    <s v="No"/>
    <n v="15"/>
    <n v="3"/>
    <n v="1"/>
    <n v="1"/>
    <n v="10"/>
    <n v="2"/>
    <n v="3"/>
    <n v="10"/>
    <n v="7"/>
    <n v="4"/>
    <n v="5"/>
    <x v="1"/>
  </r>
  <r>
    <n v="31"/>
    <x v="1"/>
    <s v="Travel_Frequently"/>
    <n v="715"/>
    <s v="Sales"/>
    <n v="2"/>
    <n v="4"/>
    <s v="Other"/>
    <n v="1613"/>
    <n v="4"/>
    <s v="Male"/>
    <n v="54"/>
    <n v="3"/>
    <n v="2"/>
    <s v="Sales Executive"/>
    <n v="1"/>
    <s v="Single"/>
    <n v="5332"/>
    <n v="21602"/>
    <n v="7"/>
    <s v="No"/>
    <n v="13"/>
    <n v="3"/>
    <n v="4"/>
    <n v="0"/>
    <n v="10"/>
    <n v="3"/>
    <n v="3"/>
    <n v="5"/>
    <n v="2"/>
    <n v="0"/>
    <n v="3"/>
    <x v="2"/>
  </r>
  <r>
    <n v="36"/>
    <x v="1"/>
    <s v="Travel_Rarely"/>
    <n v="559"/>
    <s v="Research &amp; Development"/>
    <n v="12"/>
    <n v="4"/>
    <s v="Life Sciences"/>
    <n v="1614"/>
    <n v="3"/>
    <s v="Female"/>
    <n v="76"/>
    <n v="3"/>
    <n v="2"/>
    <s v="Manufacturing Director"/>
    <n v="3"/>
    <s v="Married"/>
    <n v="4663"/>
    <n v="12421"/>
    <n v="9"/>
    <s v="Yes"/>
    <n v="12"/>
    <n v="3"/>
    <n v="2"/>
    <n v="2"/>
    <n v="7"/>
    <n v="2"/>
    <n v="3"/>
    <n v="3"/>
    <n v="2"/>
    <n v="1"/>
    <n v="1"/>
    <x v="0"/>
  </r>
  <r>
    <n v="34"/>
    <x v="1"/>
    <s v="Travel_Frequently"/>
    <n v="426"/>
    <s v="Research &amp; Development"/>
    <n v="10"/>
    <n v="4"/>
    <s v="Life Sciences"/>
    <n v="1615"/>
    <n v="3"/>
    <s v="Male"/>
    <n v="42"/>
    <n v="4"/>
    <n v="2"/>
    <s v="Manufacturing Director"/>
    <n v="4"/>
    <s v="Divorced"/>
    <n v="4724"/>
    <n v="17000"/>
    <n v="1"/>
    <s v="No"/>
    <n v="13"/>
    <n v="3"/>
    <n v="1"/>
    <n v="1"/>
    <n v="9"/>
    <n v="3"/>
    <n v="3"/>
    <n v="9"/>
    <n v="7"/>
    <n v="7"/>
    <n v="2"/>
    <x v="2"/>
  </r>
  <r>
    <n v="49"/>
    <x v="1"/>
    <s v="Travel_Rarely"/>
    <n v="722"/>
    <s v="Research &amp; Development"/>
    <n v="25"/>
    <n v="4"/>
    <s v="Life Sciences"/>
    <n v="1617"/>
    <n v="3"/>
    <s v="Female"/>
    <n v="84"/>
    <n v="3"/>
    <n v="1"/>
    <s v="Laboratory Technician"/>
    <n v="1"/>
    <s v="Married"/>
    <n v="3211"/>
    <n v="22102"/>
    <n v="1"/>
    <s v="No"/>
    <n v="14"/>
    <n v="3"/>
    <n v="4"/>
    <n v="1"/>
    <n v="10"/>
    <n v="3"/>
    <n v="2"/>
    <n v="9"/>
    <n v="6"/>
    <n v="1"/>
    <n v="4"/>
    <x v="1"/>
  </r>
  <r>
    <n v="39"/>
    <x v="1"/>
    <s v="Travel_Rarely"/>
    <n v="1387"/>
    <s v="Research &amp; Development"/>
    <n v="10"/>
    <n v="5"/>
    <s v="Medical"/>
    <n v="1618"/>
    <n v="2"/>
    <s v="Male"/>
    <n v="76"/>
    <n v="3"/>
    <n v="2"/>
    <s v="Manufacturing Director"/>
    <n v="1"/>
    <s v="Married"/>
    <n v="5377"/>
    <n v="3835"/>
    <n v="2"/>
    <s v="No"/>
    <n v="13"/>
    <n v="3"/>
    <n v="4"/>
    <n v="3"/>
    <n v="10"/>
    <n v="3"/>
    <n v="3"/>
    <n v="7"/>
    <n v="7"/>
    <n v="7"/>
    <n v="7"/>
    <x v="0"/>
  </r>
  <r>
    <n v="27"/>
    <x v="1"/>
    <s v="Travel_Rarely"/>
    <n v="1302"/>
    <s v="Research &amp; Development"/>
    <n v="19"/>
    <n v="3"/>
    <s v="Other"/>
    <n v="1619"/>
    <n v="4"/>
    <s v="Male"/>
    <n v="67"/>
    <n v="2"/>
    <n v="1"/>
    <s v="Laboratory Technician"/>
    <n v="1"/>
    <s v="Divorced"/>
    <n v="4066"/>
    <n v="16290"/>
    <n v="1"/>
    <s v="No"/>
    <n v="11"/>
    <n v="3"/>
    <n v="1"/>
    <n v="2"/>
    <n v="7"/>
    <n v="3"/>
    <n v="3"/>
    <n v="7"/>
    <n v="7"/>
    <n v="0"/>
    <n v="7"/>
    <x v="2"/>
  </r>
  <r>
    <n v="35"/>
    <x v="1"/>
    <s v="Travel_Rarely"/>
    <n v="819"/>
    <s v="Research &amp; Development"/>
    <n v="18"/>
    <n v="5"/>
    <s v="Life Sciences"/>
    <n v="1621"/>
    <n v="2"/>
    <s v="Male"/>
    <n v="48"/>
    <n v="4"/>
    <n v="2"/>
    <s v="Research Scientist"/>
    <n v="1"/>
    <s v="Married"/>
    <n v="5208"/>
    <n v="26312"/>
    <n v="1"/>
    <s v="No"/>
    <n v="11"/>
    <n v="3"/>
    <n v="4"/>
    <n v="0"/>
    <n v="16"/>
    <n v="2"/>
    <n v="3"/>
    <n v="16"/>
    <n v="15"/>
    <n v="1"/>
    <n v="10"/>
    <x v="0"/>
  </r>
  <r>
    <n v="28"/>
    <x v="1"/>
    <s v="Travel_Rarely"/>
    <n v="580"/>
    <s v="Research &amp; Development"/>
    <n v="27"/>
    <n v="3"/>
    <s v="Medical"/>
    <n v="1622"/>
    <n v="2"/>
    <s v="Female"/>
    <n v="39"/>
    <n v="1"/>
    <n v="2"/>
    <s v="Manufacturing Director"/>
    <n v="1"/>
    <s v="Divorced"/>
    <n v="4877"/>
    <n v="20460"/>
    <n v="0"/>
    <s v="No"/>
    <n v="21"/>
    <n v="4"/>
    <n v="2"/>
    <n v="1"/>
    <n v="6"/>
    <n v="5"/>
    <n v="2"/>
    <n v="5"/>
    <n v="3"/>
    <n v="0"/>
    <n v="0"/>
    <x v="2"/>
  </r>
  <r>
    <n v="21"/>
    <x v="1"/>
    <s v="Travel_Rarely"/>
    <n v="546"/>
    <s v="Research &amp; Development"/>
    <n v="5"/>
    <n v="1"/>
    <s v="Medical"/>
    <n v="1623"/>
    <n v="3"/>
    <s v="Male"/>
    <n v="97"/>
    <n v="3"/>
    <n v="1"/>
    <s v="Research Scientist"/>
    <n v="4"/>
    <s v="Single"/>
    <n v="3117"/>
    <n v="26009"/>
    <n v="1"/>
    <s v="No"/>
    <n v="18"/>
    <n v="3"/>
    <n v="3"/>
    <n v="0"/>
    <n v="3"/>
    <n v="2"/>
    <n v="3"/>
    <n v="2"/>
    <n v="2"/>
    <n v="2"/>
    <n v="2"/>
    <x v="2"/>
  </r>
  <r>
    <n v="18"/>
    <x v="0"/>
    <s v="Travel_Frequently"/>
    <n v="544"/>
    <s v="Sales"/>
    <n v="3"/>
    <n v="2"/>
    <s v="Medical"/>
    <n v="1624"/>
    <n v="2"/>
    <s v="Female"/>
    <n v="70"/>
    <n v="3"/>
    <n v="1"/>
    <s v="Sales Representative"/>
    <n v="4"/>
    <s v="Single"/>
    <n v="1569"/>
    <n v="18420"/>
    <n v="1"/>
    <s v="Yes"/>
    <n v="12"/>
    <n v="3"/>
    <n v="3"/>
    <n v="0"/>
    <n v="0"/>
    <n v="2"/>
    <n v="4"/>
    <n v="0"/>
    <n v="0"/>
    <n v="0"/>
    <n v="0"/>
    <x v="2"/>
  </r>
  <r>
    <n v="47"/>
    <x v="1"/>
    <s v="Travel_Rarely"/>
    <n v="1176"/>
    <s v="Human Resources"/>
    <n v="26"/>
    <n v="4"/>
    <s v="Life Sciences"/>
    <n v="1625"/>
    <n v="4"/>
    <s v="Female"/>
    <n v="98"/>
    <n v="3"/>
    <n v="5"/>
    <s v="Manager"/>
    <n v="3"/>
    <s v="Married"/>
    <n v="19658"/>
    <n v="5220"/>
    <n v="3"/>
    <s v="No"/>
    <n v="11"/>
    <n v="3"/>
    <n v="3"/>
    <n v="1"/>
    <n v="27"/>
    <n v="2"/>
    <n v="3"/>
    <n v="5"/>
    <n v="2"/>
    <n v="1"/>
    <n v="0"/>
    <x v="1"/>
  </r>
  <r>
    <n v="39"/>
    <x v="1"/>
    <s v="Travel_Rarely"/>
    <n v="170"/>
    <s v="Research &amp; Development"/>
    <n v="3"/>
    <n v="2"/>
    <s v="Medical"/>
    <n v="1627"/>
    <n v="3"/>
    <s v="Male"/>
    <n v="76"/>
    <n v="2"/>
    <n v="2"/>
    <s v="Laboratory Technician"/>
    <n v="3"/>
    <s v="Divorced"/>
    <n v="3069"/>
    <n v="10302"/>
    <n v="0"/>
    <s v="No"/>
    <n v="15"/>
    <n v="3"/>
    <n v="4"/>
    <n v="1"/>
    <n v="11"/>
    <n v="3"/>
    <n v="3"/>
    <n v="10"/>
    <n v="8"/>
    <n v="0"/>
    <n v="7"/>
    <x v="0"/>
  </r>
  <r>
    <n v="40"/>
    <x v="1"/>
    <s v="Travel_Rarely"/>
    <n v="884"/>
    <s v="Research &amp; Development"/>
    <n v="15"/>
    <n v="3"/>
    <s v="Life Sciences"/>
    <n v="1628"/>
    <n v="1"/>
    <s v="Female"/>
    <n v="80"/>
    <n v="2"/>
    <n v="3"/>
    <s v="Manufacturing Director"/>
    <n v="3"/>
    <s v="Married"/>
    <n v="10435"/>
    <n v="25800"/>
    <n v="1"/>
    <s v="No"/>
    <n v="13"/>
    <n v="3"/>
    <n v="4"/>
    <n v="2"/>
    <n v="18"/>
    <n v="2"/>
    <n v="3"/>
    <n v="18"/>
    <n v="15"/>
    <n v="14"/>
    <n v="12"/>
    <x v="0"/>
  </r>
  <r>
    <n v="35"/>
    <x v="1"/>
    <s v="Non-Travel"/>
    <n v="208"/>
    <s v="Research &amp; Development"/>
    <n v="8"/>
    <n v="4"/>
    <s v="Life Sciences"/>
    <n v="1630"/>
    <n v="3"/>
    <s v="Female"/>
    <n v="52"/>
    <n v="3"/>
    <n v="2"/>
    <s v="Healthcare Representative"/>
    <n v="3"/>
    <s v="Married"/>
    <n v="4148"/>
    <n v="12250"/>
    <n v="1"/>
    <s v="No"/>
    <n v="12"/>
    <n v="3"/>
    <n v="4"/>
    <n v="1"/>
    <n v="15"/>
    <n v="5"/>
    <n v="3"/>
    <n v="14"/>
    <n v="11"/>
    <n v="2"/>
    <n v="9"/>
    <x v="0"/>
  </r>
  <r>
    <n v="37"/>
    <x v="1"/>
    <s v="Travel_Rarely"/>
    <n v="671"/>
    <s v="Research &amp; Development"/>
    <n v="19"/>
    <n v="3"/>
    <s v="Life Sciences"/>
    <n v="1631"/>
    <n v="3"/>
    <s v="Male"/>
    <n v="85"/>
    <n v="3"/>
    <n v="2"/>
    <s v="Manufacturing Director"/>
    <n v="3"/>
    <s v="Married"/>
    <n v="5768"/>
    <n v="26493"/>
    <n v="3"/>
    <s v="No"/>
    <n v="17"/>
    <n v="3"/>
    <n v="1"/>
    <n v="3"/>
    <n v="9"/>
    <n v="2"/>
    <n v="2"/>
    <n v="4"/>
    <n v="3"/>
    <n v="0"/>
    <n v="2"/>
    <x v="0"/>
  </r>
  <r>
    <n v="39"/>
    <x v="1"/>
    <s v="Travel_Frequently"/>
    <n v="711"/>
    <s v="Research &amp; Development"/>
    <n v="4"/>
    <n v="3"/>
    <s v="Medical"/>
    <n v="1633"/>
    <n v="1"/>
    <s v="Female"/>
    <n v="81"/>
    <n v="3"/>
    <n v="2"/>
    <s v="Manufacturing Director"/>
    <n v="3"/>
    <s v="Single"/>
    <n v="5042"/>
    <n v="3140"/>
    <n v="0"/>
    <s v="No"/>
    <n v="13"/>
    <n v="3"/>
    <n v="4"/>
    <n v="0"/>
    <n v="10"/>
    <n v="2"/>
    <n v="1"/>
    <n v="9"/>
    <n v="2"/>
    <n v="3"/>
    <n v="8"/>
    <x v="0"/>
  </r>
  <r>
    <n v="45"/>
    <x v="1"/>
    <s v="Travel_Rarely"/>
    <n v="1329"/>
    <s v="Research &amp; Development"/>
    <n v="2"/>
    <n v="2"/>
    <s v="Other"/>
    <n v="1635"/>
    <n v="4"/>
    <s v="Female"/>
    <n v="59"/>
    <n v="2"/>
    <n v="2"/>
    <s v="Manufacturing Director"/>
    <n v="4"/>
    <s v="Divorced"/>
    <n v="5770"/>
    <n v="5388"/>
    <n v="1"/>
    <s v="No"/>
    <n v="19"/>
    <n v="3"/>
    <n v="1"/>
    <n v="2"/>
    <n v="10"/>
    <n v="3"/>
    <n v="3"/>
    <n v="10"/>
    <n v="7"/>
    <n v="3"/>
    <n v="9"/>
    <x v="1"/>
  </r>
  <r>
    <n v="38"/>
    <x v="1"/>
    <s v="Travel_Rarely"/>
    <n v="397"/>
    <s v="Research &amp; Development"/>
    <n v="2"/>
    <n v="2"/>
    <s v="Medical"/>
    <n v="1638"/>
    <n v="4"/>
    <s v="Female"/>
    <n v="54"/>
    <n v="2"/>
    <n v="3"/>
    <s v="Manufacturing Director"/>
    <n v="3"/>
    <s v="Married"/>
    <n v="7756"/>
    <n v="14199"/>
    <n v="3"/>
    <s v="Yes"/>
    <n v="19"/>
    <n v="3"/>
    <n v="4"/>
    <n v="1"/>
    <n v="10"/>
    <n v="6"/>
    <n v="4"/>
    <n v="5"/>
    <n v="4"/>
    <n v="0"/>
    <n v="2"/>
    <x v="0"/>
  </r>
  <r>
    <n v="35"/>
    <x v="0"/>
    <s v="Travel_Rarely"/>
    <n v="737"/>
    <s v="Sales"/>
    <n v="10"/>
    <n v="3"/>
    <s v="Medical"/>
    <n v="1639"/>
    <n v="4"/>
    <s v="Male"/>
    <n v="55"/>
    <n v="2"/>
    <n v="3"/>
    <s v="Sales Executive"/>
    <n v="1"/>
    <s v="Married"/>
    <n v="10306"/>
    <n v="21530"/>
    <n v="9"/>
    <s v="No"/>
    <n v="17"/>
    <n v="3"/>
    <n v="3"/>
    <n v="0"/>
    <n v="15"/>
    <n v="3"/>
    <n v="3"/>
    <n v="13"/>
    <n v="12"/>
    <n v="6"/>
    <n v="0"/>
    <x v="0"/>
  </r>
  <r>
    <n v="37"/>
    <x v="1"/>
    <s v="Travel_Rarely"/>
    <n v="1470"/>
    <s v="Research &amp; Development"/>
    <n v="10"/>
    <n v="3"/>
    <s v="Medical"/>
    <n v="1640"/>
    <n v="2"/>
    <s v="Female"/>
    <n v="71"/>
    <n v="3"/>
    <n v="1"/>
    <s v="Research Scientist"/>
    <n v="2"/>
    <s v="Married"/>
    <n v="3936"/>
    <n v="9953"/>
    <n v="1"/>
    <s v="No"/>
    <n v="11"/>
    <n v="3"/>
    <n v="1"/>
    <n v="1"/>
    <n v="8"/>
    <n v="2"/>
    <n v="1"/>
    <n v="8"/>
    <n v="4"/>
    <n v="7"/>
    <n v="7"/>
    <x v="0"/>
  </r>
  <r>
    <n v="40"/>
    <x v="1"/>
    <s v="Travel_Rarely"/>
    <n v="448"/>
    <s v="Research &amp; Development"/>
    <n v="16"/>
    <n v="3"/>
    <s v="Life Sciences"/>
    <n v="1641"/>
    <n v="3"/>
    <s v="Female"/>
    <n v="84"/>
    <n v="3"/>
    <n v="3"/>
    <s v="Manufacturing Director"/>
    <n v="4"/>
    <s v="Single"/>
    <n v="7945"/>
    <n v="19948"/>
    <n v="6"/>
    <s v="Yes"/>
    <n v="15"/>
    <n v="3"/>
    <n v="4"/>
    <n v="0"/>
    <n v="18"/>
    <n v="2"/>
    <n v="2"/>
    <n v="4"/>
    <n v="2"/>
    <n v="3"/>
    <n v="3"/>
    <x v="0"/>
  </r>
  <r>
    <n v="44"/>
    <x v="1"/>
    <s v="Travel_Frequently"/>
    <n v="602"/>
    <s v="Human Resources"/>
    <n v="1"/>
    <n v="5"/>
    <s v="Human Resources"/>
    <n v="1642"/>
    <n v="1"/>
    <s v="Male"/>
    <n v="37"/>
    <n v="3"/>
    <n v="2"/>
    <s v="Human Resources"/>
    <n v="4"/>
    <s v="Married"/>
    <n v="5743"/>
    <n v="10503"/>
    <n v="4"/>
    <s v="Yes"/>
    <n v="11"/>
    <n v="3"/>
    <n v="3"/>
    <n v="0"/>
    <n v="14"/>
    <n v="3"/>
    <n v="3"/>
    <n v="10"/>
    <n v="7"/>
    <n v="0"/>
    <n v="2"/>
    <x v="0"/>
  </r>
  <r>
    <n v="48"/>
    <x v="1"/>
    <s v="Travel_Frequently"/>
    <n v="365"/>
    <s v="Research &amp; Development"/>
    <n v="4"/>
    <n v="5"/>
    <s v="Medical"/>
    <n v="1644"/>
    <n v="3"/>
    <s v="Male"/>
    <n v="89"/>
    <n v="2"/>
    <n v="4"/>
    <s v="Manager"/>
    <n v="4"/>
    <s v="Married"/>
    <n v="15202"/>
    <n v="5602"/>
    <n v="2"/>
    <s v="No"/>
    <n v="25"/>
    <n v="4"/>
    <n v="2"/>
    <n v="1"/>
    <n v="23"/>
    <n v="3"/>
    <n v="3"/>
    <n v="2"/>
    <n v="2"/>
    <n v="2"/>
    <n v="2"/>
    <x v="1"/>
  </r>
  <r>
    <n v="35"/>
    <x v="0"/>
    <s v="Travel_Rarely"/>
    <n v="763"/>
    <s v="Sales"/>
    <n v="15"/>
    <n v="2"/>
    <s v="Medical"/>
    <n v="1645"/>
    <n v="1"/>
    <s v="Male"/>
    <n v="59"/>
    <n v="1"/>
    <n v="2"/>
    <s v="Sales Executive"/>
    <n v="4"/>
    <s v="Divorced"/>
    <n v="5440"/>
    <n v="22098"/>
    <n v="6"/>
    <s v="Yes"/>
    <n v="14"/>
    <n v="3"/>
    <n v="4"/>
    <n v="2"/>
    <n v="7"/>
    <n v="2"/>
    <n v="2"/>
    <n v="2"/>
    <n v="2"/>
    <n v="2"/>
    <n v="2"/>
    <x v="0"/>
  </r>
  <r>
    <n v="24"/>
    <x v="1"/>
    <s v="Travel_Frequently"/>
    <n v="567"/>
    <s v="Research &amp; Development"/>
    <n v="2"/>
    <n v="1"/>
    <s v="Technical Degree"/>
    <n v="1646"/>
    <n v="1"/>
    <s v="Female"/>
    <n v="32"/>
    <n v="3"/>
    <n v="1"/>
    <s v="Research Scientist"/>
    <n v="4"/>
    <s v="Single"/>
    <n v="3760"/>
    <n v="17218"/>
    <n v="1"/>
    <s v="Yes"/>
    <n v="13"/>
    <n v="3"/>
    <n v="3"/>
    <n v="0"/>
    <n v="6"/>
    <n v="2"/>
    <n v="3"/>
    <n v="6"/>
    <n v="3"/>
    <n v="1"/>
    <n v="3"/>
    <x v="2"/>
  </r>
  <r>
    <n v="27"/>
    <x v="1"/>
    <s v="Travel_Rarely"/>
    <n v="486"/>
    <s v="Research &amp; Development"/>
    <n v="8"/>
    <n v="3"/>
    <s v="Medical"/>
    <n v="1647"/>
    <n v="2"/>
    <s v="Female"/>
    <n v="86"/>
    <n v="4"/>
    <n v="1"/>
    <s v="Research Scientist"/>
    <n v="3"/>
    <s v="Married"/>
    <n v="3517"/>
    <n v="22490"/>
    <n v="7"/>
    <s v="No"/>
    <n v="17"/>
    <n v="3"/>
    <n v="1"/>
    <n v="0"/>
    <n v="5"/>
    <n v="0"/>
    <n v="3"/>
    <n v="3"/>
    <n v="2"/>
    <n v="0"/>
    <n v="2"/>
    <x v="2"/>
  </r>
  <r>
    <n v="27"/>
    <x v="1"/>
    <s v="Travel_Frequently"/>
    <n v="591"/>
    <s v="Research &amp; Development"/>
    <n v="2"/>
    <n v="3"/>
    <s v="Medical"/>
    <n v="1648"/>
    <n v="4"/>
    <s v="Male"/>
    <n v="87"/>
    <n v="3"/>
    <n v="1"/>
    <s v="Research Scientist"/>
    <n v="4"/>
    <s v="Single"/>
    <n v="2580"/>
    <n v="6297"/>
    <n v="2"/>
    <s v="No"/>
    <n v="13"/>
    <n v="3"/>
    <n v="3"/>
    <n v="0"/>
    <n v="6"/>
    <n v="0"/>
    <n v="2"/>
    <n v="4"/>
    <n v="2"/>
    <n v="1"/>
    <n v="2"/>
    <x v="2"/>
  </r>
  <r>
    <n v="40"/>
    <x v="0"/>
    <s v="Travel_Rarely"/>
    <n v="1329"/>
    <s v="Research &amp; Development"/>
    <n v="7"/>
    <n v="3"/>
    <s v="Life Sciences"/>
    <n v="1649"/>
    <n v="1"/>
    <s v="Male"/>
    <n v="73"/>
    <n v="3"/>
    <n v="1"/>
    <s v="Laboratory Technician"/>
    <n v="1"/>
    <s v="Single"/>
    <n v="2166"/>
    <n v="3339"/>
    <n v="3"/>
    <s v="Yes"/>
    <n v="14"/>
    <n v="3"/>
    <n v="2"/>
    <n v="0"/>
    <n v="10"/>
    <n v="3"/>
    <n v="1"/>
    <n v="4"/>
    <n v="2"/>
    <n v="0"/>
    <n v="3"/>
    <x v="0"/>
  </r>
  <r>
    <n v="29"/>
    <x v="1"/>
    <s v="Travel_Rarely"/>
    <n v="469"/>
    <s v="Sales"/>
    <n v="10"/>
    <n v="3"/>
    <s v="Medical"/>
    <n v="1650"/>
    <n v="3"/>
    <s v="Male"/>
    <n v="42"/>
    <n v="2"/>
    <n v="2"/>
    <s v="Sales Executive"/>
    <n v="3"/>
    <s v="Single"/>
    <n v="5869"/>
    <n v="23413"/>
    <n v="9"/>
    <s v="No"/>
    <n v="11"/>
    <n v="3"/>
    <n v="3"/>
    <n v="0"/>
    <n v="8"/>
    <n v="2"/>
    <n v="3"/>
    <n v="5"/>
    <n v="2"/>
    <n v="1"/>
    <n v="4"/>
    <x v="2"/>
  </r>
  <r>
    <n v="36"/>
    <x v="1"/>
    <s v="Travel_Rarely"/>
    <n v="711"/>
    <s v="Research &amp; Development"/>
    <n v="5"/>
    <n v="4"/>
    <s v="Life Sciences"/>
    <n v="1651"/>
    <n v="2"/>
    <s v="Female"/>
    <n v="42"/>
    <n v="3"/>
    <n v="3"/>
    <s v="Healthcare Representative"/>
    <n v="1"/>
    <s v="Married"/>
    <n v="8008"/>
    <n v="22792"/>
    <n v="4"/>
    <s v="No"/>
    <n v="12"/>
    <n v="3"/>
    <n v="3"/>
    <n v="2"/>
    <n v="9"/>
    <n v="6"/>
    <n v="3"/>
    <n v="3"/>
    <n v="2"/>
    <n v="0"/>
    <n v="2"/>
    <x v="0"/>
  </r>
  <r>
    <n v="25"/>
    <x v="1"/>
    <s v="Travel_Frequently"/>
    <n v="772"/>
    <s v="Research &amp; Development"/>
    <n v="2"/>
    <n v="1"/>
    <s v="Life Sciences"/>
    <n v="1653"/>
    <n v="4"/>
    <s v="Male"/>
    <n v="77"/>
    <n v="4"/>
    <n v="2"/>
    <s v="Manufacturing Director"/>
    <n v="3"/>
    <s v="Divorced"/>
    <n v="5206"/>
    <n v="4973"/>
    <n v="1"/>
    <s v="No"/>
    <n v="17"/>
    <n v="3"/>
    <n v="3"/>
    <n v="2"/>
    <n v="7"/>
    <n v="6"/>
    <n v="3"/>
    <n v="7"/>
    <n v="7"/>
    <n v="0"/>
    <n v="7"/>
    <x v="2"/>
  </r>
  <r>
    <n v="39"/>
    <x v="1"/>
    <s v="Travel_Rarely"/>
    <n v="492"/>
    <s v="Research &amp; Development"/>
    <n v="12"/>
    <n v="3"/>
    <s v="Medical"/>
    <n v="1654"/>
    <n v="4"/>
    <s v="Male"/>
    <n v="66"/>
    <n v="3"/>
    <n v="2"/>
    <s v="Manufacturing Director"/>
    <n v="2"/>
    <s v="Married"/>
    <n v="5295"/>
    <n v="7693"/>
    <n v="4"/>
    <s v="No"/>
    <n v="21"/>
    <n v="4"/>
    <n v="3"/>
    <n v="0"/>
    <n v="7"/>
    <n v="3"/>
    <n v="3"/>
    <n v="5"/>
    <n v="4"/>
    <n v="1"/>
    <n v="0"/>
    <x v="0"/>
  </r>
  <r>
    <n v="49"/>
    <x v="1"/>
    <s v="Travel_Rarely"/>
    <n v="301"/>
    <s v="Research &amp; Development"/>
    <n v="22"/>
    <n v="4"/>
    <s v="Other"/>
    <n v="1655"/>
    <n v="1"/>
    <s v="Female"/>
    <n v="72"/>
    <n v="3"/>
    <n v="4"/>
    <s v="Research Director"/>
    <n v="2"/>
    <s v="Married"/>
    <n v="16413"/>
    <n v="3498"/>
    <n v="3"/>
    <s v="No"/>
    <n v="16"/>
    <n v="3"/>
    <n v="2"/>
    <n v="2"/>
    <n v="27"/>
    <n v="2"/>
    <n v="3"/>
    <n v="4"/>
    <n v="2"/>
    <n v="1"/>
    <n v="2"/>
    <x v="1"/>
  </r>
  <r>
    <n v="50"/>
    <x v="1"/>
    <s v="Travel_Rarely"/>
    <n v="813"/>
    <s v="Research &amp; Development"/>
    <n v="17"/>
    <n v="5"/>
    <s v="Life Sciences"/>
    <n v="1656"/>
    <n v="4"/>
    <s v="Female"/>
    <n v="50"/>
    <n v="2"/>
    <n v="3"/>
    <s v="Research Director"/>
    <n v="1"/>
    <s v="Divorced"/>
    <n v="13269"/>
    <n v="21981"/>
    <n v="5"/>
    <s v="No"/>
    <n v="15"/>
    <n v="3"/>
    <n v="3"/>
    <n v="3"/>
    <n v="19"/>
    <n v="3"/>
    <n v="3"/>
    <n v="14"/>
    <n v="11"/>
    <n v="1"/>
    <n v="11"/>
    <x v="1"/>
  </r>
  <r>
    <n v="20"/>
    <x v="1"/>
    <s v="Travel_Rarely"/>
    <n v="1141"/>
    <s v="Sales"/>
    <n v="2"/>
    <n v="3"/>
    <s v="Medical"/>
    <n v="1657"/>
    <n v="3"/>
    <s v="Female"/>
    <n v="31"/>
    <n v="3"/>
    <n v="1"/>
    <s v="Sales Representative"/>
    <n v="3"/>
    <s v="Single"/>
    <n v="2783"/>
    <n v="13251"/>
    <n v="1"/>
    <s v="No"/>
    <n v="19"/>
    <n v="3"/>
    <n v="1"/>
    <n v="0"/>
    <n v="2"/>
    <n v="3"/>
    <n v="3"/>
    <n v="2"/>
    <n v="2"/>
    <n v="2"/>
    <n v="2"/>
    <x v="2"/>
  </r>
  <r>
    <n v="34"/>
    <x v="1"/>
    <s v="Travel_Rarely"/>
    <n v="1130"/>
    <s v="Research &amp; Development"/>
    <n v="3"/>
    <n v="3"/>
    <s v="Life Sciences"/>
    <n v="1658"/>
    <n v="4"/>
    <s v="Female"/>
    <n v="66"/>
    <n v="3"/>
    <n v="2"/>
    <s v="Research Scientist"/>
    <n v="2"/>
    <s v="Divorced"/>
    <n v="5433"/>
    <n v="19332"/>
    <n v="1"/>
    <s v="No"/>
    <n v="12"/>
    <n v="3"/>
    <n v="3"/>
    <n v="1"/>
    <n v="11"/>
    <n v="2"/>
    <n v="3"/>
    <n v="11"/>
    <n v="8"/>
    <n v="7"/>
    <n v="9"/>
    <x v="2"/>
  </r>
  <r>
    <n v="36"/>
    <x v="1"/>
    <s v="Travel_Rarely"/>
    <n v="311"/>
    <s v="Research &amp; Development"/>
    <n v="7"/>
    <n v="3"/>
    <s v="Life Sciences"/>
    <n v="1659"/>
    <n v="1"/>
    <s v="Male"/>
    <n v="77"/>
    <n v="3"/>
    <n v="1"/>
    <s v="Laboratory Technician"/>
    <n v="2"/>
    <s v="Single"/>
    <n v="2013"/>
    <n v="10950"/>
    <n v="2"/>
    <s v="No"/>
    <n v="11"/>
    <n v="3"/>
    <n v="3"/>
    <n v="0"/>
    <n v="15"/>
    <n v="4"/>
    <n v="3"/>
    <n v="4"/>
    <n v="3"/>
    <n v="1"/>
    <n v="3"/>
    <x v="0"/>
  </r>
  <r>
    <n v="49"/>
    <x v="1"/>
    <s v="Travel_Rarely"/>
    <n v="465"/>
    <s v="Research &amp; Development"/>
    <n v="6"/>
    <n v="1"/>
    <s v="Life Sciences"/>
    <n v="1661"/>
    <n v="3"/>
    <s v="Female"/>
    <n v="41"/>
    <n v="2"/>
    <n v="4"/>
    <s v="Healthcare Representative"/>
    <n v="3"/>
    <s v="Married"/>
    <n v="13966"/>
    <n v="11652"/>
    <n v="2"/>
    <s v="Yes"/>
    <n v="19"/>
    <n v="3"/>
    <n v="2"/>
    <n v="1"/>
    <n v="30"/>
    <n v="3"/>
    <n v="3"/>
    <n v="15"/>
    <n v="11"/>
    <n v="2"/>
    <n v="12"/>
    <x v="1"/>
  </r>
  <r>
    <n v="36"/>
    <x v="1"/>
    <s v="Non-Travel"/>
    <n v="894"/>
    <s v="Research &amp; Development"/>
    <n v="1"/>
    <n v="4"/>
    <s v="Medical"/>
    <n v="1662"/>
    <n v="4"/>
    <s v="Female"/>
    <n v="33"/>
    <n v="2"/>
    <n v="2"/>
    <s v="Manufacturing Director"/>
    <n v="3"/>
    <s v="Married"/>
    <n v="4374"/>
    <n v="15411"/>
    <n v="0"/>
    <s v="No"/>
    <n v="15"/>
    <n v="3"/>
    <n v="3"/>
    <n v="0"/>
    <n v="4"/>
    <n v="6"/>
    <n v="3"/>
    <n v="3"/>
    <n v="2"/>
    <n v="1"/>
    <n v="2"/>
    <x v="0"/>
  </r>
  <r>
    <n v="36"/>
    <x v="1"/>
    <s v="Travel_Rarely"/>
    <n v="1040"/>
    <s v="Research &amp; Development"/>
    <n v="3"/>
    <n v="2"/>
    <s v="Life Sciences"/>
    <n v="1664"/>
    <n v="4"/>
    <s v="Male"/>
    <n v="79"/>
    <n v="4"/>
    <n v="2"/>
    <s v="Healthcare Representative"/>
    <n v="1"/>
    <s v="Divorced"/>
    <n v="6842"/>
    <n v="26308"/>
    <n v="6"/>
    <s v="No"/>
    <n v="20"/>
    <n v="4"/>
    <n v="1"/>
    <n v="1"/>
    <n v="13"/>
    <n v="3"/>
    <n v="3"/>
    <n v="5"/>
    <n v="4"/>
    <n v="0"/>
    <n v="4"/>
    <x v="0"/>
  </r>
  <r>
    <n v="54"/>
    <x v="1"/>
    <s v="Travel_Rarely"/>
    <n v="584"/>
    <s v="Research &amp; Development"/>
    <n v="22"/>
    <n v="5"/>
    <s v="Medical"/>
    <n v="1665"/>
    <n v="2"/>
    <s v="Female"/>
    <n v="91"/>
    <n v="3"/>
    <n v="4"/>
    <s v="Manager"/>
    <n v="3"/>
    <s v="Married"/>
    <n v="17426"/>
    <n v="18685"/>
    <n v="3"/>
    <s v="No"/>
    <n v="25"/>
    <n v="4"/>
    <n v="3"/>
    <n v="1"/>
    <n v="36"/>
    <n v="6"/>
    <n v="3"/>
    <n v="10"/>
    <n v="8"/>
    <n v="4"/>
    <n v="7"/>
    <x v="1"/>
  </r>
  <r>
    <n v="43"/>
    <x v="1"/>
    <s v="Travel_Rarely"/>
    <n v="1291"/>
    <s v="Research &amp; Development"/>
    <n v="15"/>
    <n v="2"/>
    <s v="Life Sciences"/>
    <n v="1666"/>
    <n v="3"/>
    <s v="Male"/>
    <n v="65"/>
    <n v="2"/>
    <n v="4"/>
    <s v="Research Director"/>
    <n v="3"/>
    <s v="Married"/>
    <n v="17603"/>
    <n v="3525"/>
    <n v="1"/>
    <s v="No"/>
    <n v="24"/>
    <n v="4"/>
    <n v="1"/>
    <n v="1"/>
    <n v="14"/>
    <n v="3"/>
    <n v="3"/>
    <n v="14"/>
    <n v="10"/>
    <n v="6"/>
    <n v="11"/>
    <x v="0"/>
  </r>
  <r>
    <n v="35"/>
    <x v="0"/>
    <s v="Travel_Frequently"/>
    <n v="880"/>
    <s v="Sales"/>
    <n v="12"/>
    <n v="4"/>
    <s v="Other"/>
    <n v="1667"/>
    <n v="4"/>
    <s v="Male"/>
    <n v="36"/>
    <n v="3"/>
    <n v="2"/>
    <s v="Sales Executive"/>
    <n v="4"/>
    <s v="Single"/>
    <n v="4581"/>
    <n v="10414"/>
    <n v="3"/>
    <s v="Yes"/>
    <n v="24"/>
    <n v="4"/>
    <n v="1"/>
    <n v="0"/>
    <n v="13"/>
    <n v="2"/>
    <n v="4"/>
    <n v="11"/>
    <n v="9"/>
    <n v="6"/>
    <n v="7"/>
    <x v="0"/>
  </r>
  <r>
    <n v="38"/>
    <x v="1"/>
    <s v="Travel_Frequently"/>
    <n v="1189"/>
    <s v="Research &amp; Development"/>
    <n v="1"/>
    <n v="3"/>
    <s v="Life Sciences"/>
    <n v="1668"/>
    <n v="4"/>
    <s v="Male"/>
    <n v="90"/>
    <n v="3"/>
    <n v="2"/>
    <s v="Research Scientist"/>
    <n v="4"/>
    <s v="Married"/>
    <n v="4735"/>
    <n v="9867"/>
    <n v="7"/>
    <s v="No"/>
    <n v="15"/>
    <n v="3"/>
    <n v="4"/>
    <n v="2"/>
    <n v="19"/>
    <n v="4"/>
    <n v="4"/>
    <n v="13"/>
    <n v="11"/>
    <n v="2"/>
    <n v="9"/>
    <x v="0"/>
  </r>
  <r>
    <n v="29"/>
    <x v="1"/>
    <s v="Travel_Rarely"/>
    <n v="991"/>
    <s v="Sales"/>
    <n v="5"/>
    <n v="3"/>
    <s v="Medical"/>
    <n v="1669"/>
    <n v="1"/>
    <s v="Male"/>
    <n v="43"/>
    <n v="2"/>
    <n v="2"/>
    <s v="Sales Executive"/>
    <n v="2"/>
    <s v="Divorced"/>
    <n v="4187"/>
    <n v="3356"/>
    <n v="1"/>
    <s v="Yes"/>
    <n v="13"/>
    <n v="3"/>
    <n v="2"/>
    <n v="1"/>
    <n v="10"/>
    <n v="3"/>
    <n v="2"/>
    <n v="10"/>
    <n v="0"/>
    <n v="0"/>
    <n v="9"/>
    <x v="2"/>
  </r>
  <r>
    <n v="33"/>
    <x v="1"/>
    <s v="Travel_Rarely"/>
    <n v="392"/>
    <s v="Sales"/>
    <n v="2"/>
    <n v="4"/>
    <s v="Medical"/>
    <n v="1670"/>
    <n v="4"/>
    <s v="Male"/>
    <n v="93"/>
    <n v="3"/>
    <n v="2"/>
    <s v="Sales Executive"/>
    <n v="4"/>
    <s v="Divorced"/>
    <n v="5505"/>
    <n v="3921"/>
    <n v="1"/>
    <s v="No"/>
    <n v="14"/>
    <n v="3"/>
    <n v="3"/>
    <n v="2"/>
    <n v="6"/>
    <n v="5"/>
    <n v="3"/>
    <n v="6"/>
    <n v="2"/>
    <n v="0"/>
    <n v="4"/>
    <x v="2"/>
  </r>
  <r>
    <n v="32"/>
    <x v="1"/>
    <s v="Travel_Rarely"/>
    <n v="977"/>
    <s v="Research &amp; Development"/>
    <n v="2"/>
    <n v="3"/>
    <s v="Medical"/>
    <n v="1671"/>
    <n v="4"/>
    <s v="Male"/>
    <n v="45"/>
    <n v="3"/>
    <n v="2"/>
    <s v="Research Scientist"/>
    <n v="2"/>
    <s v="Divorced"/>
    <n v="5470"/>
    <n v="25518"/>
    <n v="0"/>
    <s v="No"/>
    <n v="13"/>
    <n v="3"/>
    <n v="3"/>
    <n v="2"/>
    <n v="10"/>
    <n v="4"/>
    <n v="2"/>
    <n v="9"/>
    <n v="5"/>
    <n v="1"/>
    <n v="6"/>
    <x v="2"/>
  </r>
  <r>
    <n v="31"/>
    <x v="1"/>
    <s v="Travel_Rarely"/>
    <n v="1112"/>
    <s v="Sales"/>
    <n v="5"/>
    <n v="4"/>
    <s v="Life Sciences"/>
    <n v="1673"/>
    <n v="1"/>
    <s v="Female"/>
    <n v="67"/>
    <n v="3"/>
    <n v="2"/>
    <s v="Sales Executive"/>
    <n v="4"/>
    <s v="Married"/>
    <n v="5476"/>
    <n v="22589"/>
    <n v="1"/>
    <s v="No"/>
    <n v="11"/>
    <n v="3"/>
    <n v="1"/>
    <n v="2"/>
    <n v="10"/>
    <n v="2"/>
    <n v="3"/>
    <n v="10"/>
    <n v="0"/>
    <n v="0"/>
    <n v="2"/>
    <x v="2"/>
  </r>
  <r>
    <n v="49"/>
    <x v="1"/>
    <s v="Travel_Rarely"/>
    <n v="464"/>
    <s v="Research &amp; Development"/>
    <n v="16"/>
    <n v="3"/>
    <s v="Medical"/>
    <n v="1674"/>
    <n v="4"/>
    <s v="Female"/>
    <n v="74"/>
    <n v="3"/>
    <n v="1"/>
    <s v="Laboratory Technician"/>
    <n v="1"/>
    <s v="Divorced"/>
    <n v="2587"/>
    <n v="24941"/>
    <n v="4"/>
    <s v="Yes"/>
    <n v="16"/>
    <n v="3"/>
    <n v="2"/>
    <n v="1"/>
    <n v="17"/>
    <n v="2"/>
    <n v="2"/>
    <n v="2"/>
    <n v="2"/>
    <n v="2"/>
    <n v="2"/>
    <x v="1"/>
  </r>
  <r>
    <n v="38"/>
    <x v="1"/>
    <s v="Travel_Frequently"/>
    <n v="148"/>
    <s v="Research &amp; Development"/>
    <n v="2"/>
    <n v="3"/>
    <s v="Medical"/>
    <n v="1675"/>
    <n v="4"/>
    <s v="Female"/>
    <n v="42"/>
    <n v="2"/>
    <n v="1"/>
    <s v="Laboratory Technician"/>
    <n v="2"/>
    <s v="Single"/>
    <n v="2440"/>
    <n v="23826"/>
    <n v="1"/>
    <s v="No"/>
    <n v="22"/>
    <n v="4"/>
    <n v="2"/>
    <n v="0"/>
    <n v="4"/>
    <n v="3"/>
    <n v="3"/>
    <n v="4"/>
    <n v="3"/>
    <n v="3"/>
    <n v="3"/>
    <x v="0"/>
  </r>
  <r>
    <n v="47"/>
    <x v="1"/>
    <s v="Travel_Rarely"/>
    <n v="1225"/>
    <s v="Sales"/>
    <n v="2"/>
    <n v="4"/>
    <s v="Life Sciences"/>
    <n v="1676"/>
    <n v="2"/>
    <s v="Female"/>
    <n v="47"/>
    <n v="4"/>
    <n v="4"/>
    <s v="Manager"/>
    <n v="2"/>
    <s v="Divorced"/>
    <n v="15972"/>
    <n v="21086"/>
    <n v="6"/>
    <s v="No"/>
    <n v="14"/>
    <n v="3"/>
    <n v="3"/>
    <n v="3"/>
    <n v="29"/>
    <n v="2"/>
    <n v="3"/>
    <n v="3"/>
    <n v="2"/>
    <n v="1"/>
    <n v="2"/>
    <x v="1"/>
  </r>
  <r>
    <n v="49"/>
    <x v="1"/>
    <s v="Travel_Rarely"/>
    <n v="809"/>
    <s v="Research &amp; Development"/>
    <n v="1"/>
    <n v="3"/>
    <s v="Life Sciences"/>
    <n v="1677"/>
    <n v="3"/>
    <s v="Male"/>
    <n v="36"/>
    <n v="3"/>
    <n v="4"/>
    <s v="Manager"/>
    <n v="3"/>
    <s v="Single"/>
    <n v="15379"/>
    <n v="22384"/>
    <n v="4"/>
    <s v="No"/>
    <n v="14"/>
    <n v="3"/>
    <n v="1"/>
    <n v="0"/>
    <n v="23"/>
    <n v="2"/>
    <n v="3"/>
    <n v="8"/>
    <n v="7"/>
    <n v="0"/>
    <n v="0"/>
    <x v="1"/>
  </r>
  <r>
    <n v="41"/>
    <x v="1"/>
    <s v="Travel_Rarely"/>
    <n v="1206"/>
    <s v="Sales"/>
    <n v="23"/>
    <n v="2"/>
    <s v="Life Sciences"/>
    <n v="1678"/>
    <n v="4"/>
    <s v="Male"/>
    <n v="80"/>
    <n v="3"/>
    <n v="3"/>
    <s v="Sales Executive"/>
    <n v="3"/>
    <s v="Single"/>
    <n v="7082"/>
    <n v="11591"/>
    <n v="3"/>
    <s v="Yes"/>
    <n v="16"/>
    <n v="3"/>
    <n v="4"/>
    <n v="0"/>
    <n v="21"/>
    <n v="2"/>
    <n v="3"/>
    <n v="2"/>
    <n v="0"/>
    <n v="0"/>
    <n v="2"/>
    <x v="0"/>
  </r>
  <r>
    <n v="20"/>
    <x v="1"/>
    <s v="Travel_Rarely"/>
    <n v="727"/>
    <s v="Sales"/>
    <n v="9"/>
    <n v="1"/>
    <s v="Life Sciences"/>
    <n v="1680"/>
    <n v="4"/>
    <s v="Male"/>
    <n v="54"/>
    <n v="3"/>
    <n v="1"/>
    <s v="Sales Representative"/>
    <n v="1"/>
    <s v="Single"/>
    <n v="2728"/>
    <n v="21082"/>
    <n v="1"/>
    <s v="No"/>
    <n v="11"/>
    <n v="3"/>
    <n v="1"/>
    <n v="0"/>
    <n v="2"/>
    <n v="3"/>
    <n v="3"/>
    <n v="2"/>
    <n v="2"/>
    <n v="0"/>
    <n v="2"/>
    <x v="2"/>
  </r>
  <r>
    <n v="33"/>
    <x v="1"/>
    <s v="Non-Travel"/>
    <n v="530"/>
    <s v="Sales"/>
    <n v="16"/>
    <n v="3"/>
    <s v="Life Sciences"/>
    <n v="1681"/>
    <n v="3"/>
    <s v="Female"/>
    <n v="36"/>
    <n v="3"/>
    <n v="2"/>
    <s v="Sales Executive"/>
    <n v="4"/>
    <s v="Divorced"/>
    <n v="5368"/>
    <n v="16130"/>
    <n v="1"/>
    <s v="Yes"/>
    <n v="25"/>
    <n v="4"/>
    <n v="3"/>
    <n v="1"/>
    <n v="7"/>
    <n v="2"/>
    <n v="3"/>
    <n v="6"/>
    <n v="5"/>
    <n v="1"/>
    <n v="2"/>
    <x v="2"/>
  </r>
  <r>
    <n v="36"/>
    <x v="1"/>
    <s v="Travel_Rarely"/>
    <n v="1351"/>
    <s v="Research &amp; Development"/>
    <n v="26"/>
    <n v="4"/>
    <s v="Life Sciences"/>
    <n v="1682"/>
    <n v="1"/>
    <s v="Male"/>
    <n v="80"/>
    <n v="3"/>
    <n v="2"/>
    <s v="Healthcare Representative"/>
    <n v="3"/>
    <s v="Married"/>
    <n v="5347"/>
    <n v="7419"/>
    <n v="6"/>
    <s v="No"/>
    <n v="14"/>
    <n v="3"/>
    <n v="2"/>
    <n v="2"/>
    <n v="10"/>
    <n v="2"/>
    <n v="2"/>
    <n v="3"/>
    <n v="2"/>
    <n v="0"/>
    <n v="2"/>
    <x v="0"/>
  </r>
  <r>
    <n v="44"/>
    <x v="1"/>
    <s v="Travel_Rarely"/>
    <n v="528"/>
    <s v="Human Resources"/>
    <n v="1"/>
    <n v="3"/>
    <s v="Life Sciences"/>
    <n v="1683"/>
    <n v="3"/>
    <s v="Female"/>
    <n v="44"/>
    <n v="3"/>
    <n v="1"/>
    <s v="Human Resources"/>
    <n v="4"/>
    <s v="Divorced"/>
    <n v="3195"/>
    <n v="4167"/>
    <n v="4"/>
    <s v="Yes"/>
    <n v="18"/>
    <n v="3"/>
    <n v="1"/>
    <n v="3"/>
    <n v="8"/>
    <n v="2"/>
    <n v="3"/>
    <n v="2"/>
    <n v="2"/>
    <n v="2"/>
    <n v="2"/>
    <x v="0"/>
  </r>
  <r>
    <n v="23"/>
    <x v="0"/>
    <s v="Travel_Rarely"/>
    <n v="1320"/>
    <s v="Research &amp; Development"/>
    <n v="8"/>
    <n v="1"/>
    <s v="Medical"/>
    <n v="1684"/>
    <n v="4"/>
    <s v="Male"/>
    <n v="93"/>
    <n v="2"/>
    <n v="1"/>
    <s v="Laboratory Technician"/>
    <n v="3"/>
    <s v="Single"/>
    <n v="3989"/>
    <n v="20586"/>
    <n v="1"/>
    <s v="Yes"/>
    <n v="11"/>
    <n v="3"/>
    <n v="1"/>
    <n v="0"/>
    <n v="5"/>
    <n v="2"/>
    <n v="3"/>
    <n v="5"/>
    <n v="4"/>
    <n v="1"/>
    <n v="2"/>
    <x v="2"/>
  </r>
  <r>
    <n v="38"/>
    <x v="1"/>
    <s v="Travel_Rarely"/>
    <n v="1495"/>
    <s v="Research &amp; Development"/>
    <n v="4"/>
    <n v="2"/>
    <s v="Medical"/>
    <n v="1687"/>
    <n v="4"/>
    <s v="Female"/>
    <n v="87"/>
    <n v="3"/>
    <n v="1"/>
    <s v="Laboratory Technician"/>
    <n v="3"/>
    <s v="Married"/>
    <n v="3306"/>
    <n v="26176"/>
    <n v="7"/>
    <s v="No"/>
    <n v="19"/>
    <n v="3"/>
    <n v="4"/>
    <n v="1"/>
    <n v="7"/>
    <n v="5"/>
    <n v="2"/>
    <n v="0"/>
    <n v="0"/>
    <n v="0"/>
    <n v="0"/>
    <x v="0"/>
  </r>
  <r>
    <n v="53"/>
    <x v="1"/>
    <s v="Travel_Rarely"/>
    <n v="1395"/>
    <s v="Research &amp; Development"/>
    <n v="24"/>
    <n v="4"/>
    <s v="Medical"/>
    <n v="1689"/>
    <n v="2"/>
    <s v="Male"/>
    <n v="48"/>
    <n v="4"/>
    <n v="3"/>
    <s v="Healthcare Representative"/>
    <n v="4"/>
    <s v="Married"/>
    <n v="7005"/>
    <n v="3458"/>
    <n v="3"/>
    <s v="No"/>
    <n v="15"/>
    <n v="3"/>
    <n v="3"/>
    <n v="0"/>
    <n v="11"/>
    <n v="2"/>
    <n v="3"/>
    <n v="4"/>
    <n v="3"/>
    <n v="1"/>
    <n v="2"/>
    <x v="1"/>
  </r>
  <r>
    <n v="48"/>
    <x v="0"/>
    <s v="Travel_Frequently"/>
    <n v="708"/>
    <s v="Sales"/>
    <n v="7"/>
    <n v="2"/>
    <s v="Medical"/>
    <n v="1691"/>
    <n v="4"/>
    <s v="Female"/>
    <n v="95"/>
    <n v="3"/>
    <n v="1"/>
    <s v="Sales Representative"/>
    <n v="3"/>
    <s v="Married"/>
    <n v="2655"/>
    <n v="11740"/>
    <n v="2"/>
    <s v="Yes"/>
    <n v="11"/>
    <n v="3"/>
    <n v="3"/>
    <n v="2"/>
    <n v="19"/>
    <n v="3"/>
    <n v="3"/>
    <n v="9"/>
    <n v="7"/>
    <n v="7"/>
    <n v="7"/>
    <x v="1"/>
  </r>
  <r>
    <n v="32"/>
    <x v="0"/>
    <s v="Travel_Rarely"/>
    <n v="1259"/>
    <s v="Research &amp; Development"/>
    <n v="2"/>
    <n v="4"/>
    <s v="Life Sciences"/>
    <n v="1692"/>
    <n v="4"/>
    <s v="Male"/>
    <n v="95"/>
    <n v="3"/>
    <n v="1"/>
    <s v="Laboratory Technician"/>
    <n v="2"/>
    <s v="Single"/>
    <n v="1393"/>
    <n v="24852"/>
    <n v="1"/>
    <s v="No"/>
    <n v="12"/>
    <n v="3"/>
    <n v="1"/>
    <n v="0"/>
    <n v="1"/>
    <n v="2"/>
    <n v="3"/>
    <n v="1"/>
    <n v="0"/>
    <n v="0"/>
    <n v="0"/>
    <x v="2"/>
  </r>
  <r>
    <n v="26"/>
    <x v="1"/>
    <s v="Non-Travel"/>
    <n v="786"/>
    <s v="Research &amp; Development"/>
    <n v="7"/>
    <n v="3"/>
    <s v="Medical"/>
    <n v="1693"/>
    <n v="4"/>
    <s v="Male"/>
    <n v="76"/>
    <n v="3"/>
    <n v="1"/>
    <s v="Laboratory Technician"/>
    <n v="4"/>
    <s v="Single"/>
    <n v="2570"/>
    <n v="11925"/>
    <n v="1"/>
    <s v="No"/>
    <n v="20"/>
    <n v="4"/>
    <n v="3"/>
    <n v="0"/>
    <n v="7"/>
    <n v="5"/>
    <n v="3"/>
    <n v="7"/>
    <n v="7"/>
    <n v="5"/>
    <n v="7"/>
    <x v="2"/>
  </r>
  <r>
    <n v="55"/>
    <x v="1"/>
    <s v="Travel_Rarely"/>
    <n v="1441"/>
    <s v="Research &amp; Development"/>
    <n v="22"/>
    <n v="3"/>
    <s v="Technical Degree"/>
    <n v="1694"/>
    <n v="1"/>
    <s v="Male"/>
    <n v="94"/>
    <n v="2"/>
    <n v="1"/>
    <s v="Research Scientist"/>
    <n v="2"/>
    <s v="Divorced"/>
    <n v="3537"/>
    <n v="23737"/>
    <n v="5"/>
    <s v="No"/>
    <n v="12"/>
    <n v="3"/>
    <n v="4"/>
    <n v="1"/>
    <n v="8"/>
    <n v="1"/>
    <n v="3"/>
    <n v="4"/>
    <n v="2"/>
    <n v="1"/>
    <n v="2"/>
    <x v="3"/>
  </r>
  <r>
    <n v="34"/>
    <x v="1"/>
    <s v="Travel_Rarely"/>
    <n v="1157"/>
    <s v="Research &amp; Development"/>
    <n v="5"/>
    <n v="2"/>
    <s v="Medical"/>
    <n v="1696"/>
    <n v="2"/>
    <s v="Male"/>
    <n v="57"/>
    <n v="2"/>
    <n v="2"/>
    <s v="Laboratory Technician"/>
    <n v="4"/>
    <s v="Married"/>
    <n v="3986"/>
    <n v="11912"/>
    <n v="1"/>
    <s v="No"/>
    <n v="14"/>
    <n v="3"/>
    <n v="3"/>
    <n v="1"/>
    <n v="15"/>
    <n v="3"/>
    <n v="4"/>
    <n v="15"/>
    <n v="10"/>
    <n v="4"/>
    <n v="13"/>
    <x v="2"/>
  </r>
  <r>
    <n v="60"/>
    <x v="1"/>
    <s v="Travel_Rarely"/>
    <n v="370"/>
    <s v="Research &amp; Development"/>
    <n v="1"/>
    <n v="4"/>
    <s v="Medical"/>
    <n v="1697"/>
    <n v="3"/>
    <s v="Male"/>
    <n v="92"/>
    <n v="1"/>
    <n v="3"/>
    <s v="Healthcare Representative"/>
    <n v="4"/>
    <s v="Divorced"/>
    <n v="10883"/>
    <n v="20467"/>
    <n v="3"/>
    <s v="No"/>
    <n v="20"/>
    <n v="4"/>
    <n v="3"/>
    <n v="1"/>
    <n v="19"/>
    <n v="2"/>
    <n v="4"/>
    <n v="1"/>
    <n v="0"/>
    <n v="0"/>
    <n v="0"/>
    <x v="3"/>
  </r>
  <r>
    <n v="33"/>
    <x v="1"/>
    <s v="Travel_Rarely"/>
    <n v="267"/>
    <s v="Research &amp; Development"/>
    <n v="21"/>
    <n v="3"/>
    <s v="Medical"/>
    <n v="1698"/>
    <n v="2"/>
    <s v="Male"/>
    <n v="79"/>
    <n v="4"/>
    <n v="1"/>
    <s v="Laboratory Technician"/>
    <n v="2"/>
    <s v="Married"/>
    <n v="2028"/>
    <n v="13637"/>
    <n v="1"/>
    <s v="No"/>
    <n v="18"/>
    <n v="3"/>
    <n v="4"/>
    <n v="3"/>
    <n v="14"/>
    <n v="6"/>
    <n v="3"/>
    <n v="14"/>
    <n v="11"/>
    <n v="2"/>
    <n v="13"/>
    <x v="2"/>
  </r>
  <r>
    <n v="37"/>
    <x v="1"/>
    <s v="Travel_Frequently"/>
    <n v="1278"/>
    <s v="Sales"/>
    <n v="1"/>
    <n v="4"/>
    <s v="Medical"/>
    <n v="1700"/>
    <n v="3"/>
    <s v="Male"/>
    <n v="31"/>
    <n v="1"/>
    <n v="2"/>
    <s v="Sales Executive"/>
    <n v="4"/>
    <s v="Divorced"/>
    <n v="9525"/>
    <n v="7677"/>
    <n v="1"/>
    <s v="No"/>
    <n v="14"/>
    <n v="3"/>
    <n v="3"/>
    <n v="2"/>
    <n v="6"/>
    <n v="2"/>
    <n v="2"/>
    <n v="6"/>
    <n v="3"/>
    <n v="1"/>
    <n v="3"/>
    <x v="0"/>
  </r>
  <r>
    <n v="34"/>
    <x v="1"/>
    <s v="Travel_Rarely"/>
    <n v="678"/>
    <s v="Research &amp; Development"/>
    <n v="19"/>
    <n v="3"/>
    <s v="Life Sciences"/>
    <n v="1701"/>
    <n v="2"/>
    <s v="Female"/>
    <n v="35"/>
    <n v="2"/>
    <n v="1"/>
    <s v="Research Scientist"/>
    <n v="4"/>
    <s v="Married"/>
    <n v="2929"/>
    <n v="20338"/>
    <n v="1"/>
    <s v="No"/>
    <n v="12"/>
    <n v="3"/>
    <n v="2"/>
    <n v="0"/>
    <n v="10"/>
    <n v="3"/>
    <n v="3"/>
    <n v="10"/>
    <n v="9"/>
    <n v="8"/>
    <n v="7"/>
    <x v="2"/>
  </r>
  <r>
    <n v="23"/>
    <x v="0"/>
    <s v="Travel_Rarely"/>
    <n v="427"/>
    <s v="Sales"/>
    <n v="7"/>
    <n v="3"/>
    <s v="Life Sciences"/>
    <n v="1702"/>
    <n v="3"/>
    <s v="Male"/>
    <n v="99"/>
    <n v="3"/>
    <n v="1"/>
    <s v="Sales Representative"/>
    <n v="4"/>
    <s v="Divorced"/>
    <n v="2275"/>
    <n v="25103"/>
    <n v="1"/>
    <s v="Yes"/>
    <n v="21"/>
    <n v="4"/>
    <n v="2"/>
    <n v="1"/>
    <n v="3"/>
    <n v="2"/>
    <n v="3"/>
    <n v="3"/>
    <n v="2"/>
    <n v="0"/>
    <n v="2"/>
    <x v="2"/>
  </r>
  <r>
    <n v="44"/>
    <x v="1"/>
    <s v="Travel_Rarely"/>
    <n v="921"/>
    <s v="Research &amp; Development"/>
    <n v="2"/>
    <n v="3"/>
    <s v="Life Sciences"/>
    <n v="1703"/>
    <n v="3"/>
    <s v="Female"/>
    <n v="96"/>
    <n v="4"/>
    <n v="3"/>
    <s v="Healthcare Representative"/>
    <n v="4"/>
    <s v="Married"/>
    <n v="7879"/>
    <n v="14810"/>
    <n v="1"/>
    <s v="Yes"/>
    <n v="19"/>
    <n v="3"/>
    <n v="2"/>
    <n v="1"/>
    <n v="9"/>
    <n v="2"/>
    <n v="3"/>
    <n v="8"/>
    <n v="7"/>
    <n v="6"/>
    <n v="7"/>
    <x v="0"/>
  </r>
  <r>
    <n v="35"/>
    <x v="1"/>
    <s v="Travel_Frequently"/>
    <n v="146"/>
    <s v="Research &amp; Development"/>
    <n v="2"/>
    <n v="4"/>
    <s v="Medical"/>
    <n v="1704"/>
    <n v="1"/>
    <s v="Male"/>
    <n v="79"/>
    <n v="2"/>
    <n v="1"/>
    <s v="Research Scientist"/>
    <n v="4"/>
    <s v="Single"/>
    <n v="4930"/>
    <n v="13970"/>
    <n v="0"/>
    <s v="Yes"/>
    <n v="14"/>
    <n v="3"/>
    <n v="3"/>
    <n v="0"/>
    <n v="6"/>
    <n v="2"/>
    <n v="4"/>
    <n v="5"/>
    <n v="4"/>
    <n v="1"/>
    <n v="4"/>
    <x v="0"/>
  </r>
  <r>
    <n v="43"/>
    <x v="1"/>
    <s v="Travel_Rarely"/>
    <n v="1179"/>
    <s v="Sales"/>
    <n v="2"/>
    <n v="3"/>
    <s v="Medical"/>
    <n v="1706"/>
    <n v="4"/>
    <s v="Male"/>
    <n v="73"/>
    <n v="3"/>
    <n v="2"/>
    <s v="Sales Executive"/>
    <n v="4"/>
    <s v="Married"/>
    <n v="7847"/>
    <n v="6069"/>
    <n v="1"/>
    <s v="Yes"/>
    <n v="17"/>
    <n v="3"/>
    <n v="1"/>
    <n v="1"/>
    <n v="10"/>
    <n v="3"/>
    <n v="3"/>
    <n v="10"/>
    <n v="9"/>
    <n v="8"/>
    <n v="8"/>
    <x v="0"/>
  </r>
  <r>
    <n v="24"/>
    <x v="1"/>
    <s v="Travel_Rarely"/>
    <n v="581"/>
    <s v="Research &amp; Development"/>
    <n v="9"/>
    <n v="3"/>
    <s v="Medical"/>
    <n v="1707"/>
    <n v="3"/>
    <s v="Male"/>
    <n v="62"/>
    <n v="4"/>
    <n v="1"/>
    <s v="Research Scientist"/>
    <n v="3"/>
    <s v="Married"/>
    <n v="4401"/>
    <n v="17616"/>
    <n v="1"/>
    <s v="No"/>
    <n v="16"/>
    <n v="3"/>
    <n v="4"/>
    <n v="1"/>
    <n v="5"/>
    <n v="1"/>
    <n v="3"/>
    <n v="5"/>
    <n v="3"/>
    <n v="0"/>
    <n v="4"/>
    <x v="2"/>
  </r>
  <r>
    <n v="41"/>
    <x v="1"/>
    <s v="Travel_Rarely"/>
    <n v="918"/>
    <s v="Sales"/>
    <n v="6"/>
    <n v="3"/>
    <s v="Marketing"/>
    <n v="1708"/>
    <n v="4"/>
    <s v="Male"/>
    <n v="35"/>
    <n v="3"/>
    <n v="3"/>
    <s v="Sales Executive"/>
    <n v="3"/>
    <s v="Single"/>
    <n v="9241"/>
    <n v="15869"/>
    <n v="1"/>
    <s v="No"/>
    <n v="12"/>
    <n v="3"/>
    <n v="2"/>
    <n v="0"/>
    <n v="10"/>
    <n v="3"/>
    <n v="3"/>
    <n v="10"/>
    <n v="8"/>
    <n v="8"/>
    <n v="7"/>
    <x v="0"/>
  </r>
  <r>
    <n v="29"/>
    <x v="1"/>
    <s v="Travel_Rarely"/>
    <n v="1082"/>
    <s v="Research &amp; Development"/>
    <n v="9"/>
    <n v="4"/>
    <s v="Medical"/>
    <n v="1709"/>
    <n v="4"/>
    <s v="Female"/>
    <n v="43"/>
    <n v="3"/>
    <n v="1"/>
    <s v="Laboratory Technician"/>
    <n v="3"/>
    <s v="Married"/>
    <n v="2974"/>
    <n v="25412"/>
    <n v="9"/>
    <s v="No"/>
    <n v="17"/>
    <n v="3"/>
    <n v="3"/>
    <n v="1"/>
    <n v="9"/>
    <n v="2"/>
    <n v="3"/>
    <n v="5"/>
    <n v="3"/>
    <n v="1"/>
    <n v="2"/>
    <x v="2"/>
  </r>
  <r>
    <n v="36"/>
    <x v="1"/>
    <s v="Travel_Rarely"/>
    <n v="530"/>
    <s v="Sales"/>
    <n v="2"/>
    <n v="4"/>
    <s v="Life Sciences"/>
    <n v="1710"/>
    <n v="3"/>
    <s v="Female"/>
    <n v="51"/>
    <n v="3"/>
    <n v="2"/>
    <s v="Sales Representative"/>
    <n v="4"/>
    <s v="Single"/>
    <n v="4502"/>
    <n v="7439"/>
    <n v="3"/>
    <s v="No"/>
    <n v="15"/>
    <n v="3"/>
    <n v="3"/>
    <n v="0"/>
    <n v="17"/>
    <n v="2"/>
    <n v="2"/>
    <n v="13"/>
    <n v="7"/>
    <n v="6"/>
    <n v="7"/>
    <x v="0"/>
  </r>
  <r>
    <n v="45"/>
    <x v="1"/>
    <s v="Non-Travel"/>
    <n v="1238"/>
    <s v="Research &amp; Development"/>
    <n v="1"/>
    <n v="1"/>
    <s v="Life Sciences"/>
    <n v="1712"/>
    <n v="3"/>
    <s v="Male"/>
    <n v="74"/>
    <n v="2"/>
    <n v="3"/>
    <s v="Healthcare Representative"/>
    <n v="3"/>
    <s v="Married"/>
    <n v="10748"/>
    <n v="3395"/>
    <n v="3"/>
    <s v="No"/>
    <n v="23"/>
    <n v="4"/>
    <n v="4"/>
    <n v="1"/>
    <n v="25"/>
    <n v="3"/>
    <n v="2"/>
    <n v="23"/>
    <n v="15"/>
    <n v="14"/>
    <n v="4"/>
    <x v="1"/>
  </r>
  <r>
    <n v="24"/>
    <x v="0"/>
    <s v="Travel_Rarely"/>
    <n v="240"/>
    <s v="Human Resources"/>
    <n v="22"/>
    <n v="1"/>
    <s v="Human Resources"/>
    <n v="1714"/>
    <n v="4"/>
    <s v="Male"/>
    <n v="58"/>
    <n v="1"/>
    <n v="1"/>
    <s v="Human Resources"/>
    <n v="3"/>
    <s v="Married"/>
    <n v="1555"/>
    <n v="11585"/>
    <n v="1"/>
    <s v="No"/>
    <n v="11"/>
    <n v="3"/>
    <n v="3"/>
    <n v="1"/>
    <n v="1"/>
    <n v="2"/>
    <n v="3"/>
    <n v="1"/>
    <n v="0"/>
    <n v="0"/>
    <n v="0"/>
    <x v="2"/>
  </r>
  <r>
    <n v="47"/>
    <x v="0"/>
    <s v="Travel_Frequently"/>
    <n v="1093"/>
    <s v="Sales"/>
    <n v="9"/>
    <n v="3"/>
    <s v="Life Sciences"/>
    <n v="1716"/>
    <n v="3"/>
    <s v="Male"/>
    <n v="82"/>
    <n v="1"/>
    <n v="4"/>
    <s v="Sales Executive"/>
    <n v="3"/>
    <s v="Married"/>
    <n v="12936"/>
    <n v="24164"/>
    <n v="7"/>
    <s v="No"/>
    <n v="11"/>
    <n v="3"/>
    <n v="3"/>
    <n v="0"/>
    <n v="25"/>
    <n v="3"/>
    <n v="1"/>
    <n v="23"/>
    <n v="5"/>
    <n v="14"/>
    <n v="10"/>
    <x v="1"/>
  </r>
  <r>
    <n v="26"/>
    <x v="1"/>
    <s v="Travel_Rarely"/>
    <n v="390"/>
    <s v="Research &amp; Development"/>
    <n v="17"/>
    <n v="4"/>
    <s v="Medical"/>
    <n v="1718"/>
    <n v="4"/>
    <s v="Male"/>
    <n v="62"/>
    <n v="1"/>
    <n v="1"/>
    <s v="Laboratory Technician"/>
    <n v="3"/>
    <s v="Married"/>
    <n v="2305"/>
    <n v="6217"/>
    <n v="1"/>
    <s v="No"/>
    <n v="15"/>
    <n v="3"/>
    <n v="3"/>
    <n v="3"/>
    <n v="3"/>
    <n v="3"/>
    <n v="4"/>
    <n v="3"/>
    <n v="2"/>
    <n v="0"/>
    <n v="2"/>
    <x v="2"/>
  </r>
  <r>
    <n v="45"/>
    <x v="1"/>
    <s v="Travel_Rarely"/>
    <n v="1005"/>
    <s v="Research &amp; Development"/>
    <n v="28"/>
    <n v="2"/>
    <s v="Technical Degree"/>
    <n v="1719"/>
    <n v="4"/>
    <s v="Female"/>
    <n v="48"/>
    <n v="2"/>
    <n v="4"/>
    <s v="Research Director"/>
    <n v="2"/>
    <s v="Single"/>
    <n v="16704"/>
    <n v="17119"/>
    <n v="1"/>
    <s v="No"/>
    <n v="11"/>
    <n v="3"/>
    <n v="3"/>
    <n v="0"/>
    <n v="21"/>
    <n v="2"/>
    <n v="3"/>
    <n v="21"/>
    <n v="6"/>
    <n v="8"/>
    <n v="6"/>
    <x v="1"/>
  </r>
  <r>
    <n v="32"/>
    <x v="1"/>
    <s v="Travel_Frequently"/>
    <n v="585"/>
    <s v="Research &amp; Development"/>
    <n v="10"/>
    <n v="3"/>
    <s v="Life Sciences"/>
    <n v="1720"/>
    <n v="1"/>
    <s v="Male"/>
    <n v="56"/>
    <n v="3"/>
    <n v="1"/>
    <s v="Research Scientist"/>
    <n v="3"/>
    <s v="Married"/>
    <n v="3433"/>
    <n v="17360"/>
    <n v="6"/>
    <s v="No"/>
    <n v="13"/>
    <n v="3"/>
    <n v="1"/>
    <n v="1"/>
    <n v="10"/>
    <n v="3"/>
    <n v="2"/>
    <n v="5"/>
    <n v="2"/>
    <n v="1"/>
    <n v="3"/>
    <x v="2"/>
  </r>
  <r>
    <n v="31"/>
    <x v="1"/>
    <s v="Travel_Rarely"/>
    <n v="741"/>
    <s v="Research &amp; Development"/>
    <n v="2"/>
    <n v="4"/>
    <s v="Life Sciences"/>
    <n v="1721"/>
    <n v="2"/>
    <s v="Male"/>
    <n v="69"/>
    <n v="3"/>
    <n v="1"/>
    <s v="Laboratory Technician"/>
    <n v="3"/>
    <s v="Married"/>
    <n v="3477"/>
    <n v="18103"/>
    <n v="1"/>
    <s v="No"/>
    <n v="14"/>
    <n v="3"/>
    <n v="4"/>
    <n v="1"/>
    <n v="6"/>
    <n v="2"/>
    <n v="4"/>
    <n v="5"/>
    <n v="2"/>
    <n v="0"/>
    <n v="3"/>
    <x v="2"/>
  </r>
  <r>
    <n v="41"/>
    <x v="1"/>
    <s v="Non-Travel"/>
    <n v="552"/>
    <s v="Human Resources"/>
    <n v="4"/>
    <n v="3"/>
    <s v="Human Resources"/>
    <n v="1722"/>
    <n v="3"/>
    <s v="Male"/>
    <n v="60"/>
    <n v="1"/>
    <n v="2"/>
    <s v="Human Resources"/>
    <n v="2"/>
    <s v="Married"/>
    <n v="6430"/>
    <n v="20794"/>
    <n v="6"/>
    <s v="No"/>
    <n v="19"/>
    <n v="3"/>
    <n v="2"/>
    <n v="1"/>
    <n v="10"/>
    <n v="4"/>
    <n v="3"/>
    <n v="3"/>
    <n v="2"/>
    <n v="1"/>
    <n v="2"/>
    <x v="0"/>
  </r>
  <r>
    <n v="40"/>
    <x v="1"/>
    <s v="Travel_Rarely"/>
    <n v="369"/>
    <s v="Research &amp; Development"/>
    <n v="8"/>
    <n v="2"/>
    <s v="Life Sciences"/>
    <n v="1724"/>
    <n v="2"/>
    <s v="Female"/>
    <n v="92"/>
    <n v="3"/>
    <n v="2"/>
    <s v="Manufacturing Director"/>
    <n v="1"/>
    <s v="Married"/>
    <n v="6516"/>
    <n v="5041"/>
    <n v="2"/>
    <s v="Yes"/>
    <n v="16"/>
    <n v="3"/>
    <n v="2"/>
    <n v="1"/>
    <n v="18"/>
    <n v="3"/>
    <n v="3"/>
    <n v="1"/>
    <n v="0"/>
    <n v="0"/>
    <n v="0"/>
    <x v="0"/>
  </r>
  <r>
    <n v="24"/>
    <x v="1"/>
    <s v="Travel_Rarely"/>
    <n v="506"/>
    <s v="Research &amp; Development"/>
    <n v="29"/>
    <n v="1"/>
    <s v="Medical"/>
    <n v="1725"/>
    <n v="2"/>
    <s v="Male"/>
    <n v="91"/>
    <n v="3"/>
    <n v="1"/>
    <s v="Laboratory Technician"/>
    <n v="1"/>
    <s v="Divorced"/>
    <n v="3907"/>
    <n v="3622"/>
    <n v="1"/>
    <s v="No"/>
    <n v="13"/>
    <n v="3"/>
    <n v="2"/>
    <n v="3"/>
    <n v="6"/>
    <n v="2"/>
    <n v="4"/>
    <n v="6"/>
    <n v="2"/>
    <n v="1"/>
    <n v="2"/>
    <x v="2"/>
  </r>
  <r>
    <n v="46"/>
    <x v="1"/>
    <s v="Travel_Rarely"/>
    <n v="717"/>
    <s v="Research &amp; Development"/>
    <n v="13"/>
    <n v="4"/>
    <s v="Life Sciences"/>
    <n v="1727"/>
    <n v="3"/>
    <s v="Male"/>
    <n v="34"/>
    <n v="3"/>
    <n v="2"/>
    <s v="Healthcare Representative"/>
    <n v="2"/>
    <s v="Single"/>
    <n v="5562"/>
    <n v="9697"/>
    <n v="6"/>
    <s v="No"/>
    <n v="14"/>
    <n v="3"/>
    <n v="4"/>
    <n v="0"/>
    <n v="19"/>
    <n v="3"/>
    <n v="3"/>
    <n v="10"/>
    <n v="7"/>
    <n v="0"/>
    <n v="9"/>
    <x v="1"/>
  </r>
  <r>
    <n v="35"/>
    <x v="1"/>
    <s v="Travel_Rarely"/>
    <n v="1370"/>
    <s v="Research &amp; Development"/>
    <n v="27"/>
    <n v="4"/>
    <s v="Life Sciences"/>
    <n v="1728"/>
    <n v="4"/>
    <s v="Male"/>
    <n v="49"/>
    <n v="3"/>
    <n v="2"/>
    <s v="Manufacturing Director"/>
    <n v="3"/>
    <s v="Married"/>
    <n v="6883"/>
    <n v="5151"/>
    <n v="2"/>
    <s v="No"/>
    <n v="16"/>
    <n v="3"/>
    <n v="2"/>
    <n v="1"/>
    <n v="17"/>
    <n v="3"/>
    <n v="3"/>
    <n v="7"/>
    <n v="7"/>
    <n v="0"/>
    <n v="7"/>
    <x v="0"/>
  </r>
  <r>
    <n v="30"/>
    <x v="1"/>
    <s v="Travel_Rarely"/>
    <n v="793"/>
    <s v="Research &amp; Development"/>
    <n v="16"/>
    <n v="1"/>
    <s v="Life Sciences"/>
    <n v="1729"/>
    <n v="2"/>
    <s v="Male"/>
    <n v="33"/>
    <n v="3"/>
    <n v="1"/>
    <s v="Research Scientist"/>
    <n v="4"/>
    <s v="Married"/>
    <n v="2862"/>
    <n v="3811"/>
    <n v="1"/>
    <s v="No"/>
    <n v="12"/>
    <n v="3"/>
    <n v="2"/>
    <n v="1"/>
    <n v="10"/>
    <n v="2"/>
    <n v="2"/>
    <n v="10"/>
    <n v="0"/>
    <n v="0"/>
    <n v="8"/>
    <x v="2"/>
  </r>
  <r>
    <n v="47"/>
    <x v="1"/>
    <s v="Non-Travel"/>
    <n v="543"/>
    <s v="Sales"/>
    <n v="2"/>
    <n v="4"/>
    <s v="Marketing"/>
    <n v="1731"/>
    <n v="3"/>
    <s v="Male"/>
    <n v="87"/>
    <n v="3"/>
    <n v="2"/>
    <s v="Sales Executive"/>
    <n v="2"/>
    <s v="Married"/>
    <n v="4978"/>
    <n v="3536"/>
    <n v="7"/>
    <s v="No"/>
    <n v="11"/>
    <n v="3"/>
    <n v="4"/>
    <n v="1"/>
    <n v="4"/>
    <n v="3"/>
    <n v="1"/>
    <n v="1"/>
    <n v="0"/>
    <n v="0"/>
    <n v="0"/>
    <x v="1"/>
  </r>
  <r>
    <n v="46"/>
    <x v="1"/>
    <s v="Travel_Rarely"/>
    <n v="1277"/>
    <s v="Sales"/>
    <n v="2"/>
    <n v="3"/>
    <s v="Life Sciences"/>
    <n v="1732"/>
    <n v="3"/>
    <s v="Male"/>
    <n v="74"/>
    <n v="3"/>
    <n v="3"/>
    <s v="Sales Executive"/>
    <n v="4"/>
    <s v="Divorced"/>
    <n v="10368"/>
    <n v="5596"/>
    <n v="4"/>
    <s v="Yes"/>
    <n v="12"/>
    <n v="3"/>
    <n v="2"/>
    <n v="1"/>
    <n v="13"/>
    <n v="5"/>
    <n v="2"/>
    <n v="10"/>
    <n v="6"/>
    <n v="0"/>
    <n v="3"/>
    <x v="1"/>
  </r>
  <r>
    <n v="36"/>
    <x v="0"/>
    <s v="Travel_Rarely"/>
    <n v="1456"/>
    <s v="Sales"/>
    <n v="13"/>
    <n v="5"/>
    <s v="Marketing"/>
    <n v="1733"/>
    <n v="2"/>
    <s v="Male"/>
    <n v="96"/>
    <n v="2"/>
    <n v="2"/>
    <s v="Sales Executive"/>
    <n v="1"/>
    <s v="Divorced"/>
    <n v="6134"/>
    <n v="8658"/>
    <n v="5"/>
    <s v="Yes"/>
    <n v="13"/>
    <n v="3"/>
    <n v="2"/>
    <n v="3"/>
    <n v="16"/>
    <n v="3"/>
    <n v="3"/>
    <n v="2"/>
    <n v="2"/>
    <n v="2"/>
    <n v="2"/>
    <x v="0"/>
  </r>
  <r>
    <n v="32"/>
    <x v="0"/>
    <s v="Travel_Rarely"/>
    <n v="964"/>
    <s v="Sales"/>
    <n v="1"/>
    <n v="2"/>
    <s v="Life Sciences"/>
    <n v="1734"/>
    <n v="1"/>
    <s v="Male"/>
    <n v="34"/>
    <n v="1"/>
    <n v="2"/>
    <s v="Sales Executive"/>
    <n v="2"/>
    <s v="Single"/>
    <n v="6735"/>
    <n v="12147"/>
    <n v="6"/>
    <s v="No"/>
    <n v="15"/>
    <n v="3"/>
    <n v="2"/>
    <n v="0"/>
    <n v="10"/>
    <n v="2"/>
    <n v="3"/>
    <n v="0"/>
    <n v="0"/>
    <n v="0"/>
    <n v="0"/>
    <x v="2"/>
  </r>
  <r>
    <n v="23"/>
    <x v="1"/>
    <s v="Travel_Rarely"/>
    <n v="160"/>
    <s v="Research &amp; Development"/>
    <n v="4"/>
    <n v="1"/>
    <s v="Medical"/>
    <n v="1735"/>
    <n v="3"/>
    <s v="Female"/>
    <n v="51"/>
    <n v="3"/>
    <n v="1"/>
    <s v="Laboratory Technician"/>
    <n v="2"/>
    <s v="Single"/>
    <n v="3295"/>
    <n v="12862"/>
    <n v="1"/>
    <s v="No"/>
    <n v="13"/>
    <n v="3"/>
    <n v="3"/>
    <n v="0"/>
    <n v="3"/>
    <n v="3"/>
    <n v="1"/>
    <n v="3"/>
    <n v="2"/>
    <n v="1"/>
    <n v="2"/>
    <x v="2"/>
  </r>
  <r>
    <n v="31"/>
    <x v="1"/>
    <s v="Travel_Frequently"/>
    <n v="163"/>
    <s v="Research &amp; Development"/>
    <n v="24"/>
    <n v="1"/>
    <s v="Technical Degree"/>
    <n v="1736"/>
    <n v="4"/>
    <s v="Female"/>
    <n v="30"/>
    <n v="3"/>
    <n v="2"/>
    <s v="Manufacturing Director"/>
    <n v="4"/>
    <s v="Single"/>
    <n v="5238"/>
    <n v="6670"/>
    <n v="2"/>
    <s v="No"/>
    <n v="20"/>
    <n v="4"/>
    <n v="4"/>
    <n v="0"/>
    <n v="9"/>
    <n v="3"/>
    <n v="2"/>
    <n v="5"/>
    <n v="4"/>
    <n v="1"/>
    <n v="4"/>
    <x v="2"/>
  </r>
  <r>
    <n v="39"/>
    <x v="1"/>
    <s v="Non-Travel"/>
    <n v="792"/>
    <s v="Research &amp; Development"/>
    <n v="1"/>
    <n v="3"/>
    <s v="Life Sciences"/>
    <n v="1737"/>
    <n v="4"/>
    <s v="Male"/>
    <n v="77"/>
    <n v="3"/>
    <n v="2"/>
    <s v="Laboratory Technician"/>
    <n v="4"/>
    <s v="Married"/>
    <n v="6472"/>
    <n v="8989"/>
    <n v="1"/>
    <s v="Yes"/>
    <n v="15"/>
    <n v="3"/>
    <n v="4"/>
    <n v="1"/>
    <n v="9"/>
    <n v="2"/>
    <n v="3"/>
    <n v="9"/>
    <n v="8"/>
    <n v="5"/>
    <n v="8"/>
    <x v="0"/>
  </r>
  <r>
    <n v="32"/>
    <x v="1"/>
    <s v="Travel_Rarely"/>
    <n v="371"/>
    <s v="Sales"/>
    <n v="19"/>
    <n v="3"/>
    <s v="Life Sciences"/>
    <n v="1739"/>
    <n v="4"/>
    <s v="Male"/>
    <n v="80"/>
    <n v="1"/>
    <n v="3"/>
    <s v="Sales Executive"/>
    <n v="3"/>
    <s v="Married"/>
    <n v="9610"/>
    <n v="3840"/>
    <n v="3"/>
    <s v="No"/>
    <n v="13"/>
    <n v="3"/>
    <n v="3"/>
    <n v="1"/>
    <n v="10"/>
    <n v="2"/>
    <n v="1"/>
    <n v="4"/>
    <n v="3"/>
    <n v="0"/>
    <n v="2"/>
    <x v="2"/>
  </r>
  <r>
    <n v="40"/>
    <x v="1"/>
    <s v="Travel_Rarely"/>
    <n v="611"/>
    <s v="Sales"/>
    <n v="7"/>
    <n v="4"/>
    <s v="Medical"/>
    <n v="1740"/>
    <n v="2"/>
    <s v="Male"/>
    <n v="88"/>
    <n v="3"/>
    <n v="5"/>
    <s v="Manager"/>
    <n v="2"/>
    <s v="Single"/>
    <n v="19833"/>
    <n v="4349"/>
    <n v="1"/>
    <s v="No"/>
    <n v="14"/>
    <n v="3"/>
    <n v="2"/>
    <n v="0"/>
    <n v="21"/>
    <n v="3"/>
    <n v="2"/>
    <n v="21"/>
    <n v="8"/>
    <n v="12"/>
    <n v="8"/>
    <x v="0"/>
  </r>
  <r>
    <n v="45"/>
    <x v="1"/>
    <s v="Travel_Rarely"/>
    <n v="176"/>
    <s v="Human Resources"/>
    <n v="4"/>
    <n v="3"/>
    <s v="Life Sciences"/>
    <n v="1744"/>
    <n v="3"/>
    <s v="Female"/>
    <n v="56"/>
    <n v="1"/>
    <n v="3"/>
    <s v="Human Resources"/>
    <n v="3"/>
    <s v="Married"/>
    <n v="9756"/>
    <n v="6595"/>
    <n v="4"/>
    <s v="No"/>
    <n v="21"/>
    <n v="4"/>
    <n v="3"/>
    <n v="2"/>
    <n v="9"/>
    <n v="2"/>
    <n v="4"/>
    <n v="5"/>
    <n v="0"/>
    <n v="0"/>
    <n v="3"/>
    <x v="1"/>
  </r>
  <r>
    <n v="30"/>
    <x v="1"/>
    <s v="Travel_Frequently"/>
    <n v="1312"/>
    <s v="Research &amp; Development"/>
    <n v="2"/>
    <n v="4"/>
    <s v="Technical Degree"/>
    <n v="1745"/>
    <n v="4"/>
    <s v="Female"/>
    <n v="78"/>
    <n v="2"/>
    <n v="1"/>
    <s v="Research Scientist"/>
    <n v="1"/>
    <s v="Single"/>
    <n v="4968"/>
    <n v="26427"/>
    <n v="0"/>
    <s v="No"/>
    <n v="16"/>
    <n v="3"/>
    <n v="4"/>
    <n v="0"/>
    <n v="10"/>
    <n v="2"/>
    <n v="3"/>
    <n v="9"/>
    <n v="7"/>
    <n v="0"/>
    <n v="7"/>
    <x v="2"/>
  </r>
  <r>
    <n v="24"/>
    <x v="1"/>
    <s v="Travel_Frequently"/>
    <n v="897"/>
    <s v="Human Resources"/>
    <n v="10"/>
    <n v="3"/>
    <s v="Medical"/>
    <n v="1746"/>
    <n v="1"/>
    <s v="Male"/>
    <n v="59"/>
    <n v="3"/>
    <n v="1"/>
    <s v="Human Resources"/>
    <n v="4"/>
    <s v="Married"/>
    <n v="2145"/>
    <n v="2097"/>
    <n v="0"/>
    <s v="No"/>
    <n v="14"/>
    <n v="3"/>
    <n v="4"/>
    <n v="1"/>
    <n v="3"/>
    <n v="2"/>
    <n v="3"/>
    <n v="2"/>
    <n v="2"/>
    <n v="2"/>
    <n v="1"/>
    <x v="2"/>
  </r>
  <r>
    <n v="30"/>
    <x v="0"/>
    <s v="Travel_Frequently"/>
    <n v="600"/>
    <s v="Human Resources"/>
    <n v="8"/>
    <n v="3"/>
    <s v="Human Resources"/>
    <n v="1747"/>
    <n v="3"/>
    <s v="Female"/>
    <n v="66"/>
    <n v="2"/>
    <n v="1"/>
    <s v="Human Resources"/>
    <n v="4"/>
    <s v="Divorced"/>
    <n v="2180"/>
    <n v="9732"/>
    <n v="6"/>
    <s v="No"/>
    <n v="11"/>
    <n v="3"/>
    <n v="3"/>
    <n v="1"/>
    <n v="6"/>
    <n v="0"/>
    <n v="2"/>
    <n v="4"/>
    <n v="2"/>
    <n v="1"/>
    <n v="2"/>
    <x v="2"/>
  </r>
  <r>
    <n v="31"/>
    <x v="1"/>
    <s v="Travel_Rarely"/>
    <n v="1003"/>
    <s v="Sales"/>
    <n v="5"/>
    <n v="3"/>
    <s v="Technical Degree"/>
    <n v="1749"/>
    <n v="1"/>
    <s v="Male"/>
    <n v="51"/>
    <n v="3"/>
    <n v="2"/>
    <s v="Sales Executive"/>
    <n v="3"/>
    <s v="Married"/>
    <n v="8346"/>
    <n v="20943"/>
    <n v="1"/>
    <s v="No"/>
    <n v="19"/>
    <n v="3"/>
    <n v="3"/>
    <n v="1"/>
    <n v="6"/>
    <n v="3"/>
    <n v="3"/>
    <n v="5"/>
    <n v="2"/>
    <n v="0"/>
    <n v="2"/>
    <x v="2"/>
  </r>
  <r>
    <n v="27"/>
    <x v="1"/>
    <s v="Travel_Rarely"/>
    <n v="1054"/>
    <s v="Research &amp; Development"/>
    <n v="8"/>
    <n v="3"/>
    <s v="Medical"/>
    <n v="1751"/>
    <n v="3"/>
    <s v="Female"/>
    <n v="67"/>
    <n v="3"/>
    <n v="1"/>
    <s v="Research Scientist"/>
    <n v="4"/>
    <s v="Single"/>
    <n v="3445"/>
    <n v="6152"/>
    <n v="1"/>
    <s v="No"/>
    <n v="11"/>
    <n v="3"/>
    <n v="3"/>
    <n v="0"/>
    <n v="6"/>
    <n v="5"/>
    <n v="2"/>
    <n v="6"/>
    <n v="2"/>
    <n v="1"/>
    <n v="4"/>
    <x v="2"/>
  </r>
  <r>
    <n v="29"/>
    <x v="0"/>
    <s v="Travel_Rarely"/>
    <n v="428"/>
    <s v="Sales"/>
    <n v="9"/>
    <n v="3"/>
    <s v="Marketing"/>
    <n v="1752"/>
    <n v="2"/>
    <s v="Female"/>
    <n v="52"/>
    <n v="1"/>
    <n v="1"/>
    <s v="Sales Representative"/>
    <n v="2"/>
    <s v="Single"/>
    <n v="2760"/>
    <n v="14630"/>
    <n v="1"/>
    <s v="No"/>
    <n v="13"/>
    <n v="3"/>
    <n v="3"/>
    <n v="0"/>
    <n v="2"/>
    <n v="3"/>
    <n v="3"/>
    <n v="2"/>
    <n v="2"/>
    <n v="2"/>
    <n v="2"/>
    <x v="2"/>
  </r>
  <r>
    <n v="29"/>
    <x v="1"/>
    <s v="Travel_Frequently"/>
    <n v="461"/>
    <s v="Research &amp; Development"/>
    <n v="1"/>
    <n v="3"/>
    <s v="Life Sciences"/>
    <n v="1753"/>
    <n v="4"/>
    <s v="Male"/>
    <n v="70"/>
    <n v="4"/>
    <n v="2"/>
    <s v="Healthcare Representative"/>
    <n v="3"/>
    <s v="Single"/>
    <n v="6294"/>
    <n v="23060"/>
    <n v="8"/>
    <s v="Yes"/>
    <n v="12"/>
    <n v="3"/>
    <n v="4"/>
    <n v="0"/>
    <n v="10"/>
    <n v="5"/>
    <n v="4"/>
    <n v="3"/>
    <n v="2"/>
    <n v="0"/>
    <n v="2"/>
    <x v="2"/>
  </r>
  <r>
    <n v="30"/>
    <x v="1"/>
    <s v="Travel_Rarely"/>
    <n v="979"/>
    <s v="Sales"/>
    <n v="15"/>
    <n v="2"/>
    <s v="Marketing"/>
    <n v="1754"/>
    <n v="3"/>
    <s v="Male"/>
    <n v="94"/>
    <n v="2"/>
    <n v="3"/>
    <s v="Sales Executive"/>
    <n v="1"/>
    <s v="Divorced"/>
    <n v="7140"/>
    <n v="3088"/>
    <n v="2"/>
    <s v="No"/>
    <n v="11"/>
    <n v="3"/>
    <n v="1"/>
    <n v="1"/>
    <n v="12"/>
    <n v="2"/>
    <n v="3"/>
    <n v="7"/>
    <n v="7"/>
    <n v="1"/>
    <n v="7"/>
    <x v="2"/>
  </r>
  <r>
    <n v="34"/>
    <x v="1"/>
    <s v="Travel_Rarely"/>
    <n v="181"/>
    <s v="Research &amp; Development"/>
    <n v="2"/>
    <n v="4"/>
    <s v="Medical"/>
    <n v="1755"/>
    <n v="4"/>
    <s v="Male"/>
    <n v="97"/>
    <n v="4"/>
    <n v="1"/>
    <s v="Research Scientist"/>
    <n v="4"/>
    <s v="Married"/>
    <n v="2932"/>
    <n v="5586"/>
    <n v="0"/>
    <s v="Yes"/>
    <n v="14"/>
    <n v="3"/>
    <n v="1"/>
    <n v="3"/>
    <n v="6"/>
    <n v="3"/>
    <n v="3"/>
    <n v="5"/>
    <n v="0"/>
    <n v="1"/>
    <n v="2"/>
    <x v="2"/>
  </r>
  <r>
    <n v="33"/>
    <x v="1"/>
    <s v="Non-Travel"/>
    <n v="1283"/>
    <s v="Sales"/>
    <n v="2"/>
    <n v="3"/>
    <s v="Marketing"/>
    <n v="1756"/>
    <n v="4"/>
    <s v="Female"/>
    <n v="62"/>
    <n v="3"/>
    <n v="2"/>
    <s v="Sales Executive"/>
    <n v="2"/>
    <s v="Single"/>
    <n v="5147"/>
    <n v="10697"/>
    <n v="8"/>
    <s v="No"/>
    <n v="15"/>
    <n v="3"/>
    <n v="4"/>
    <n v="0"/>
    <n v="13"/>
    <n v="2"/>
    <n v="2"/>
    <n v="11"/>
    <n v="7"/>
    <n v="1"/>
    <n v="7"/>
    <x v="2"/>
  </r>
  <r>
    <n v="49"/>
    <x v="1"/>
    <s v="Travel_Rarely"/>
    <n v="1313"/>
    <s v="Sales"/>
    <n v="11"/>
    <n v="4"/>
    <s v="Marketing"/>
    <n v="1757"/>
    <n v="4"/>
    <s v="Female"/>
    <n v="80"/>
    <n v="3"/>
    <n v="2"/>
    <s v="Sales Executive"/>
    <n v="4"/>
    <s v="Single"/>
    <n v="4507"/>
    <n v="8191"/>
    <n v="3"/>
    <s v="No"/>
    <n v="12"/>
    <n v="3"/>
    <n v="3"/>
    <n v="0"/>
    <n v="8"/>
    <n v="1"/>
    <n v="4"/>
    <n v="5"/>
    <n v="1"/>
    <n v="0"/>
    <n v="4"/>
    <x v="1"/>
  </r>
  <r>
    <n v="33"/>
    <x v="0"/>
    <s v="Travel_Rarely"/>
    <n v="211"/>
    <s v="Sales"/>
    <n v="16"/>
    <n v="3"/>
    <s v="Life Sciences"/>
    <n v="1758"/>
    <n v="1"/>
    <s v="Female"/>
    <n v="74"/>
    <n v="3"/>
    <n v="3"/>
    <s v="Sales Executive"/>
    <n v="1"/>
    <s v="Single"/>
    <n v="8564"/>
    <n v="10092"/>
    <n v="2"/>
    <s v="Yes"/>
    <n v="20"/>
    <n v="4"/>
    <n v="3"/>
    <n v="0"/>
    <n v="11"/>
    <n v="2"/>
    <n v="2"/>
    <n v="0"/>
    <n v="0"/>
    <n v="0"/>
    <n v="0"/>
    <x v="2"/>
  </r>
  <r>
    <n v="38"/>
    <x v="1"/>
    <s v="Travel_Frequently"/>
    <n v="594"/>
    <s v="Research &amp; Development"/>
    <n v="2"/>
    <n v="2"/>
    <s v="Medical"/>
    <n v="1760"/>
    <n v="3"/>
    <s v="Female"/>
    <n v="75"/>
    <n v="2"/>
    <n v="1"/>
    <s v="Laboratory Technician"/>
    <n v="2"/>
    <s v="Married"/>
    <n v="2468"/>
    <n v="15963"/>
    <n v="4"/>
    <s v="No"/>
    <n v="14"/>
    <n v="3"/>
    <n v="2"/>
    <n v="1"/>
    <n v="9"/>
    <n v="4"/>
    <n v="2"/>
    <n v="6"/>
    <n v="1"/>
    <n v="0"/>
    <n v="5"/>
    <x v="0"/>
  </r>
  <r>
    <n v="31"/>
    <x v="0"/>
    <s v="Travel_Rarely"/>
    <n v="1079"/>
    <s v="Sales"/>
    <n v="16"/>
    <n v="4"/>
    <s v="Marketing"/>
    <n v="1761"/>
    <n v="1"/>
    <s v="Male"/>
    <n v="70"/>
    <n v="3"/>
    <n v="3"/>
    <s v="Sales Executive"/>
    <n v="3"/>
    <s v="Married"/>
    <n v="8161"/>
    <n v="19002"/>
    <n v="2"/>
    <s v="No"/>
    <n v="13"/>
    <n v="3"/>
    <n v="1"/>
    <n v="3"/>
    <n v="10"/>
    <n v="2"/>
    <n v="3"/>
    <n v="1"/>
    <n v="0"/>
    <n v="0"/>
    <n v="0"/>
    <x v="2"/>
  </r>
  <r>
    <n v="29"/>
    <x v="1"/>
    <s v="Travel_Rarely"/>
    <n v="590"/>
    <s v="Research &amp; Development"/>
    <n v="4"/>
    <n v="3"/>
    <s v="Technical Degree"/>
    <n v="1762"/>
    <n v="4"/>
    <s v="Female"/>
    <n v="91"/>
    <n v="2"/>
    <n v="1"/>
    <s v="Research Scientist"/>
    <n v="1"/>
    <s v="Divorced"/>
    <n v="2109"/>
    <n v="10007"/>
    <n v="1"/>
    <s v="No"/>
    <n v="13"/>
    <n v="3"/>
    <n v="3"/>
    <n v="1"/>
    <n v="1"/>
    <n v="2"/>
    <n v="3"/>
    <n v="1"/>
    <n v="0"/>
    <n v="0"/>
    <n v="0"/>
    <x v="2"/>
  </r>
  <r>
    <n v="30"/>
    <x v="1"/>
    <s v="Travel_Rarely"/>
    <n v="305"/>
    <s v="Research &amp; Development"/>
    <n v="16"/>
    <n v="3"/>
    <s v="Life Sciences"/>
    <n v="1763"/>
    <n v="3"/>
    <s v="Male"/>
    <n v="58"/>
    <n v="4"/>
    <n v="2"/>
    <s v="Healthcare Representative"/>
    <n v="3"/>
    <s v="Married"/>
    <n v="5294"/>
    <n v="9128"/>
    <n v="3"/>
    <s v="No"/>
    <n v="16"/>
    <n v="3"/>
    <n v="3"/>
    <n v="1"/>
    <n v="10"/>
    <n v="3"/>
    <n v="3"/>
    <n v="7"/>
    <n v="0"/>
    <n v="1"/>
    <n v="7"/>
    <x v="2"/>
  </r>
  <r>
    <n v="32"/>
    <x v="1"/>
    <s v="Non-Travel"/>
    <n v="953"/>
    <s v="Research &amp; Development"/>
    <n v="5"/>
    <n v="4"/>
    <s v="Technical Degree"/>
    <n v="1764"/>
    <n v="2"/>
    <s v="Male"/>
    <n v="65"/>
    <n v="3"/>
    <n v="1"/>
    <s v="Research Scientist"/>
    <n v="2"/>
    <s v="Single"/>
    <n v="2718"/>
    <n v="17674"/>
    <n v="2"/>
    <s v="No"/>
    <n v="14"/>
    <n v="3"/>
    <n v="2"/>
    <n v="0"/>
    <n v="12"/>
    <n v="3"/>
    <n v="3"/>
    <n v="7"/>
    <n v="7"/>
    <n v="0"/>
    <n v="7"/>
    <x v="2"/>
  </r>
  <r>
    <n v="38"/>
    <x v="1"/>
    <s v="Travel_Rarely"/>
    <n v="833"/>
    <s v="Research &amp; Development"/>
    <n v="18"/>
    <n v="3"/>
    <s v="Medical"/>
    <n v="1766"/>
    <n v="2"/>
    <s v="Male"/>
    <n v="60"/>
    <n v="1"/>
    <n v="2"/>
    <s v="Healthcare Representative"/>
    <n v="4"/>
    <s v="Married"/>
    <n v="5811"/>
    <n v="24539"/>
    <n v="3"/>
    <s v="Yes"/>
    <n v="16"/>
    <n v="3"/>
    <n v="3"/>
    <n v="1"/>
    <n v="15"/>
    <n v="2"/>
    <n v="3"/>
    <n v="1"/>
    <n v="0"/>
    <n v="1"/>
    <n v="0"/>
    <x v="0"/>
  </r>
  <r>
    <n v="43"/>
    <x v="0"/>
    <s v="Travel_Frequently"/>
    <n v="807"/>
    <s v="Research &amp; Development"/>
    <n v="17"/>
    <n v="3"/>
    <s v="Technical Degree"/>
    <n v="1767"/>
    <n v="3"/>
    <s v="Male"/>
    <n v="38"/>
    <n v="2"/>
    <n v="1"/>
    <s v="Research Scientist"/>
    <n v="3"/>
    <s v="Married"/>
    <n v="2437"/>
    <n v="15587"/>
    <n v="9"/>
    <s v="Yes"/>
    <n v="16"/>
    <n v="3"/>
    <n v="4"/>
    <n v="1"/>
    <n v="6"/>
    <n v="4"/>
    <n v="3"/>
    <n v="1"/>
    <n v="0"/>
    <n v="0"/>
    <n v="0"/>
    <x v="0"/>
  </r>
  <r>
    <n v="42"/>
    <x v="1"/>
    <s v="Travel_Rarely"/>
    <n v="855"/>
    <s v="Research &amp; Development"/>
    <n v="12"/>
    <n v="3"/>
    <s v="Medical"/>
    <n v="1768"/>
    <n v="2"/>
    <s v="Male"/>
    <n v="57"/>
    <n v="3"/>
    <n v="1"/>
    <s v="Laboratory Technician"/>
    <n v="2"/>
    <s v="Divorced"/>
    <n v="2766"/>
    <n v="8952"/>
    <n v="8"/>
    <s v="No"/>
    <n v="22"/>
    <n v="4"/>
    <n v="2"/>
    <n v="3"/>
    <n v="7"/>
    <n v="6"/>
    <n v="2"/>
    <n v="5"/>
    <n v="3"/>
    <n v="0"/>
    <n v="4"/>
    <x v="0"/>
  </r>
  <r>
    <n v="55"/>
    <x v="1"/>
    <s v="Travel_Rarely"/>
    <n v="478"/>
    <s v="Research &amp; Development"/>
    <n v="2"/>
    <n v="3"/>
    <s v="Medical"/>
    <n v="1770"/>
    <n v="3"/>
    <s v="Male"/>
    <n v="60"/>
    <n v="2"/>
    <n v="5"/>
    <s v="Research Director"/>
    <n v="1"/>
    <s v="Married"/>
    <n v="19038"/>
    <n v="19805"/>
    <n v="8"/>
    <s v="No"/>
    <n v="12"/>
    <n v="3"/>
    <n v="2"/>
    <n v="3"/>
    <n v="34"/>
    <n v="2"/>
    <n v="3"/>
    <n v="1"/>
    <n v="0"/>
    <n v="0"/>
    <n v="0"/>
    <x v="3"/>
  </r>
  <r>
    <n v="33"/>
    <x v="1"/>
    <s v="Non-Travel"/>
    <n v="775"/>
    <s v="Research &amp; Development"/>
    <n v="4"/>
    <n v="3"/>
    <s v="Technical Degree"/>
    <n v="1771"/>
    <n v="4"/>
    <s v="Male"/>
    <n v="90"/>
    <n v="3"/>
    <n v="2"/>
    <s v="Research Scientist"/>
    <n v="2"/>
    <s v="Divorced"/>
    <n v="3055"/>
    <n v="6194"/>
    <n v="5"/>
    <s v="No"/>
    <n v="15"/>
    <n v="3"/>
    <n v="4"/>
    <n v="2"/>
    <n v="11"/>
    <n v="2"/>
    <n v="2"/>
    <n v="9"/>
    <n v="8"/>
    <n v="1"/>
    <n v="7"/>
    <x v="2"/>
  </r>
  <r>
    <n v="41"/>
    <x v="1"/>
    <s v="Travel_Rarely"/>
    <n v="548"/>
    <s v="Research &amp; Development"/>
    <n v="9"/>
    <n v="4"/>
    <s v="Life Sciences"/>
    <n v="1772"/>
    <n v="3"/>
    <s v="Male"/>
    <n v="94"/>
    <n v="3"/>
    <n v="1"/>
    <s v="Laboratory Technician"/>
    <n v="1"/>
    <s v="Divorced"/>
    <n v="2289"/>
    <n v="20520"/>
    <n v="1"/>
    <s v="No"/>
    <n v="20"/>
    <n v="4"/>
    <n v="2"/>
    <n v="2"/>
    <n v="5"/>
    <n v="2"/>
    <n v="3"/>
    <n v="5"/>
    <n v="3"/>
    <n v="0"/>
    <n v="4"/>
    <x v="0"/>
  </r>
  <r>
    <n v="34"/>
    <x v="1"/>
    <s v="Non-Travel"/>
    <n v="1375"/>
    <s v="Sales"/>
    <n v="10"/>
    <n v="3"/>
    <s v="Life Sciences"/>
    <n v="1774"/>
    <n v="4"/>
    <s v="Male"/>
    <n v="87"/>
    <n v="3"/>
    <n v="2"/>
    <s v="Sales Executive"/>
    <n v="3"/>
    <s v="Divorced"/>
    <n v="4001"/>
    <n v="12313"/>
    <n v="1"/>
    <s v="Yes"/>
    <n v="14"/>
    <n v="3"/>
    <n v="3"/>
    <n v="1"/>
    <n v="15"/>
    <n v="3"/>
    <n v="3"/>
    <n v="15"/>
    <n v="14"/>
    <n v="0"/>
    <n v="7"/>
    <x v="2"/>
  </r>
  <r>
    <n v="53"/>
    <x v="1"/>
    <s v="Non-Travel"/>
    <n v="661"/>
    <s v="Research &amp; Development"/>
    <n v="1"/>
    <n v="4"/>
    <s v="Medical"/>
    <n v="1775"/>
    <n v="1"/>
    <s v="Female"/>
    <n v="60"/>
    <n v="2"/>
    <n v="4"/>
    <s v="Manufacturing Director"/>
    <n v="3"/>
    <s v="Married"/>
    <n v="12965"/>
    <n v="22308"/>
    <n v="4"/>
    <s v="Yes"/>
    <n v="20"/>
    <n v="4"/>
    <n v="4"/>
    <n v="3"/>
    <n v="27"/>
    <n v="2"/>
    <n v="2"/>
    <n v="3"/>
    <n v="2"/>
    <n v="0"/>
    <n v="2"/>
    <x v="1"/>
  </r>
  <r>
    <n v="43"/>
    <x v="1"/>
    <s v="Travel_Rarely"/>
    <n v="244"/>
    <s v="Human Resources"/>
    <n v="2"/>
    <n v="3"/>
    <s v="Life Sciences"/>
    <n v="1778"/>
    <n v="2"/>
    <s v="Male"/>
    <n v="97"/>
    <n v="3"/>
    <n v="1"/>
    <s v="Human Resources"/>
    <n v="4"/>
    <s v="Single"/>
    <n v="3539"/>
    <n v="5033"/>
    <n v="0"/>
    <s v="No"/>
    <n v="13"/>
    <n v="3"/>
    <n v="2"/>
    <n v="0"/>
    <n v="10"/>
    <n v="5"/>
    <n v="3"/>
    <n v="9"/>
    <n v="7"/>
    <n v="1"/>
    <n v="8"/>
    <x v="0"/>
  </r>
  <r>
    <n v="34"/>
    <x v="1"/>
    <s v="Travel_Rarely"/>
    <n v="511"/>
    <s v="Sales"/>
    <n v="3"/>
    <n v="2"/>
    <s v="Life Sciences"/>
    <n v="1779"/>
    <n v="4"/>
    <s v="Female"/>
    <n v="32"/>
    <n v="1"/>
    <n v="2"/>
    <s v="Sales Executive"/>
    <n v="4"/>
    <s v="Single"/>
    <n v="6029"/>
    <n v="25353"/>
    <n v="5"/>
    <s v="No"/>
    <n v="12"/>
    <n v="3"/>
    <n v="1"/>
    <n v="0"/>
    <n v="6"/>
    <n v="3"/>
    <n v="3"/>
    <n v="2"/>
    <n v="2"/>
    <n v="2"/>
    <n v="2"/>
    <x v="2"/>
  </r>
  <r>
    <n v="21"/>
    <x v="0"/>
    <s v="Travel_Rarely"/>
    <n v="337"/>
    <s v="Sales"/>
    <n v="7"/>
    <n v="1"/>
    <s v="Marketing"/>
    <n v="1780"/>
    <n v="2"/>
    <s v="Male"/>
    <n v="31"/>
    <n v="3"/>
    <n v="1"/>
    <s v="Sales Representative"/>
    <n v="2"/>
    <s v="Single"/>
    <n v="2679"/>
    <n v="4567"/>
    <n v="1"/>
    <s v="No"/>
    <n v="13"/>
    <n v="3"/>
    <n v="2"/>
    <n v="0"/>
    <n v="1"/>
    <n v="3"/>
    <n v="3"/>
    <n v="1"/>
    <n v="0"/>
    <n v="1"/>
    <n v="0"/>
    <x v="2"/>
  </r>
  <r>
    <n v="38"/>
    <x v="1"/>
    <s v="Travel_Rarely"/>
    <n v="1153"/>
    <s v="Research &amp; Development"/>
    <n v="6"/>
    <n v="2"/>
    <s v="Other"/>
    <n v="1782"/>
    <n v="4"/>
    <s v="Female"/>
    <n v="40"/>
    <n v="2"/>
    <n v="1"/>
    <s v="Laboratory Technician"/>
    <n v="3"/>
    <s v="Married"/>
    <n v="3702"/>
    <n v="16376"/>
    <n v="1"/>
    <s v="No"/>
    <n v="11"/>
    <n v="3"/>
    <n v="2"/>
    <n v="1"/>
    <n v="5"/>
    <n v="3"/>
    <n v="3"/>
    <n v="5"/>
    <n v="4"/>
    <n v="0"/>
    <n v="4"/>
    <x v="0"/>
  </r>
  <r>
    <n v="22"/>
    <x v="0"/>
    <s v="Travel_Rarely"/>
    <n v="1294"/>
    <s v="Research &amp; Development"/>
    <n v="8"/>
    <n v="1"/>
    <s v="Medical"/>
    <n v="1783"/>
    <n v="3"/>
    <s v="Female"/>
    <n v="79"/>
    <n v="3"/>
    <n v="1"/>
    <s v="Laboratory Technician"/>
    <n v="1"/>
    <s v="Married"/>
    <n v="2398"/>
    <n v="15999"/>
    <n v="1"/>
    <s v="Yes"/>
    <n v="17"/>
    <n v="3"/>
    <n v="3"/>
    <n v="0"/>
    <n v="1"/>
    <n v="6"/>
    <n v="3"/>
    <n v="1"/>
    <n v="0"/>
    <n v="0"/>
    <n v="0"/>
    <x v="2"/>
  </r>
  <r>
    <n v="31"/>
    <x v="1"/>
    <s v="Travel_Rarely"/>
    <n v="196"/>
    <s v="Sales"/>
    <n v="29"/>
    <n v="4"/>
    <s v="Marketing"/>
    <n v="1784"/>
    <n v="1"/>
    <s v="Female"/>
    <n v="91"/>
    <n v="2"/>
    <n v="2"/>
    <s v="Sales Executive"/>
    <n v="4"/>
    <s v="Married"/>
    <n v="5468"/>
    <n v="13402"/>
    <n v="1"/>
    <s v="No"/>
    <n v="14"/>
    <n v="3"/>
    <n v="1"/>
    <n v="2"/>
    <n v="13"/>
    <n v="3"/>
    <n v="3"/>
    <n v="12"/>
    <n v="7"/>
    <n v="5"/>
    <n v="7"/>
    <x v="2"/>
  </r>
  <r>
    <n v="51"/>
    <x v="1"/>
    <s v="Travel_Rarely"/>
    <n v="942"/>
    <s v="Research &amp; Development"/>
    <n v="3"/>
    <n v="3"/>
    <s v="Technical Degree"/>
    <n v="1786"/>
    <n v="1"/>
    <s v="Female"/>
    <n v="53"/>
    <n v="3"/>
    <n v="3"/>
    <s v="Manager"/>
    <n v="3"/>
    <s v="Married"/>
    <n v="13116"/>
    <n v="22984"/>
    <n v="2"/>
    <s v="No"/>
    <n v="11"/>
    <n v="3"/>
    <n v="4"/>
    <n v="0"/>
    <n v="15"/>
    <n v="2"/>
    <n v="3"/>
    <n v="2"/>
    <n v="2"/>
    <n v="2"/>
    <n v="2"/>
    <x v="1"/>
  </r>
  <r>
    <n v="37"/>
    <x v="1"/>
    <s v="Travel_Rarely"/>
    <n v="589"/>
    <s v="Sales"/>
    <n v="9"/>
    <n v="2"/>
    <s v="Marketing"/>
    <n v="1787"/>
    <n v="2"/>
    <s v="Male"/>
    <n v="46"/>
    <n v="2"/>
    <n v="2"/>
    <s v="Sales Executive"/>
    <n v="2"/>
    <s v="Married"/>
    <n v="4189"/>
    <n v="8800"/>
    <n v="1"/>
    <s v="No"/>
    <n v="14"/>
    <n v="3"/>
    <n v="1"/>
    <n v="2"/>
    <n v="5"/>
    <n v="2"/>
    <n v="3"/>
    <n v="5"/>
    <n v="2"/>
    <n v="0"/>
    <n v="3"/>
    <x v="0"/>
  </r>
  <r>
    <n v="46"/>
    <x v="1"/>
    <s v="Travel_Rarely"/>
    <n v="734"/>
    <s v="Research &amp; Development"/>
    <n v="2"/>
    <n v="4"/>
    <s v="Medical"/>
    <n v="1789"/>
    <n v="3"/>
    <s v="Male"/>
    <n v="46"/>
    <n v="3"/>
    <n v="5"/>
    <s v="Research Director"/>
    <n v="4"/>
    <s v="Divorced"/>
    <n v="19328"/>
    <n v="14218"/>
    <n v="7"/>
    <s v="Yes"/>
    <n v="17"/>
    <n v="3"/>
    <n v="3"/>
    <n v="1"/>
    <n v="24"/>
    <n v="3"/>
    <n v="3"/>
    <n v="2"/>
    <n v="1"/>
    <n v="2"/>
    <n v="2"/>
    <x v="1"/>
  </r>
  <r>
    <n v="36"/>
    <x v="1"/>
    <s v="Travel_Rarely"/>
    <n v="1383"/>
    <s v="Research &amp; Development"/>
    <n v="10"/>
    <n v="3"/>
    <s v="Life Sciences"/>
    <n v="1790"/>
    <n v="4"/>
    <s v="Male"/>
    <n v="90"/>
    <n v="3"/>
    <n v="3"/>
    <s v="Healthcare Representative"/>
    <n v="1"/>
    <s v="Married"/>
    <n v="8321"/>
    <n v="25949"/>
    <n v="7"/>
    <s v="Yes"/>
    <n v="13"/>
    <n v="3"/>
    <n v="4"/>
    <n v="1"/>
    <n v="15"/>
    <n v="1"/>
    <n v="3"/>
    <n v="12"/>
    <n v="8"/>
    <n v="5"/>
    <n v="7"/>
    <x v="0"/>
  </r>
  <r>
    <n v="44"/>
    <x v="0"/>
    <s v="Travel_Frequently"/>
    <n v="429"/>
    <s v="Research &amp; Development"/>
    <n v="1"/>
    <n v="2"/>
    <s v="Medical"/>
    <n v="1792"/>
    <n v="3"/>
    <s v="Male"/>
    <n v="99"/>
    <n v="3"/>
    <n v="1"/>
    <s v="Research Scientist"/>
    <n v="2"/>
    <s v="Divorced"/>
    <n v="2342"/>
    <n v="11092"/>
    <n v="1"/>
    <s v="Yes"/>
    <n v="12"/>
    <n v="3"/>
    <n v="3"/>
    <n v="3"/>
    <n v="6"/>
    <n v="2"/>
    <n v="2"/>
    <n v="5"/>
    <n v="3"/>
    <n v="2"/>
    <n v="3"/>
    <x v="0"/>
  </r>
  <r>
    <n v="37"/>
    <x v="1"/>
    <s v="Travel_Rarely"/>
    <n v="1239"/>
    <s v="Human Resources"/>
    <n v="8"/>
    <n v="2"/>
    <s v="Other"/>
    <n v="1794"/>
    <n v="3"/>
    <s v="Male"/>
    <n v="89"/>
    <n v="3"/>
    <n v="2"/>
    <s v="Human Resources"/>
    <n v="2"/>
    <s v="Divorced"/>
    <n v="4071"/>
    <n v="12832"/>
    <n v="2"/>
    <s v="No"/>
    <n v="13"/>
    <n v="3"/>
    <n v="3"/>
    <n v="0"/>
    <n v="19"/>
    <n v="4"/>
    <n v="2"/>
    <n v="10"/>
    <n v="0"/>
    <n v="4"/>
    <n v="7"/>
    <x v="0"/>
  </r>
  <r>
    <n v="35"/>
    <x v="0"/>
    <s v="Travel_Rarely"/>
    <n v="303"/>
    <s v="Sales"/>
    <n v="27"/>
    <n v="3"/>
    <s v="Life Sciences"/>
    <n v="1797"/>
    <n v="3"/>
    <s v="Male"/>
    <n v="84"/>
    <n v="3"/>
    <n v="2"/>
    <s v="Sales Executive"/>
    <n v="4"/>
    <s v="Single"/>
    <n v="5813"/>
    <n v="13492"/>
    <n v="1"/>
    <s v="Yes"/>
    <n v="18"/>
    <n v="3"/>
    <n v="4"/>
    <n v="0"/>
    <n v="10"/>
    <n v="2"/>
    <n v="3"/>
    <n v="10"/>
    <n v="7"/>
    <n v="7"/>
    <n v="7"/>
    <x v="0"/>
  </r>
  <r>
    <n v="33"/>
    <x v="1"/>
    <s v="Travel_Rarely"/>
    <n v="867"/>
    <s v="Research &amp; Development"/>
    <n v="8"/>
    <n v="4"/>
    <s v="Life Sciences"/>
    <n v="1798"/>
    <n v="4"/>
    <s v="Male"/>
    <n v="90"/>
    <n v="4"/>
    <n v="1"/>
    <s v="Research Scientist"/>
    <n v="1"/>
    <s v="Married"/>
    <n v="3143"/>
    <n v="6076"/>
    <n v="6"/>
    <s v="No"/>
    <n v="19"/>
    <n v="3"/>
    <n v="2"/>
    <n v="1"/>
    <n v="14"/>
    <n v="1"/>
    <n v="3"/>
    <n v="10"/>
    <n v="8"/>
    <n v="7"/>
    <n v="6"/>
    <x v="2"/>
  </r>
  <r>
    <n v="28"/>
    <x v="1"/>
    <s v="Travel_Rarely"/>
    <n v="1181"/>
    <s v="Research &amp; Development"/>
    <n v="1"/>
    <n v="3"/>
    <s v="Life Sciences"/>
    <n v="1799"/>
    <n v="3"/>
    <s v="Male"/>
    <n v="82"/>
    <n v="3"/>
    <n v="1"/>
    <s v="Research Scientist"/>
    <n v="4"/>
    <s v="Married"/>
    <n v="2044"/>
    <n v="5531"/>
    <n v="1"/>
    <s v="No"/>
    <n v="11"/>
    <n v="3"/>
    <n v="3"/>
    <n v="1"/>
    <n v="5"/>
    <n v="6"/>
    <n v="4"/>
    <n v="5"/>
    <n v="3"/>
    <n v="0"/>
    <n v="3"/>
    <x v="2"/>
  </r>
  <r>
    <n v="39"/>
    <x v="1"/>
    <s v="Travel_Rarely"/>
    <n v="1253"/>
    <s v="Research &amp; Development"/>
    <n v="10"/>
    <n v="1"/>
    <s v="Medical"/>
    <n v="1800"/>
    <n v="3"/>
    <s v="Male"/>
    <n v="65"/>
    <n v="3"/>
    <n v="3"/>
    <s v="Research Director"/>
    <n v="3"/>
    <s v="Single"/>
    <n v="13464"/>
    <n v="7914"/>
    <n v="7"/>
    <s v="No"/>
    <n v="21"/>
    <n v="4"/>
    <n v="3"/>
    <n v="0"/>
    <n v="9"/>
    <n v="3"/>
    <n v="3"/>
    <n v="4"/>
    <n v="3"/>
    <n v="2"/>
    <n v="2"/>
    <x v="0"/>
  </r>
  <r>
    <n v="46"/>
    <x v="1"/>
    <s v="Non-Travel"/>
    <n v="849"/>
    <s v="Sales"/>
    <n v="26"/>
    <n v="2"/>
    <s v="Life Sciences"/>
    <n v="1801"/>
    <n v="2"/>
    <s v="Male"/>
    <n v="98"/>
    <n v="2"/>
    <n v="2"/>
    <s v="Sales Executive"/>
    <n v="2"/>
    <s v="Single"/>
    <n v="7991"/>
    <n v="25166"/>
    <n v="8"/>
    <s v="No"/>
    <n v="15"/>
    <n v="3"/>
    <n v="3"/>
    <n v="0"/>
    <n v="6"/>
    <n v="3"/>
    <n v="3"/>
    <n v="2"/>
    <n v="2"/>
    <n v="2"/>
    <n v="2"/>
    <x v="1"/>
  </r>
  <r>
    <n v="40"/>
    <x v="1"/>
    <s v="Travel_Rarely"/>
    <n v="616"/>
    <s v="Research &amp; Development"/>
    <n v="2"/>
    <n v="2"/>
    <s v="Life Sciences"/>
    <n v="1802"/>
    <n v="3"/>
    <s v="Female"/>
    <n v="99"/>
    <n v="3"/>
    <n v="1"/>
    <s v="Laboratory Technician"/>
    <n v="1"/>
    <s v="Married"/>
    <n v="3377"/>
    <n v="25605"/>
    <n v="4"/>
    <s v="No"/>
    <n v="17"/>
    <n v="3"/>
    <n v="4"/>
    <n v="1"/>
    <n v="7"/>
    <n v="5"/>
    <n v="2"/>
    <n v="4"/>
    <n v="3"/>
    <n v="0"/>
    <n v="2"/>
    <x v="0"/>
  </r>
  <r>
    <n v="42"/>
    <x v="1"/>
    <s v="Travel_Rarely"/>
    <n v="1128"/>
    <s v="Research &amp; Development"/>
    <n v="13"/>
    <n v="3"/>
    <s v="Medical"/>
    <n v="1803"/>
    <n v="2"/>
    <s v="Male"/>
    <n v="95"/>
    <n v="4"/>
    <n v="2"/>
    <s v="Healthcare Representative"/>
    <n v="1"/>
    <s v="Married"/>
    <n v="5538"/>
    <n v="5696"/>
    <n v="5"/>
    <s v="No"/>
    <n v="18"/>
    <n v="3"/>
    <n v="3"/>
    <n v="2"/>
    <n v="10"/>
    <n v="2"/>
    <n v="2"/>
    <n v="0"/>
    <n v="0"/>
    <n v="0"/>
    <n v="0"/>
    <x v="0"/>
  </r>
  <r>
    <n v="35"/>
    <x v="1"/>
    <s v="Non-Travel"/>
    <n v="1180"/>
    <s v="Research &amp; Development"/>
    <n v="2"/>
    <n v="2"/>
    <s v="Medical"/>
    <n v="1804"/>
    <n v="2"/>
    <s v="Male"/>
    <n v="90"/>
    <n v="3"/>
    <n v="2"/>
    <s v="Manufacturing Director"/>
    <n v="4"/>
    <s v="Divorced"/>
    <n v="5762"/>
    <n v="24442"/>
    <n v="2"/>
    <s v="No"/>
    <n v="14"/>
    <n v="3"/>
    <n v="3"/>
    <n v="1"/>
    <n v="15"/>
    <n v="6"/>
    <n v="3"/>
    <n v="7"/>
    <n v="7"/>
    <n v="1"/>
    <n v="7"/>
    <x v="0"/>
  </r>
  <r>
    <n v="38"/>
    <x v="1"/>
    <s v="Non-Travel"/>
    <n v="1336"/>
    <s v="Human Resources"/>
    <n v="2"/>
    <n v="3"/>
    <s v="Human Resources"/>
    <n v="1805"/>
    <n v="1"/>
    <s v="Male"/>
    <n v="100"/>
    <n v="3"/>
    <n v="1"/>
    <s v="Human Resources"/>
    <n v="2"/>
    <s v="Divorced"/>
    <n v="2592"/>
    <n v="7129"/>
    <n v="5"/>
    <s v="No"/>
    <n v="13"/>
    <n v="3"/>
    <n v="4"/>
    <n v="3"/>
    <n v="13"/>
    <n v="3"/>
    <n v="3"/>
    <n v="11"/>
    <n v="10"/>
    <n v="3"/>
    <n v="8"/>
    <x v="0"/>
  </r>
  <r>
    <n v="34"/>
    <x v="0"/>
    <s v="Travel_Frequently"/>
    <n v="234"/>
    <s v="Research &amp; Development"/>
    <n v="9"/>
    <n v="4"/>
    <s v="Life Sciences"/>
    <n v="1807"/>
    <n v="4"/>
    <s v="Male"/>
    <n v="93"/>
    <n v="3"/>
    <n v="2"/>
    <s v="Laboratory Technician"/>
    <n v="1"/>
    <s v="Married"/>
    <n v="5346"/>
    <n v="6208"/>
    <n v="4"/>
    <s v="No"/>
    <n v="17"/>
    <n v="3"/>
    <n v="3"/>
    <n v="1"/>
    <n v="11"/>
    <n v="3"/>
    <n v="2"/>
    <n v="7"/>
    <n v="1"/>
    <n v="0"/>
    <n v="7"/>
    <x v="2"/>
  </r>
  <r>
    <n v="37"/>
    <x v="0"/>
    <s v="Travel_Rarely"/>
    <n v="370"/>
    <s v="Research &amp; Development"/>
    <n v="10"/>
    <n v="4"/>
    <s v="Medical"/>
    <n v="1809"/>
    <n v="4"/>
    <s v="Male"/>
    <n v="58"/>
    <n v="3"/>
    <n v="2"/>
    <s v="Manufacturing Director"/>
    <n v="1"/>
    <s v="Single"/>
    <n v="4213"/>
    <n v="4992"/>
    <n v="1"/>
    <s v="No"/>
    <n v="15"/>
    <n v="3"/>
    <n v="2"/>
    <n v="0"/>
    <n v="10"/>
    <n v="4"/>
    <n v="1"/>
    <n v="10"/>
    <n v="3"/>
    <n v="0"/>
    <n v="8"/>
    <x v="0"/>
  </r>
  <r>
    <n v="39"/>
    <x v="1"/>
    <s v="Travel_Frequently"/>
    <n v="766"/>
    <s v="Sales"/>
    <n v="20"/>
    <n v="3"/>
    <s v="Life Sciences"/>
    <n v="1812"/>
    <n v="3"/>
    <s v="Male"/>
    <n v="83"/>
    <n v="3"/>
    <n v="2"/>
    <s v="Sales Executive"/>
    <n v="4"/>
    <s v="Divorced"/>
    <n v="4127"/>
    <n v="19188"/>
    <n v="2"/>
    <s v="No"/>
    <n v="18"/>
    <n v="3"/>
    <n v="4"/>
    <n v="1"/>
    <n v="7"/>
    <n v="6"/>
    <n v="3"/>
    <n v="2"/>
    <n v="1"/>
    <n v="2"/>
    <n v="2"/>
    <x v="0"/>
  </r>
  <r>
    <n v="43"/>
    <x v="1"/>
    <s v="Non-Travel"/>
    <n v="343"/>
    <s v="Research &amp; Development"/>
    <n v="9"/>
    <n v="3"/>
    <s v="Life Sciences"/>
    <n v="1813"/>
    <n v="1"/>
    <s v="Male"/>
    <n v="52"/>
    <n v="3"/>
    <n v="1"/>
    <s v="Research Scientist"/>
    <n v="3"/>
    <s v="Single"/>
    <n v="2438"/>
    <n v="24978"/>
    <n v="4"/>
    <s v="No"/>
    <n v="13"/>
    <n v="3"/>
    <n v="3"/>
    <n v="0"/>
    <n v="7"/>
    <n v="2"/>
    <n v="2"/>
    <n v="3"/>
    <n v="2"/>
    <n v="1"/>
    <n v="2"/>
    <x v="0"/>
  </r>
  <r>
    <n v="41"/>
    <x v="1"/>
    <s v="Travel_Rarely"/>
    <n v="447"/>
    <s v="Research &amp; Development"/>
    <n v="5"/>
    <n v="3"/>
    <s v="Life Sciences"/>
    <n v="1814"/>
    <n v="2"/>
    <s v="Male"/>
    <n v="85"/>
    <n v="4"/>
    <n v="2"/>
    <s v="Healthcare Representative"/>
    <n v="2"/>
    <s v="Single"/>
    <n v="6870"/>
    <n v="15530"/>
    <n v="3"/>
    <s v="No"/>
    <n v="12"/>
    <n v="3"/>
    <n v="1"/>
    <n v="0"/>
    <n v="11"/>
    <n v="3"/>
    <n v="1"/>
    <n v="3"/>
    <n v="2"/>
    <n v="1"/>
    <n v="2"/>
    <x v="0"/>
  </r>
  <r>
    <n v="41"/>
    <x v="1"/>
    <s v="Travel_Rarely"/>
    <n v="796"/>
    <s v="Sales"/>
    <n v="4"/>
    <n v="1"/>
    <s v="Marketing"/>
    <n v="1815"/>
    <n v="3"/>
    <s v="Female"/>
    <n v="81"/>
    <n v="3"/>
    <n v="3"/>
    <s v="Sales Executive"/>
    <n v="3"/>
    <s v="Divorced"/>
    <n v="10447"/>
    <n v="26458"/>
    <n v="0"/>
    <s v="Yes"/>
    <n v="13"/>
    <n v="3"/>
    <n v="4"/>
    <n v="1"/>
    <n v="23"/>
    <n v="3"/>
    <n v="4"/>
    <n v="22"/>
    <n v="14"/>
    <n v="13"/>
    <n v="5"/>
    <x v="0"/>
  </r>
  <r>
    <n v="30"/>
    <x v="1"/>
    <s v="Travel_Rarely"/>
    <n v="1092"/>
    <s v="Research &amp; Development"/>
    <n v="10"/>
    <n v="3"/>
    <s v="Medical"/>
    <n v="1816"/>
    <n v="1"/>
    <s v="Female"/>
    <n v="64"/>
    <n v="3"/>
    <n v="3"/>
    <s v="Manufacturing Director"/>
    <n v="3"/>
    <s v="Single"/>
    <n v="9667"/>
    <n v="2739"/>
    <n v="9"/>
    <s v="No"/>
    <n v="14"/>
    <n v="3"/>
    <n v="2"/>
    <n v="0"/>
    <n v="9"/>
    <n v="3"/>
    <n v="3"/>
    <n v="7"/>
    <n v="7"/>
    <n v="0"/>
    <n v="2"/>
    <x v="2"/>
  </r>
  <r>
    <n v="26"/>
    <x v="0"/>
    <s v="Travel_Rarely"/>
    <n v="920"/>
    <s v="Human Resources"/>
    <n v="20"/>
    <n v="2"/>
    <s v="Medical"/>
    <n v="1818"/>
    <n v="4"/>
    <s v="Female"/>
    <n v="69"/>
    <n v="3"/>
    <n v="1"/>
    <s v="Human Resources"/>
    <n v="2"/>
    <s v="Married"/>
    <n v="2148"/>
    <n v="6889"/>
    <n v="0"/>
    <s v="Yes"/>
    <n v="11"/>
    <n v="3"/>
    <n v="3"/>
    <n v="0"/>
    <n v="6"/>
    <n v="3"/>
    <n v="3"/>
    <n v="5"/>
    <n v="1"/>
    <n v="1"/>
    <n v="4"/>
    <x v="2"/>
  </r>
  <r>
    <n v="46"/>
    <x v="0"/>
    <s v="Travel_Rarely"/>
    <n v="261"/>
    <s v="Research &amp; Development"/>
    <n v="21"/>
    <n v="2"/>
    <s v="Medical"/>
    <n v="1821"/>
    <n v="4"/>
    <s v="Female"/>
    <n v="66"/>
    <n v="3"/>
    <n v="2"/>
    <s v="Healthcare Representative"/>
    <n v="2"/>
    <s v="Married"/>
    <n v="8926"/>
    <n v="10842"/>
    <n v="4"/>
    <s v="No"/>
    <n v="22"/>
    <n v="4"/>
    <n v="4"/>
    <n v="1"/>
    <n v="13"/>
    <n v="2"/>
    <n v="4"/>
    <n v="9"/>
    <n v="7"/>
    <n v="3"/>
    <n v="7"/>
    <x v="1"/>
  </r>
  <r>
    <n v="40"/>
    <x v="1"/>
    <s v="Travel_Rarely"/>
    <n v="1194"/>
    <s v="Research &amp; Development"/>
    <n v="1"/>
    <n v="3"/>
    <s v="Life Sciences"/>
    <n v="1822"/>
    <n v="3"/>
    <s v="Female"/>
    <n v="52"/>
    <n v="3"/>
    <n v="2"/>
    <s v="Healthcare Representative"/>
    <n v="4"/>
    <s v="Divorced"/>
    <n v="6513"/>
    <n v="9060"/>
    <n v="4"/>
    <s v="No"/>
    <n v="17"/>
    <n v="3"/>
    <n v="4"/>
    <n v="1"/>
    <n v="12"/>
    <n v="3"/>
    <n v="3"/>
    <n v="5"/>
    <n v="3"/>
    <n v="0"/>
    <n v="3"/>
    <x v="0"/>
  </r>
  <r>
    <n v="34"/>
    <x v="1"/>
    <s v="Travel_Rarely"/>
    <n v="810"/>
    <s v="Sales"/>
    <n v="8"/>
    <n v="2"/>
    <s v="Technical Degree"/>
    <n v="1823"/>
    <n v="2"/>
    <s v="Male"/>
    <n v="92"/>
    <n v="4"/>
    <n v="2"/>
    <s v="Sales Executive"/>
    <n v="3"/>
    <s v="Married"/>
    <n v="6799"/>
    <n v="22128"/>
    <n v="1"/>
    <s v="No"/>
    <n v="21"/>
    <n v="4"/>
    <n v="3"/>
    <n v="2"/>
    <n v="10"/>
    <n v="5"/>
    <n v="3"/>
    <n v="10"/>
    <n v="8"/>
    <n v="4"/>
    <n v="8"/>
    <x v="2"/>
  </r>
  <r>
    <n v="58"/>
    <x v="1"/>
    <s v="Non-Travel"/>
    <n v="350"/>
    <s v="Sales"/>
    <n v="2"/>
    <n v="3"/>
    <s v="Medical"/>
    <n v="1824"/>
    <n v="2"/>
    <s v="Male"/>
    <n v="52"/>
    <n v="3"/>
    <n v="4"/>
    <s v="Manager"/>
    <n v="2"/>
    <s v="Divorced"/>
    <n v="16291"/>
    <n v="22577"/>
    <n v="4"/>
    <s v="No"/>
    <n v="22"/>
    <n v="4"/>
    <n v="4"/>
    <n v="1"/>
    <n v="37"/>
    <n v="0"/>
    <n v="2"/>
    <n v="16"/>
    <n v="9"/>
    <n v="14"/>
    <n v="14"/>
    <x v="3"/>
  </r>
  <r>
    <n v="35"/>
    <x v="1"/>
    <s v="Travel_Rarely"/>
    <n v="185"/>
    <s v="Research &amp; Development"/>
    <n v="23"/>
    <n v="4"/>
    <s v="Medical"/>
    <n v="1826"/>
    <n v="2"/>
    <s v="Male"/>
    <n v="91"/>
    <n v="1"/>
    <n v="1"/>
    <s v="Laboratory Technician"/>
    <n v="3"/>
    <s v="Married"/>
    <n v="2705"/>
    <n v="9696"/>
    <n v="0"/>
    <s v="No"/>
    <n v="16"/>
    <n v="3"/>
    <n v="2"/>
    <n v="1"/>
    <n v="6"/>
    <n v="2"/>
    <n v="4"/>
    <n v="5"/>
    <n v="4"/>
    <n v="0"/>
    <n v="3"/>
    <x v="0"/>
  </r>
  <r>
    <n v="47"/>
    <x v="1"/>
    <s v="Travel_Rarely"/>
    <n v="1001"/>
    <s v="Research &amp; Development"/>
    <n v="4"/>
    <n v="3"/>
    <s v="Life Sciences"/>
    <n v="1827"/>
    <n v="3"/>
    <s v="Female"/>
    <n v="92"/>
    <n v="2"/>
    <n v="3"/>
    <s v="Manufacturing Director"/>
    <n v="2"/>
    <s v="Divorced"/>
    <n v="10333"/>
    <n v="19271"/>
    <n v="8"/>
    <s v="Yes"/>
    <n v="12"/>
    <n v="3"/>
    <n v="3"/>
    <n v="1"/>
    <n v="28"/>
    <n v="4"/>
    <n v="3"/>
    <n v="22"/>
    <n v="11"/>
    <n v="14"/>
    <n v="10"/>
    <x v="1"/>
  </r>
  <r>
    <n v="40"/>
    <x v="1"/>
    <s v="Travel_Rarely"/>
    <n v="750"/>
    <s v="Research &amp; Development"/>
    <n v="12"/>
    <n v="3"/>
    <s v="Life Sciences"/>
    <n v="1829"/>
    <n v="2"/>
    <s v="Female"/>
    <n v="47"/>
    <n v="3"/>
    <n v="2"/>
    <s v="Healthcare Representative"/>
    <n v="1"/>
    <s v="Divorced"/>
    <n v="4448"/>
    <n v="10748"/>
    <n v="2"/>
    <s v="No"/>
    <n v="12"/>
    <n v="3"/>
    <n v="2"/>
    <n v="1"/>
    <n v="15"/>
    <n v="3"/>
    <n v="3"/>
    <n v="7"/>
    <n v="4"/>
    <n v="7"/>
    <n v="7"/>
    <x v="0"/>
  </r>
  <r>
    <n v="54"/>
    <x v="1"/>
    <s v="Travel_Rarely"/>
    <n v="431"/>
    <s v="Research &amp; Development"/>
    <n v="7"/>
    <n v="4"/>
    <s v="Medical"/>
    <n v="1830"/>
    <n v="4"/>
    <s v="Female"/>
    <n v="68"/>
    <n v="3"/>
    <n v="2"/>
    <s v="Research Scientist"/>
    <n v="4"/>
    <s v="Married"/>
    <n v="6854"/>
    <n v="15696"/>
    <n v="4"/>
    <s v="No"/>
    <n v="15"/>
    <n v="3"/>
    <n v="2"/>
    <n v="1"/>
    <n v="14"/>
    <n v="2"/>
    <n v="2"/>
    <n v="7"/>
    <n v="1"/>
    <n v="1"/>
    <n v="7"/>
    <x v="1"/>
  </r>
  <r>
    <n v="31"/>
    <x v="1"/>
    <s v="Travel_Frequently"/>
    <n v="1125"/>
    <s v="Sales"/>
    <n v="7"/>
    <n v="4"/>
    <s v="Marketing"/>
    <n v="1833"/>
    <n v="1"/>
    <s v="Female"/>
    <n v="68"/>
    <n v="3"/>
    <n v="3"/>
    <s v="Sales Executive"/>
    <n v="1"/>
    <s v="Married"/>
    <n v="9637"/>
    <n v="8277"/>
    <n v="2"/>
    <s v="No"/>
    <n v="14"/>
    <n v="3"/>
    <n v="4"/>
    <n v="2"/>
    <n v="9"/>
    <n v="3"/>
    <n v="3"/>
    <n v="3"/>
    <n v="2"/>
    <n v="2"/>
    <n v="2"/>
    <x v="2"/>
  </r>
  <r>
    <n v="28"/>
    <x v="1"/>
    <s v="Travel_Rarely"/>
    <n v="1217"/>
    <s v="Research &amp; Development"/>
    <n v="1"/>
    <n v="3"/>
    <s v="Medical"/>
    <n v="1834"/>
    <n v="3"/>
    <s v="Female"/>
    <n v="67"/>
    <n v="3"/>
    <n v="1"/>
    <s v="Research Scientist"/>
    <n v="1"/>
    <s v="Married"/>
    <n v="3591"/>
    <n v="12719"/>
    <n v="1"/>
    <s v="No"/>
    <n v="25"/>
    <n v="4"/>
    <n v="3"/>
    <n v="1"/>
    <n v="3"/>
    <n v="3"/>
    <n v="3"/>
    <n v="3"/>
    <n v="2"/>
    <n v="1"/>
    <n v="2"/>
    <x v="2"/>
  </r>
  <r>
    <n v="38"/>
    <x v="1"/>
    <s v="Travel_Rarely"/>
    <n v="723"/>
    <s v="Sales"/>
    <n v="2"/>
    <n v="4"/>
    <s v="Marketing"/>
    <n v="1835"/>
    <n v="2"/>
    <s v="Female"/>
    <n v="77"/>
    <n v="1"/>
    <n v="2"/>
    <s v="Sales Representative"/>
    <n v="4"/>
    <s v="Married"/>
    <n v="5405"/>
    <n v="4244"/>
    <n v="2"/>
    <s v="Yes"/>
    <n v="20"/>
    <n v="4"/>
    <n v="1"/>
    <n v="2"/>
    <n v="20"/>
    <n v="4"/>
    <n v="2"/>
    <n v="4"/>
    <n v="2"/>
    <n v="0"/>
    <n v="3"/>
    <x v="0"/>
  </r>
  <r>
    <n v="26"/>
    <x v="1"/>
    <s v="Travel_Rarely"/>
    <n v="572"/>
    <s v="Sales"/>
    <n v="10"/>
    <n v="3"/>
    <s v="Medical"/>
    <n v="1836"/>
    <n v="3"/>
    <s v="Male"/>
    <n v="46"/>
    <n v="3"/>
    <n v="2"/>
    <s v="Sales Executive"/>
    <n v="4"/>
    <s v="Single"/>
    <n v="4684"/>
    <n v="9125"/>
    <n v="1"/>
    <s v="No"/>
    <n v="13"/>
    <n v="3"/>
    <n v="1"/>
    <n v="0"/>
    <n v="5"/>
    <n v="4"/>
    <n v="3"/>
    <n v="5"/>
    <n v="3"/>
    <n v="1"/>
    <n v="2"/>
    <x v="2"/>
  </r>
  <r>
    <n v="58"/>
    <x v="1"/>
    <s v="Travel_Frequently"/>
    <n v="1216"/>
    <s v="Research &amp; Development"/>
    <n v="15"/>
    <n v="4"/>
    <s v="Life Sciences"/>
    <n v="1837"/>
    <n v="1"/>
    <s v="Male"/>
    <n v="87"/>
    <n v="3"/>
    <n v="4"/>
    <s v="Research Director"/>
    <n v="3"/>
    <s v="Married"/>
    <n v="15787"/>
    <n v="21624"/>
    <n v="2"/>
    <s v="Yes"/>
    <n v="14"/>
    <n v="3"/>
    <n v="2"/>
    <n v="0"/>
    <n v="23"/>
    <n v="3"/>
    <n v="3"/>
    <n v="2"/>
    <n v="2"/>
    <n v="2"/>
    <n v="2"/>
    <x v="3"/>
  </r>
  <r>
    <n v="18"/>
    <x v="1"/>
    <s v="Non-Travel"/>
    <n v="1431"/>
    <s v="Research &amp; Development"/>
    <n v="14"/>
    <n v="3"/>
    <s v="Medical"/>
    <n v="1839"/>
    <n v="2"/>
    <s v="Female"/>
    <n v="33"/>
    <n v="3"/>
    <n v="1"/>
    <s v="Research Scientist"/>
    <n v="3"/>
    <s v="Single"/>
    <n v="1514"/>
    <n v="8018"/>
    <n v="1"/>
    <s v="No"/>
    <n v="16"/>
    <n v="3"/>
    <n v="3"/>
    <n v="0"/>
    <n v="0"/>
    <n v="4"/>
    <n v="1"/>
    <n v="0"/>
    <n v="0"/>
    <n v="0"/>
    <n v="0"/>
    <x v="2"/>
  </r>
  <r>
    <n v="31"/>
    <x v="0"/>
    <s v="Travel_Rarely"/>
    <n v="359"/>
    <s v="Human Resources"/>
    <n v="18"/>
    <n v="5"/>
    <s v="Human Resources"/>
    <n v="1842"/>
    <n v="4"/>
    <s v="Male"/>
    <n v="89"/>
    <n v="4"/>
    <n v="1"/>
    <s v="Human Resources"/>
    <n v="1"/>
    <s v="Married"/>
    <n v="2956"/>
    <n v="21495"/>
    <n v="0"/>
    <s v="No"/>
    <n v="17"/>
    <n v="3"/>
    <n v="3"/>
    <n v="0"/>
    <n v="2"/>
    <n v="4"/>
    <n v="3"/>
    <n v="1"/>
    <n v="0"/>
    <n v="0"/>
    <n v="0"/>
    <x v="2"/>
  </r>
  <r>
    <n v="29"/>
    <x v="0"/>
    <s v="Travel_Rarely"/>
    <n v="350"/>
    <s v="Human Resources"/>
    <n v="13"/>
    <n v="3"/>
    <s v="Human Resources"/>
    <n v="1844"/>
    <n v="1"/>
    <s v="Male"/>
    <n v="56"/>
    <n v="2"/>
    <n v="1"/>
    <s v="Human Resources"/>
    <n v="1"/>
    <s v="Divorced"/>
    <n v="2335"/>
    <n v="3157"/>
    <n v="4"/>
    <s v="Yes"/>
    <n v="15"/>
    <n v="3"/>
    <n v="4"/>
    <n v="3"/>
    <n v="4"/>
    <n v="3"/>
    <n v="3"/>
    <n v="2"/>
    <n v="2"/>
    <n v="2"/>
    <n v="0"/>
    <x v="2"/>
  </r>
  <r>
    <n v="45"/>
    <x v="1"/>
    <s v="Non-Travel"/>
    <n v="589"/>
    <s v="Sales"/>
    <n v="2"/>
    <n v="4"/>
    <s v="Life Sciences"/>
    <n v="1845"/>
    <n v="3"/>
    <s v="Female"/>
    <n v="67"/>
    <n v="3"/>
    <n v="2"/>
    <s v="Sales Executive"/>
    <n v="3"/>
    <s v="Married"/>
    <n v="5154"/>
    <n v="19665"/>
    <n v="4"/>
    <s v="No"/>
    <n v="22"/>
    <n v="4"/>
    <n v="2"/>
    <n v="2"/>
    <n v="10"/>
    <n v="3"/>
    <n v="4"/>
    <n v="8"/>
    <n v="7"/>
    <n v="5"/>
    <n v="7"/>
    <x v="1"/>
  </r>
  <r>
    <n v="36"/>
    <x v="1"/>
    <s v="Travel_Rarely"/>
    <n v="430"/>
    <s v="Research &amp; Development"/>
    <n v="2"/>
    <n v="4"/>
    <s v="Other"/>
    <n v="1847"/>
    <n v="4"/>
    <s v="Female"/>
    <n v="73"/>
    <n v="3"/>
    <n v="2"/>
    <s v="Research Scientist"/>
    <n v="2"/>
    <s v="Married"/>
    <n v="6962"/>
    <n v="19573"/>
    <n v="4"/>
    <s v="Yes"/>
    <n v="22"/>
    <n v="4"/>
    <n v="4"/>
    <n v="1"/>
    <n v="15"/>
    <n v="2"/>
    <n v="3"/>
    <n v="1"/>
    <n v="0"/>
    <n v="0"/>
    <n v="0"/>
    <x v="0"/>
  </r>
  <r>
    <n v="43"/>
    <x v="1"/>
    <s v="Travel_Frequently"/>
    <n v="1422"/>
    <s v="Sales"/>
    <n v="2"/>
    <n v="4"/>
    <s v="Life Sciences"/>
    <n v="1849"/>
    <n v="1"/>
    <s v="Male"/>
    <n v="92"/>
    <n v="3"/>
    <n v="2"/>
    <s v="Sales Executive"/>
    <n v="4"/>
    <s v="Married"/>
    <n v="5675"/>
    <n v="19246"/>
    <n v="1"/>
    <s v="No"/>
    <n v="20"/>
    <n v="4"/>
    <n v="3"/>
    <n v="1"/>
    <n v="7"/>
    <n v="5"/>
    <n v="3"/>
    <n v="7"/>
    <n v="7"/>
    <n v="7"/>
    <n v="7"/>
    <x v="0"/>
  </r>
  <r>
    <n v="27"/>
    <x v="1"/>
    <s v="Travel_Frequently"/>
    <n v="1297"/>
    <s v="Research &amp; Development"/>
    <n v="5"/>
    <n v="2"/>
    <s v="Life Sciences"/>
    <n v="1850"/>
    <n v="4"/>
    <s v="Female"/>
    <n v="53"/>
    <n v="3"/>
    <n v="1"/>
    <s v="Laboratory Technician"/>
    <n v="4"/>
    <s v="Single"/>
    <n v="2379"/>
    <n v="19826"/>
    <n v="0"/>
    <s v="Yes"/>
    <n v="14"/>
    <n v="3"/>
    <n v="3"/>
    <n v="0"/>
    <n v="6"/>
    <n v="3"/>
    <n v="2"/>
    <n v="5"/>
    <n v="4"/>
    <n v="0"/>
    <n v="2"/>
    <x v="2"/>
  </r>
  <r>
    <n v="29"/>
    <x v="1"/>
    <s v="Travel_Frequently"/>
    <n v="574"/>
    <s v="Research &amp; Development"/>
    <n v="20"/>
    <n v="1"/>
    <s v="Medical"/>
    <n v="1852"/>
    <n v="4"/>
    <s v="Male"/>
    <n v="40"/>
    <n v="3"/>
    <n v="1"/>
    <s v="Laboratory Technician"/>
    <n v="4"/>
    <s v="Married"/>
    <n v="3812"/>
    <n v="7003"/>
    <n v="1"/>
    <s v="No"/>
    <n v="13"/>
    <n v="3"/>
    <n v="2"/>
    <n v="0"/>
    <n v="11"/>
    <n v="3"/>
    <n v="4"/>
    <n v="11"/>
    <n v="8"/>
    <n v="3"/>
    <n v="10"/>
    <x v="2"/>
  </r>
  <r>
    <n v="32"/>
    <x v="1"/>
    <s v="Travel_Frequently"/>
    <n v="1318"/>
    <s v="Sales"/>
    <n v="10"/>
    <n v="4"/>
    <s v="Marketing"/>
    <n v="1853"/>
    <n v="4"/>
    <s v="Male"/>
    <n v="79"/>
    <n v="3"/>
    <n v="2"/>
    <s v="Sales Executive"/>
    <n v="4"/>
    <s v="Single"/>
    <n v="4648"/>
    <n v="26075"/>
    <n v="8"/>
    <s v="No"/>
    <n v="13"/>
    <n v="3"/>
    <n v="3"/>
    <n v="0"/>
    <n v="4"/>
    <n v="2"/>
    <n v="4"/>
    <n v="0"/>
    <n v="0"/>
    <n v="0"/>
    <n v="0"/>
    <x v="2"/>
  </r>
  <r>
    <n v="42"/>
    <x v="1"/>
    <s v="Non-Travel"/>
    <n v="355"/>
    <s v="Research &amp; Development"/>
    <n v="10"/>
    <n v="4"/>
    <s v="Technical Degree"/>
    <n v="1854"/>
    <n v="3"/>
    <s v="Male"/>
    <n v="38"/>
    <n v="3"/>
    <n v="1"/>
    <s v="Research Scientist"/>
    <n v="3"/>
    <s v="Married"/>
    <n v="2936"/>
    <n v="6161"/>
    <n v="3"/>
    <s v="No"/>
    <n v="22"/>
    <n v="4"/>
    <n v="2"/>
    <n v="2"/>
    <n v="10"/>
    <n v="1"/>
    <n v="2"/>
    <n v="6"/>
    <n v="3"/>
    <n v="3"/>
    <n v="3"/>
    <x v="0"/>
  </r>
  <r>
    <n v="47"/>
    <x v="1"/>
    <s v="Travel_Rarely"/>
    <n v="207"/>
    <s v="Research &amp; Development"/>
    <n v="9"/>
    <n v="4"/>
    <s v="Life Sciences"/>
    <n v="1856"/>
    <n v="2"/>
    <s v="Female"/>
    <n v="64"/>
    <n v="3"/>
    <n v="1"/>
    <s v="Laboratory Technician"/>
    <n v="3"/>
    <s v="Single"/>
    <n v="2105"/>
    <n v="5411"/>
    <n v="4"/>
    <s v="No"/>
    <n v="12"/>
    <n v="3"/>
    <n v="3"/>
    <n v="0"/>
    <n v="7"/>
    <n v="2"/>
    <n v="3"/>
    <n v="2"/>
    <n v="2"/>
    <n v="2"/>
    <n v="0"/>
    <x v="1"/>
  </r>
  <r>
    <n v="46"/>
    <x v="1"/>
    <s v="Travel_Rarely"/>
    <n v="706"/>
    <s v="Research &amp; Development"/>
    <n v="2"/>
    <n v="2"/>
    <s v="Life Sciences"/>
    <n v="1857"/>
    <n v="4"/>
    <s v="Male"/>
    <n v="82"/>
    <n v="3"/>
    <n v="3"/>
    <s v="Manufacturing Director"/>
    <n v="4"/>
    <s v="Divorced"/>
    <n v="8578"/>
    <n v="19989"/>
    <n v="3"/>
    <s v="No"/>
    <n v="14"/>
    <n v="3"/>
    <n v="3"/>
    <n v="1"/>
    <n v="12"/>
    <n v="4"/>
    <n v="2"/>
    <n v="9"/>
    <n v="8"/>
    <n v="4"/>
    <n v="7"/>
    <x v="1"/>
  </r>
  <r>
    <n v="28"/>
    <x v="1"/>
    <s v="Non-Travel"/>
    <n v="280"/>
    <s v="Human Resources"/>
    <n v="1"/>
    <n v="2"/>
    <s v="Life Sciences"/>
    <n v="1858"/>
    <n v="3"/>
    <s v="Male"/>
    <n v="43"/>
    <n v="3"/>
    <n v="1"/>
    <s v="Human Resources"/>
    <n v="4"/>
    <s v="Divorced"/>
    <n v="2706"/>
    <n v="10494"/>
    <n v="1"/>
    <s v="No"/>
    <n v="15"/>
    <n v="3"/>
    <n v="2"/>
    <n v="1"/>
    <n v="3"/>
    <n v="2"/>
    <n v="3"/>
    <n v="3"/>
    <n v="2"/>
    <n v="2"/>
    <n v="2"/>
    <x v="2"/>
  </r>
  <r>
    <n v="29"/>
    <x v="1"/>
    <s v="Travel_Rarely"/>
    <n v="726"/>
    <s v="Research &amp; Development"/>
    <n v="29"/>
    <n v="1"/>
    <s v="Life Sciences"/>
    <n v="1859"/>
    <n v="4"/>
    <s v="Male"/>
    <n v="93"/>
    <n v="1"/>
    <n v="2"/>
    <s v="Healthcare Representative"/>
    <n v="3"/>
    <s v="Divorced"/>
    <n v="6384"/>
    <n v="21143"/>
    <n v="8"/>
    <s v="No"/>
    <n v="17"/>
    <n v="3"/>
    <n v="4"/>
    <n v="2"/>
    <n v="11"/>
    <n v="3"/>
    <n v="3"/>
    <n v="7"/>
    <n v="0"/>
    <n v="1"/>
    <n v="6"/>
    <x v="2"/>
  </r>
  <r>
    <n v="42"/>
    <x v="1"/>
    <s v="Travel_Rarely"/>
    <n v="1142"/>
    <s v="Research &amp; Development"/>
    <n v="8"/>
    <n v="3"/>
    <s v="Life Sciences"/>
    <n v="1860"/>
    <n v="4"/>
    <s v="Male"/>
    <n v="81"/>
    <n v="3"/>
    <n v="1"/>
    <s v="Laboratory Technician"/>
    <n v="3"/>
    <s v="Single"/>
    <n v="3968"/>
    <n v="13624"/>
    <n v="4"/>
    <s v="No"/>
    <n v="13"/>
    <n v="3"/>
    <n v="4"/>
    <n v="0"/>
    <n v="8"/>
    <n v="3"/>
    <n v="3"/>
    <n v="0"/>
    <n v="0"/>
    <n v="0"/>
    <n v="0"/>
    <x v="0"/>
  </r>
  <r>
    <n v="32"/>
    <x v="0"/>
    <s v="Travel_Rarely"/>
    <n v="414"/>
    <s v="Sales"/>
    <n v="2"/>
    <n v="4"/>
    <s v="Marketing"/>
    <n v="1862"/>
    <n v="3"/>
    <s v="Male"/>
    <n v="82"/>
    <n v="2"/>
    <n v="2"/>
    <s v="Sales Executive"/>
    <n v="2"/>
    <s v="Single"/>
    <n v="9907"/>
    <n v="26186"/>
    <n v="7"/>
    <s v="Yes"/>
    <n v="12"/>
    <n v="3"/>
    <n v="3"/>
    <n v="0"/>
    <n v="7"/>
    <n v="3"/>
    <n v="2"/>
    <n v="2"/>
    <n v="2"/>
    <n v="2"/>
    <n v="2"/>
    <x v="2"/>
  </r>
  <r>
    <n v="46"/>
    <x v="1"/>
    <s v="Travel_Rarely"/>
    <n v="1319"/>
    <s v="Sales"/>
    <n v="3"/>
    <n v="3"/>
    <s v="Technical Degree"/>
    <n v="1863"/>
    <n v="1"/>
    <s v="Female"/>
    <n v="45"/>
    <n v="4"/>
    <n v="4"/>
    <s v="Sales Executive"/>
    <n v="1"/>
    <s v="Divorced"/>
    <n v="13225"/>
    <n v="7739"/>
    <n v="2"/>
    <s v="No"/>
    <n v="12"/>
    <n v="3"/>
    <n v="4"/>
    <n v="1"/>
    <n v="25"/>
    <n v="5"/>
    <n v="3"/>
    <n v="19"/>
    <n v="17"/>
    <n v="2"/>
    <n v="8"/>
    <x v="1"/>
  </r>
  <r>
    <n v="27"/>
    <x v="1"/>
    <s v="Travel_Rarely"/>
    <n v="728"/>
    <s v="Sales"/>
    <n v="23"/>
    <n v="1"/>
    <s v="Medical"/>
    <n v="1864"/>
    <n v="2"/>
    <s v="Female"/>
    <n v="36"/>
    <n v="2"/>
    <n v="2"/>
    <s v="Sales Representative"/>
    <n v="3"/>
    <s v="Married"/>
    <n v="3540"/>
    <n v="7018"/>
    <n v="1"/>
    <s v="No"/>
    <n v="21"/>
    <n v="4"/>
    <n v="4"/>
    <n v="1"/>
    <n v="9"/>
    <n v="5"/>
    <n v="3"/>
    <n v="9"/>
    <n v="8"/>
    <n v="5"/>
    <n v="8"/>
    <x v="2"/>
  </r>
  <r>
    <n v="29"/>
    <x v="1"/>
    <s v="Travel_Rarely"/>
    <n v="352"/>
    <s v="Human Resources"/>
    <n v="6"/>
    <n v="1"/>
    <s v="Medical"/>
    <n v="1865"/>
    <n v="4"/>
    <s v="Male"/>
    <n v="87"/>
    <n v="2"/>
    <n v="1"/>
    <s v="Human Resources"/>
    <n v="2"/>
    <s v="Married"/>
    <n v="2804"/>
    <n v="15434"/>
    <n v="1"/>
    <s v="No"/>
    <n v="11"/>
    <n v="3"/>
    <n v="4"/>
    <n v="0"/>
    <n v="1"/>
    <n v="3"/>
    <n v="3"/>
    <n v="1"/>
    <n v="0"/>
    <n v="0"/>
    <n v="0"/>
    <x v="2"/>
  </r>
  <r>
    <n v="43"/>
    <x v="1"/>
    <s v="Travel_Rarely"/>
    <n v="823"/>
    <s v="Research &amp; Development"/>
    <n v="6"/>
    <n v="3"/>
    <s v="Medical"/>
    <n v="1866"/>
    <n v="1"/>
    <s v="Female"/>
    <n v="81"/>
    <n v="2"/>
    <n v="5"/>
    <s v="Manager"/>
    <n v="3"/>
    <s v="Married"/>
    <n v="19392"/>
    <n v="22539"/>
    <n v="7"/>
    <s v="No"/>
    <n v="13"/>
    <n v="3"/>
    <n v="4"/>
    <n v="0"/>
    <n v="21"/>
    <n v="2"/>
    <n v="3"/>
    <n v="16"/>
    <n v="12"/>
    <n v="6"/>
    <n v="14"/>
    <x v="0"/>
  </r>
  <r>
    <n v="48"/>
    <x v="1"/>
    <s v="Travel_Rarely"/>
    <n v="1224"/>
    <s v="Research &amp; Development"/>
    <n v="10"/>
    <n v="3"/>
    <s v="Life Sciences"/>
    <n v="1867"/>
    <n v="4"/>
    <s v="Male"/>
    <n v="91"/>
    <n v="2"/>
    <n v="5"/>
    <s v="Research Director"/>
    <n v="2"/>
    <s v="Married"/>
    <n v="19665"/>
    <n v="13583"/>
    <n v="4"/>
    <s v="No"/>
    <n v="12"/>
    <n v="3"/>
    <n v="4"/>
    <n v="0"/>
    <n v="29"/>
    <n v="3"/>
    <n v="3"/>
    <n v="22"/>
    <n v="10"/>
    <n v="12"/>
    <n v="9"/>
    <x v="1"/>
  </r>
  <r>
    <n v="29"/>
    <x v="0"/>
    <s v="Travel_Frequently"/>
    <n v="459"/>
    <s v="Research &amp; Development"/>
    <n v="24"/>
    <n v="2"/>
    <s v="Life Sciences"/>
    <n v="1868"/>
    <n v="4"/>
    <s v="Male"/>
    <n v="73"/>
    <n v="2"/>
    <n v="1"/>
    <s v="Research Scientist"/>
    <n v="4"/>
    <s v="Single"/>
    <n v="2439"/>
    <n v="14753"/>
    <n v="1"/>
    <s v="Yes"/>
    <n v="24"/>
    <n v="4"/>
    <n v="2"/>
    <n v="0"/>
    <n v="1"/>
    <n v="3"/>
    <n v="2"/>
    <n v="1"/>
    <n v="0"/>
    <n v="1"/>
    <n v="0"/>
    <x v="2"/>
  </r>
  <r>
    <n v="46"/>
    <x v="0"/>
    <s v="Travel_Rarely"/>
    <n v="1254"/>
    <s v="Sales"/>
    <n v="10"/>
    <n v="3"/>
    <s v="Life Sciences"/>
    <n v="1869"/>
    <n v="3"/>
    <s v="Female"/>
    <n v="64"/>
    <n v="3"/>
    <n v="3"/>
    <s v="Sales Executive"/>
    <n v="2"/>
    <s v="Married"/>
    <n v="7314"/>
    <n v="14011"/>
    <n v="5"/>
    <s v="No"/>
    <n v="21"/>
    <n v="4"/>
    <n v="3"/>
    <n v="3"/>
    <n v="14"/>
    <n v="2"/>
    <n v="3"/>
    <n v="8"/>
    <n v="7"/>
    <n v="0"/>
    <n v="7"/>
    <x v="1"/>
  </r>
  <r>
    <n v="27"/>
    <x v="1"/>
    <s v="Travel_Frequently"/>
    <n v="1131"/>
    <s v="Research &amp; Development"/>
    <n v="15"/>
    <n v="3"/>
    <s v="Life Sciences"/>
    <n v="1870"/>
    <n v="4"/>
    <s v="Female"/>
    <n v="77"/>
    <n v="2"/>
    <n v="1"/>
    <s v="Research Scientist"/>
    <n v="1"/>
    <s v="Married"/>
    <n v="4774"/>
    <n v="23844"/>
    <n v="0"/>
    <s v="No"/>
    <n v="19"/>
    <n v="3"/>
    <n v="4"/>
    <n v="1"/>
    <n v="8"/>
    <n v="2"/>
    <n v="2"/>
    <n v="7"/>
    <n v="6"/>
    <n v="7"/>
    <n v="3"/>
    <x v="2"/>
  </r>
  <r>
    <n v="39"/>
    <x v="1"/>
    <s v="Travel_Rarely"/>
    <n v="835"/>
    <s v="Research &amp; Development"/>
    <n v="19"/>
    <n v="4"/>
    <s v="Other"/>
    <n v="1871"/>
    <n v="4"/>
    <s v="Male"/>
    <n v="41"/>
    <n v="3"/>
    <n v="2"/>
    <s v="Research Scientist"/>
    <n v="4"/>
    <s v="Divorced"/>
    <n v="3902"/>
    <n v="5141"/>
    <n v="8"/>
    <s v="No"/>
    <n v="14"/>
    <n v="3"/>
    <n v="2"/>
    <n v="3"/>
    <n v="7"/>
    <n v="2"/>
    <n v="3"/>
    <n v="2"/>
    <n v="2"/>
    <n v="2"/>
    <n v="2"/>
    <x v="0"/>
  </r>
  <r>
    <n v="55"/>
    <x v="1"/>
    <s v="Travel_Rarely"/>
    <n v="836"/>
    <s v="Research &amp; Development"/>
    <n v="2"/>
    <n v="4"/>
    <s v="Technical Degree"/>
    <n v="1873"/>
    <n v="2"/>
    <s v="Male"/>
    <n v="98"/>
    <n v="2"/>
    <n v="1"/>
    <s v="Research Scientist"/>
    <n v="4"/>
    <s v="Married"/>
    <n v="2662"/>
    <n v="7975"/>
    <n v="8"/>
    <s v="No"/>
    <n v="20"/>
    <n v="4"/>
    <n v="2"/>
    <n v="1"/>
    <n v="19"/>
    <n v="2"/>
    <n v="4"/>
    <n v="5"/>
    <n v="2"/>
    <n v="0"/>
    <n v="4"/>
    <x v="3"/>
  </r>
  <r>
    <n v="28"/>
    <x v="1"/>
    <s v="Travel_Rarely"/>
    <n v="1172"/>
    <s v="Sales"/>
    <n v="3"/>
    <n v="3"/>
    <s v="Medical"/>
    <n v="1875"/>
    <n v="2"/>
    <s v="Female"/>
    <n v="78"/>
    <n v="3"/>
    <n v="1"/>
    <s v="Sales Representative"/>
    <n v="2"/>
    <s v="Married"/>
    <n v="2856"/>
    <n v="3692"/>
    <n v="1"/>
    <s v="No"/>
    <n v="19"/>
    <n v="3"/>
    <n v="4"/>
    <n v="1"/>
    <n v="1"/>
    <n v="3"/>
    <n v="3"/>
    <n v="1"/>
    <n v="0"/>
    <n v="0"/>
    <n v="0"/>
    <x v="2"/>
  </r>
  <r>
    <n v="30"/>
    <x v="0"/>
    <s v="Travel_Rarely"/>
    <n v="945"/>
    <s v="Sales"/>
    <n v="9"/>
    <n v="3"/>
    <s v="Medical"/>
    <n v="1876"/>
    <n v="2"/>
    <s v="Male"/>
    <n v="89"/>
    <n v="3"/>
    <n v="1"/>
    <s v="Sales Representative"/>
    <n v="4"/>
    <s v="Single"/>
    <n v="1081"/>
    <n v="16019"/>
    <n v="1"/>
    <s v="No"/>
    <n v="13"/>
    <n v="3"/>
    <n v="3"/>
    <n v="0"/>
    <n v="1"/>
    <n v="3"/>
    <n v="2"/>
    <n v="1"/>
    <n v="0"/>
    <n v="0"/>
    <n v="0"/>
    <x v="2"/>
  </r>
  <r>
    <n v="22"/>
    <x v="0"/>
    <s v="Travel_Rarely"/>
    <n v="391"/>
    <s v="Research &amp; Development"/>
    <n v="7"/>
    <n v="1"/>
    <s v="Life Sciences"/>
    <n v="1878"/>
    <n v="4"/>
    <s v="Male"/>
    <n v="75"/>
    <n v="3"/>
    <n v="1"/>
    <s v="Research Scientist"/>
    <n v="2"/>
    <s v="Single"/>
    <n v="2472"/>
    <n v="26092"/>
    <n v="1"/>
    <s v="Yes"/>
    <n v="23"/>
    <n v="4"/>
    <n v="1"/>
    <n v="0"/>
    <n v="1"/>
    <n v="2"/>
    <n v="3"/>
    <n v="1"/>
    <n v="0"/>
    <n v="0"/>
    <n v="0"/>
    <x v="2"/>
  </r>
  <r>
    <n v="36"/>
    <x v="1"/>
    <s v="Travel_Rarely"/>
    <n v="1266"/>
    <s v="Sales"/>
    <n v="10"/>
    <n v="4"/>
    <s v="Technical Degree"/>
    <n v="1880"/>
    <n v="2"/>
    <s v="Female"/>
    <n v="63"/>
    <n v="2"/>
    <n v="2"/>
    <s v="Sales Executive"/>
    <n v="3"/>
    <s v="Married"/>
    <n v="5673"/>
    <n v="6060"/>
    <n v="1"/>
    <s v="Yes"/>
    <n v="13"/>
    <n v="3"/>
    <n v="1"/>
    <n v="1"/>
    <n v="10"/>
    <n v="4"/>
    <n v="3"/>
    <n v="10"/>
    <n v="9"/>
    <n v="1"/>
    <n v="7"/>
    <x v="0"/>
  </r>
  <r>
    <n v="31"/>
    <x v="1"/>
    <s v="Travel_Rarely"/>
    <n v="311"/>
    <s v="Research &amp; Development"/>
    <n v="20"/>
    <n v="3"/>
    <s v="Life Sciences"/>
    <n v="1881"/>
    <n v="2"/>
    <s v="Male"/>
    <n v="89"/>
    <n v="3"/>
    <n v="2"/>
    <s v="Laboratory Technician"/>
    <n v="3"/>
    <s v="Divorced"/>
    <n v="4197"/>
    <n v="18624"/>
    <n v="1"/>
    <s v="No"/>
    <n v="11"/>
    <n v="3"/>
    <n v="1"/>
    <n v="1"/>
    <n v="10"/>
    <n v="2"/>
    <n v="3"/>
    <n v="10"/>
    <n v="8"/>
    <n v="0"/>
    <n v="2"/>
    <x v="2"/>
  </r>
  <r>
    <n v="34"/>
    <x v="1"/>
    <s v="Travel_Rarely"/>
    <n v="1480"/>
    <s v="Sales"/>
    <n v="4"/>
    <n v="3"/>
    <s v="Life Sciences"/>
    <n v="1882"/>
    <n v="3"/>
    <s v="Male"/>
    <n v="64"/>
    <n v="3"/>
    <n v="3"/>
    <s v="Sales Executive"/>
    <n v="4"/>
    <s v="Married"/>
    <n v="9713"/>
    <n v="24444"/>
    <n v="2"/>
    <s v="Yes"/>
    <n v="13"/>
    <n v="3"/>
    <n v="4"/>
    <n v="3"/>
    <n v="9"/>
    <n v="3"/>
    <n v="3"/>
    <n v="5"/>
    <n v="3"/>
    <n v="1"/>
    <n v="0"/>
    <x v="2"/>
  </r>
  <r>
    <n v="29"/>
    <x v="1"/>
    <s v="Travel_Rarely"/>
    <n v="592"/>
    <s v="Research &amp; Development"/>
    <n v="7"/>
    <n v="3"/>
    <s v="Life Sciences"/>
    <n v="1883"/>
    <n v="4"/>
    <s v="Male"/>
    <n v="59"/>
    <n v="3"/>
    <n v="1"/>
    <s v="Laboratory Technician"/>
    <n v="1"/>
    <s v="Single"/>
    <n v="2062"/>
    <n v="19384"/>
    <n v="3"/>
    <s v="No"/>
    <n v="14"/>
    <n v="3"/>
    <n v="2"/>
    <n v="0"/>
    <n v="11"/>
    <n v="2"/>
    <n v="3"/>
    <n v="3"/>
    <n v="2"/>
    <n v="1"/>
    <n v="2"/>
    <x v="2"/>
  </r>
  <r>
    <n v="37"/>
    <x v="1"/>
    <s v="Travel_Rarely"/>
    <n v="783"/>
    <s v="Research &amp; Development"/>
    <n v="7"/>
    <n v="4"/>
    <s v="Medical"/>
    <n v="1885"/>
    <n v="4"/>
    <s v="Male"/>
    <n v="78"/>
    <n v="3"/>
    <n v="2"/>
    <s v="Research Scientist"/>
    <n v="1"/>
    <s v="Married"/>
    <n v="4284"/>
    <n v="13588"/>
    <n v="5"/>
    <s v="Yes"/>
    <n v="22"/>
    <n v="4"/>
    <n v="3"/>
    <n v="1"/>
    <n v="16"/>
    <n v="2"/>
    <n v="3"/>
    <n v="5"/>
    <n v="3"/>
    <n v="0"/>
    <n v="4"/>
    <x v="0"/>
  </r>
  <r>
    <n v="35"/>
    <x v="1"/>
    <s v="Travel_Rarely"/>
    <n v="219"/>
    <s v="Research &amp; Development"/>
    <n v="16"/>
    <n v="2"/>
    <s v="Other"/>
    <n v="1886"/>
    <n v="4"/>
    <s v="Female"/>
    <n v="44"/>
    <n v="2"/>
    <n v="2"/>
    <s v="Manufacturing Director"/>
    <n v="2"/>
    <s v="Married"/>
    <n v="4788"/>
    <n v="25388"/>
    <n v="0"/>
    <s v="Yes"/>
    <n v="11"/>
    <n v="3"/>
    <n v="4"/>
    <n v="0"/>
    <n v="4"/>
    <n v="2"/>
    <n v="3"/>
    <n v="3"/>
    <n v="2"/>
    <n v="0"/>
    <n v="2"/>
    <x v="0"/>
  </r>
  <r>
    <n v="45"/>
    <x v="1"/>
    <s v="Travel_Rarely"/>
    <n v="556"/>
    <s v="Research &amp; Development"/>
    <n v="25"/>
    <n v="2"/>
    <s v="Life Sciences"/>
    <n v="1888"/>
    <n v="2"/>
    <s v="Female"/>
    <n v="93"/>
    <n v="2"/>
    <n v="2"/>
    <s v="Manufacturing Director"/>
    <n v="4"/>
    <s v="Married"/>
    <n v="5906"/>
    <n v="23888"/>
    <n v="0"/>
    <s v="No"/>
    <n v="13"/>
    <n v="3"/>
    <n v="4"/>
    <n v="2"/>
    <n v="10"/>
    <n v="2"/>
    <n v="2"/>
    <n v="9"/>
    <n v="8"/>
    <n v="3"/>
    <n v="8"/>
    <x v="1"/>
  </r>
  <r>
    <n v="36"/>
    <x v="1"/>
    <s v="Travel_Frequently"/>
    <n v="1213"/>
    <s v="Human Resources"/>
    <n v="2"/>
    <n v="1"/>
    <s v="Human Resources"/>
    <n v="1890"/>
    <n v="2"/>
    <s v="Male"/>
    <n v="94"/>
    <n v="2"/>
    <n v="2"/>
    <s v="Human Resources"/>
    <n v="4"/>
    <s v="Single"/>
    <n v="3886"/>
    <n v="4223"/>
    <n v="1"/>
    <s v="No"/>
    <n v="21"/>
    <n v="4"/>
    <n v="4"/>
    <n v="0"/>
    <n v="10"/>
    <n v="2"/>
    <n v="2"/>
    <n v="10"/>
    <n v="1"/>
    <n v="0"/>
    <n v="8"/>
    <x v="0"/>
  </r>
  <r>
    <n v="40"/>
    <x v="1"/>
    <s v="Travel_Rarely"/>
    <n v="1137"/>
    <s v="Research &amp; Development"/>
    <n v="1"/>
    <n v="4"/>
    <s v="Life Sciences"/>
    <n v="1892"/>
    <n v="1"/>
    <s v="Male"/>
    <n v="98"/>
    <n v="3"/>
    <n v="4"/>
    <s v="Manager"/>
    <n v="1"/>
    <s v="Divorced"/>
    <n v="16823"/>
    <n v="18991"/>
    <n v="2"/>
    <s v="No"/>
    <n v="11"/>
    <n v="3"/>
    <n v="1"/>
    <n v="1"/>
    <n v="22"/>
    <n v="3"/>
    <n v="3"/>
    <n v="19"/>
    <n v="7"/>
    <n v="11"/>
    <n v="16"/>
    <x v="0"/>
  </r>
  <r>
    <n v="26"/>
    <x v="1"/>
    <s v="Travel_Rarely"/>
    <n v="482"/>
    <s v="Research &amp; Development"/>
    <n v="1"/>
    <n v="2"/>
    <s v="Life Sciences"/>
    <n v="1893"/>
    <n v="2"/>
    <s v="Female"/>
    <n v="90"/>
    <n v="2"/>
    <n v="1"/>
    <s v="Research Scientist"/>
    <n v="3"/>
    <s v="Married"/>
    <n v="2933"/>
    <n v="14908"/>
    <n v="1"/>
    <s v="Yes"/>
    <n v="13"/>
    <n v="3"/>
    <n v="3"/>
    <n v="1"/>
    <n v="1"/>
    <n v="3"/>
    <n v="2"/>
    <n v="1"/>
    <n v="0"/>
    <n v="1"/>
    <n v="0"/>
    <x v="2"/>
  </r>
  <r>
    <n v="27"/>
    <x v="1"/>
    <s v="Travel_Rarely"/>
    <n v="511"/>
    <s v="Sales"/>
    <n v="2"/>
    <n v="2"/>
    <s v="Medical"/>
    <n v="1898"/>
    <n v="1"/>
    <s v="Female"/>
    <n v="89"/>
    <n v="4"/>
    <n v="2"/>
    <s v="Sales Executive"/>
    <n v="3"/>
    <s v="Single"/>
    <n v="6500"/>
    <n v="26997"/>
    <n v="0"/>
    <s v="No"/>
    <n v="14"/>
    <n v="3"/>
    <n v="2"/>
    <n v="0"/>
    <n v="9"/>
    <n v="5"/>
    <n v="2"/>
    <n v="8"/>
    <n v="7"/>
    <n v="0"/>
    <n v="7"/>
    <x v="2"/>
  </r>
  <r>
    <n v="48"/>
    <x v="1"/>
    <s v="Travel_Frequently"/>
    <n v="117"/>
    <s v="Research &amp; Development"/>
    <n v="22"/>
    <n v="3"/>
    <s v="Medical"/>
    <n v="1900"/>
    <n v="4"/>
    <s v="Female"/>
    <n v="58"/>
    <n v="3"/>
    <n v="4"/>
    <s v="Manager"/>
    <n v="4"/>
    <s v="Divorced"/>
    <n v="17174"/>
    <n v="2437"/>
    <n v="3"/>
    <s v="No"/>
    <n v="11"/>
    <n v="3"/>
    <n v="2"/>
    <n v="1"/>
    <n v="24"/>
    <n v="3"/>
    <n v="3"/>
    <n v="22"/>
    <n v="17"/>
    <n v="4"/>
    <n v="7"/>
    <x v="1"/>
  </r>
  <r>
    <n v="44"/>
    <x v="1"/>
    <s v="Travel_Rarely"/>
    <n v="170"/>
    <s v="Research &amp; Development"/>
    <n v="1"/>
    <n v="4"/>
    <s v="Life Sciences"/>
    <n v="1903"/>
    <n v="2"/>
    <s v="Male"/>
    <n v="78"/>
    <n v="4"/>
    <n v="2"/>
    <s v="Healthcare Representative"/>
    <n v="1"/>
    <s v="Married"/>
    <n v="5033"/>
    <n v="9364"/>
    <n v="2"/>
    <s v="No"/>
    <n v="15"/>
    <n v="3"/>
    <n v="4"/>
    <n v="1"/>
    <n v="10"/>
    <n v="5"/>
    <n v="3"/>
    <n v="2"/>
    <n v="0"/>
    <n v="2"/>
    <n v="2"/>
    <x v="0"/>
  </r>
  <r>
    <n v="34"/>
    <x v="0"/>
    <s v="Non-Travel"/>
    <n v="967"/>
    <s v="Research &amp; Development"/>
    <n v="16"/>
    <n v="4"/>
    <s v="Technical Degree"/>
    <n v="1905"/>
    <n v="4"/>
    <s v="Male"/>
    <n v="85"/>
    <n v="1"/>
    <n v="1"/>
    <s v="Research Scientist"/>
    <n v="1"/>
    <s v="Married"/>
    <n v="2307"/>
    <n v="14460"/>
    <n v="1"/>
    <s v="Yes"/>
    <n v="23"/>
    <n v="4"/>
    <n v="2"/>
    <n v="1"/>
    <n v="5"/>
    <n v="2"/>
    <n v="3"/>
    <n v="5"/>
    <n v="2"/>
    <n v="3"/>
    <n v="0"/>
    <x v="2"/>
  </r>
  <r>
    <n v="56"/>
    <x v="0"/>
    <s v="Travel_Rarely"/>
    <n v="1162"/>
    <s v="Research &amp; Development"/>
    <n v="24"/>
    <n v="2"/>
    <s v="Life Sciences"/>
    <n v="1907"/>
    <n v="1"/>
    <s v="Male"/>
    <n v="97"/>
    <n v="3"/>
    <n v="1"/>
    <s v="Laboratory Technician"/>
    <n v="4"/>
    <s v="Single"/>
    <n v="2587"/>
    <n v="10261"/>
    <n v="1"/>
    <s v="No"/>
    <n v="16"/>
    <n v="3"/>
    <n v="4"/>
    <n v="0"/>
    <n v="5"/>
    <n v="3"/>
    <n v="3"/>
    <n v="4"/>
    <n v="2"/>
    <n v="1"/>
    <n v="0"/>
    <x v="3"/>
  </r>
  <r>
    <n v="36"/>
    <x v="1"/>
    <s v="Travel_Rarely"/>
    <n v="335"/>
    <s v="Sales"/>
    <n v="17"/>
    <n v="2"/>
    <s v="Marketing"/>
    <n v="1908"/>
    <n v="3"/>
    <s v="Male"/>
    <n v="33"/>
    <n v="2"/>
    <n v="2"/>
    <s v="Sales Executive"/>
    <n v="2"/>
    <s v="Married"/>
    <n v="5507"/>
    <n v="16822"/>
    <n v="2"/>
    <s v="No"/>
    <n v="16"/>
    <n v="3"/>
    <n v="3"/>
    <n v="2"/>
    <n v="12"/>
    <n v="1"/>
    <n v="1"/>
    <n v="4"/>
    <n v="2"/>
    <n v="1"/>
    <n v="3"/>
    <x v="0"/>
  </r>
  <r>
    <n v="41"/>
    <x v="1"/>
    <s v="Travel_Rarely"/>
    <n v="337"/>
    <s v="Sales"/>
    <n v="8"/>
    <n v="3"/>
    <s v="Marketing"/>
    <n v="1909"/>
    <n v="3"/>
    <s v="Female"/>
    <n v="54"/>
    <n v="3"/>
    <n v="2"/>
    <s v="Sales Executive"/>
    <n v="2"/>
    <s v="Married"/>
    <n v="4393"/>
    <n v="26841"/>
    <n v="5"/>
    <s v="No"/>
    <n v="21"/>
    <n v="4"/>
    <n v="3"/>
    <n v="1"/>
    <n v="14"/>
    <n v="3"/>
    <n v="3"/>
    <n v="5"/>
    <n v="4"/>
    <n v="1"/>
    <n v="4"/>
    <x v="0"/>
  </r>
  <r>
    <n v="42"/>
    <x v="1"/>
    <s v="Travel_Rarely"/>
    <n v="1396"/>
    <s v="Research &amp; Development"/>
    <n v="6"/>
    <n v="3"/>
    <s v="Medical"/>
    <n v="1911"/>
    <n v="3"/>
    <s v="Male"/>
    <n v="83"/>
    <n v="3"/>
    <n v="3"/>
    <s v="Research Director"/>
    <n v="1"/>
    <s v="Married"/>
    <n v="13348"/>
    <n v="14842"/>
    <n v="9"/>
    <s v="No"/>
    <n v="13"/>
    <n v="3"/>
    <n v="2"/>
    <n v="1"/>
    <n v="18"/>
    <n v="3"/>
    <n v="4"/>
    <n v="13"/>
    <n v="7"/>
    <n v="5"/>
    <n v="7"/>
    <x v="0"/>
  </r>
  <r>
    <n v="31"/>
    <x v="1"/>
    <s v="Travel_Rarely"/>
    <n v="1079"/>
    <s v="Sales"/>
    <n v="10"/>
    <n v="2"/>
    <s v="Medical"/>
    <n v="1912"/>
    <n v="3"/>
    <s v="Female"/>
    <n v="86"/>
    <n v="3"/>
    <n v="2"/>
    <s v="Sales Executive"/>
    <n v="4"/>
    <s v="Divorced"/>
    <n v="6583"/>
    <n v="20115"/>
    <n v="2"/>
    <s v="Yes"/>
    <n v="11"/>
    <n v="3"/>
    <n v="4"/>
    <n v="1"/>
    <n v="8"/>
    <n v="2"/>
    <n v="3"/>
    <n v="5"/>
    <n v="2"/>
    <n v="1"/>
    <n v="4"/>
    <x v="2"/>
  </r>
  <r>
    <n v="34"/>
    <x v="1"/>
    <s v="Travel_Rarely"/>
    <n v="735"/>
    <s v="Sales"/>
    <n v="3"/>
    <n v="1"/>
    <s v="Medical"/>
    <n v="1915"/>
    <n v="4"/>
    <s v="Female"/>
    <n v="75"/>
    <n v="2"/>
    <n v="2"/>
    <s v="Sales Executive"/>
    <n v="4"/>
    <s v="Married"/>
    <n v="8103"/>
    <n v="16495"/>
    <n v="3"/>
    <s v="Yes"/>
    <n v="12"/>
    <n v="3"/>
    <n v="3"/>
    <n v="0"/>
    <n v="9"/>
    <n v="3"/>
    <n v="2"/>
    <n v="4"/>
    <n v="2"/>
    <n v="0"/>
    <n v="1"/>
    <x v="2"/>
  </r>
  <r>
    <n v="31"/>
    <x v="1"/>
    <s v="Travel_Rarely"/>
    <n v="471"/>
    <s v="Research &amp; Development"/>
    <n v="4"/>
    <n v="3"/>
    <s v="Medical"/>
    <n v="1916"/>
    <n v="1"/>
    <s v="Female"/>
    <n v="62"/>
    <n v="4"/>
    <n v="1"/>
    <s v="Laboratory Technician"/>
    <n v="3"/>
    <s v="Divorced"/>
    <n v="3978"/>
    <n v="16031"/>
    <n v="8"/>
    <s v="No"/>
    <n v="12"/>
    <n v="3"/>
    <n v="2"/>
    <n v="1"/>
    <n v="4"/>
    <n v="0"/>
    <n v="2"/>
    <n v="2"/>
    <n v="2"/>
    <n v="2"/>
    <n v="2"/>
    <x v="2"/>
  </r>
  <r>
    <n v="26"/>
    <x v="1"/>
    <s v="Travel_Frequently"/>
    <n v="1096"/>
    <s v="Research &amp; Development"/>
    <n v="6"/>
    <n v="3"/>
    <s v="Other"/>
    <n v="1918"/>
    <n v="3"/>
    <s v="Male"/>
    <n v="61"/>
    <n v="4"/>
    <n v="1"/>
    <s v="Laboratory Technician"/>
    <n v="4"/>
    <s v="Married"/>
    <n v="2544"/>
    <n v="7102"/>
    <n v="0"/>
    <s v="No"/>
    <n v="18"/>
    <n v="3"/>
    <n v="1"/>
    <n v="1"/>
    <n v="8"/>
    <n v="3"/>
    <n v="3"/>
    <n v="7"/>
    <n v="7"/>
    <n v="7"/>
    <n v="7"/>
    <x v="2"/>
  </r>
  <r>
    <n v="45"/>
    <x v="1"/>
    <s v="Travel_Frequently"/>
    <n v="1297"/>
    <s v="Research &amp; Development"/>
    <n v="1"/>
    <n v="4"/>
    <s v="Medical"/>
    <n v="1922"/>
    <n v="2"/>
    <s v="Male"/>
    <n v="44"/>
    <n v="3"/>
    <n v="2"/>
    <s v="Healthcare Representative"/>
    <n v="3"/>
    <s v="Single"/>
    <n v="5399"/>
    <n v="14511"/>
    <n v="4"/>
    <s v="No"/>
    <n v="12"/>
    <n v="3"/>
    <n v="3"/>
    <n v="0"/>
    <n v="12"/>
    <n v="3"/>
    <n v="3"/>
    <n v="4"/>
    <n v="2"/>
    <n v="0"/>
    <n v="3"/>
    <x v="1"/>
  </r>
  <r>
    <n v="33"/>
    <x v="1"/>
    <s v="Travel_Rarely"/>
    <n v="217"/>
    <s v="Sales"/>
    <n v="10"/>
    <n v="4"/>
    <s v="Marketing"/>
    <n v="1924"/>
    <n v="2"/>
    <s v="Male"/>
    <n v="43"/>
    <n v="3"/>
    <n v="2"/>
    <s v="Sales Executive"/>
    <n v="3"/>
    <s v="Single"/>
    <n v="5487"/>
    <n v="10410"/>
    <n v="1"/>
    <s v="No"/>
    <n v="14"/>
    <n v="3"/>
    <n v="2"/>
    <n v="0"/>
    <n v="10"/>
    <n v="2"/>
    <n v="2"/>
    <n v="10"/>
    <n v="4"/>
    <n v="0"/>
    <n v="9"/>
    <x v="2"/>
  </r>
  <r>
    <n v="28"/>
    <x v="1"/>
    <s v="Travel_Frequently"/>
    <n v="783"/>
    <s v="Sales"/>
    <n v="1"/>
    <n v="2"/>
    <s v="Life Sciences"/>
    <n v="1927"/>
    <n v="3"/>
    <s v="Male"/>
    <n v="42"/>
    <n v="2"/>
    <n v="2"/>
    <s v="Sales Executive"/>
    <n v="4"/>
    <s v="Married"/>
    <n v="6834"/>
    <n v="19255"/>
    <n v="1"/>
    <s v="Yes"/>
    <n v="12"/>
    <n v="3"/>
    <n v="3"/>
    <n v="1"/>
    <n v="7"/>
    <n v="2"/>
    <n v="3"/>
    <n v="7"/>
    <n v="7"/>
    <n v="0"/>
    <n v="7"/>
    <x v="2"/>
  </r>
  <r>
    <n v="29"/>
    <x v="0"/>
    <s v="Travel_Frequently"/>
    <n v="746"/>
    <s v="Sales"/>
    <n v="24"/>
    <n v="3"/>
    <s v="Technical Degree"/>
    <n v="1928"/>
    <n v="3"/>
    <s v="Male"/>
    <n v="45"/>
    <n v="4"/>
    <n v="1"/>
    <s v="Sales Representative"/>
    <n v="1"/>
    <s v="Single"/>
    <n v="1091"/>
    <n v="10642"/>
    <n v="1"/>
    <s v="No"/>
    <n v="17"/>
    <n v="3"/>
    <n v="4"/>
    <n v="0"/>
    <n v="1"/>
    <n v="3"/>
    <n v="3"/>
    <n v="1"/>
    <n v="0"/>
    <n v="0"/>
    <n v="0"/>
    <x v="2"/>
  </r>
  <r>
    <n v="39"/>
    <x v="1"/>
    <s v="Non-Travel"/>
    <n v="1251"/>
    <s v="Sales"/>
    <n v="21"/>
    <n v="4"/>
    <s v="Life Sciences"/>
    <n v="1929"/>
    <n v="1"/>
    <s v="Female"/>
    <n v="32"/>
    <n v="1"/>
    <n v="2"/>
    <s v="Sales Executive"/>
    <n v="3"/>
    <s v="Married"/>
    <n v="5736"/>
    <n v="3987"/>
    <n v="6"/>
    <s v="No"/>
    <n v="19"/>
    <n v="3"/>
    <n v="3"/>
    <n v="1"/>
    <n v="10"/>
    <n v="1"/>
    <n v="3"/>
    <n v="3"/>
    <n v="2"/>
    <n v="1"/>
    <n v="2"/>
    <x v="0"/>
  </r>
  <r>
    <n v="27"/>
    <x v="1"/>
    <s v="Travel_Rarely"/>
    <n v="1354"/>
    <s v="Research &amp; Development"/>
    <n v="2"/>
    <n v="4"/>
    <s v="Technical Degree"/>
    <n v="1931"/>
    <n v="2"/>
    <s v="Male"/>
    <n v="41"/>
    <n v="3"/>
    <n v="1"/>
    <s v="Research Scientist"/>
    <n v="2"/>
    <s v="Married"/>
    <n v="2226"/>
    <n v="6073"/>
    <n v="1"/>
    <s v="No"/>
    <n v="11"/>
    <n v="3"/>
    <n v="3"/>
    <n v="1"/>
    <n v="6"/>
    <n v="3"/>
    <n v="2"/>
    <n v="5"/>
    <n v="3"/>
    <n v="1"/>
    <n v="2"/>
    <x v="2"/>
  </r>
  <r>
    <n v="34"/>
    <x v="1"/>
    <s v="Travel_Frequently"/>
    <n v="735"/>
    <s v="Research &amp; Development"/>
    <n v="22"/>
    <n v="4"/>
    <s v="Other"/>
    <n v="1932"/>
    <n v="3"/>
    <s v="Male"/>
    <n v="86"/>
    <n v="2"/>
    <n v="2"/>
    <s v="Research Scientist"/>
    <n v="4"/>
    <s v="Married"/>
    <n v="5747"/>
    <n v="26496"/>
    <n v="1"/>
    <s v="Yes"/>
    <n v="15"/>
    <n v="3"/>
    <n v="2"/>
    <n v="0"/>
    <n v="16"/>
    <n v="3"/>
    <n v="3"/>
    <n v="15"/>
    <n v="10"/>
    <n v="6"/>
    <n v="11"/>
    <x v="2"/>
  </r>
  <r>
    <n v="28"/>
    <x v="0"/>
    <s v="Travel_Rarely"/>
    <n v="1475"/>
    <s v="Sales"/>
    <n v="13"/>
    <n v="2"/>
    <s v="Marketing"/>
    <n v="1933"/>
    <n v="4"/>
    <s v="Female"/>
    <n v="84"/>
    <n v="3"/>
    <n v="2"/>
    <s v="Sales Executive"/>
    <n v="3"/>
    <s v="Single"/>
    <n v="9854"/>
    <n v="23352"/>
    <n v="3"/>
    <s v="Yes"/>
    <n v="11"/>
    <n v="3"/>
    <n v="4"/>
    <n v="0"/>
    <n v="6"/>
    <n v="0"/>
    <n v="3"/>
    <n v="2"/>
    <n v="0"/>
    <n v="2"/>
    <n v="2"/>
    <x v="2"/>
  </r>
  <r>
    <n v="47"/>
    <x v="1"/>
    <s v="Non-Travel"/>
    <n v="1169"/>
    <s v="Research &amp; Development"/>
    <n v="14"/>
    <n v="4"/>
    <s v="Technical Degree"/>
    <n v="1934"/>
    <n v="3"/>
    <s v="Male"/>
    <n v="64"/>
    <n v="3"/>
    <n v="2"/>
    <s v="Research Scientist"/>
    <n v="2"/>
    <s v="Married"/>
    <n v="5467"/>
    <n v="2125"/>
    <n v="8"/>
    <s v="No"/>
    <n v="18"/>
    <n v="3"/>
    <n v="3"/>
    <n v="1"/>
    <n v="16"/>
    <n v="4"/>
    <n v="4"/>
    <n v="8"/>
    <n v="7"/>
    <n v="1"/>
    <n v="7"/>
    <x v="1"/>
  </r>
  <r>
    <n v="56"/>
    <x v="1"/>
    <s v="Travel_Rarely"/>
    <n v="1443"/>
    <s v="Sales"/>
    <n v="11"/>
    <n v="5"/>
    <s v="Marketing"/>
    <n v="1935"/>
    <n v="4"/>
    <s v="Female"/>
    <n v="89"/>
    <n v="2"/>
    <n v="2"/>
    <s v="Sales Executive"/>
    <n v="1"/>
    <s v="Married"/>
    <n v="5380"/>
    <n v="20328"/>
    <n v="4"/>
    <s v="No"/>
    <n v="16"/>
    <n v="3"/>
    <n v="3"/>
    <n v="1"/>
    <n v="6"/>
    <n v="3"/>
    <n v="3"/>
    <n v="0"/>
    <n v="0"/>
    <n v="0"/>
    <n v="0"/>
    <x v="3"/>
  </r>
  <r>
    <n v="39"/>
    <x v="1"/>
    <s v="Travel_Rarely"/>
    <n v="867"/>
    <s v="Research &amp; Development"/>
    <n v="9"/>
    <n v="2"/>
    <s v="Medical"/>
    <n v="1936"/>
    <n v="1"/>
    <s v="Male"/>
    <n v="87"/>
    <n v="3"/>
    <n v="2"/>
    <s v="Manufacturing Director"/>
    <n v="1"/>
    <s v="Married"/>
    <n v="5151"/>
    <n v="12315"/>
    <n v="1"/>
    <s v="No"/>
    <n v="25"/>
    <n v="4"/>
    <n v="4"/>
    <n v="1"/>
    <n v="10"/>
    <n v="3"/>
    <n v="3"/>
    <n v="10"/>
    <n v="0"/>
    <n v="7"/>
    <n v="9"/>
    <x v="0"/>
  </r>
  <r>
    <n v="38"/>
    <x v="1"/>
    <s v="Travel_Frequently"/>
    <n v="1394"/>
    <s v="Research &amp; Development"/>
    <n v="8"/>
    <n v="3"/>
    <s v="Medical"/>
    <n v="1937"/>
    <n v="4"/>
    <s v="Female"/>
    <n v="58"/>
    <n v="2"/>
    <n v="2"/>
    <s v="Research Scientist"/>
    <n v="2"/>
    <s v="Divorced"/>
    <n v="2133"/>
    <n v="18115"/>
    <n v="1"/>
    <s v="Yes"/>
    <n v="16"/>
    <n v="3"/>
    <n v="3"/>
    <n v="1"/>
    <n v="20"/>
    <n v="3"/>
    <n v="3"/>
    <n v="20"/>
    <n v="11"/>
    <n v="0"/>
    <n v="7"/>
    <x v="0"/>
  </r>
  <r>
    <n v="58"/>
    <x v="1"/>
    <s v="Travel_Rarely"/>
    <n v="605"/>
    <s v="Sales"/>
    <n v="21"/>
    <n v="3"/>
    <s v="Life Sciences"/>
    <n v="1938"/>
    <n v="4"/>
    <s v="Female"/>
    <n v="72"/>
    <n v="3"/>
    <n v="4"/>
    <s v="Manager"/>
    <n v="4"/>
    <s v="Married"/>
    <n v="17875"/>
    <n v="11761"/>
    <n v="4"/>
    <s v="Yes"/>
    <n v="13"/>
    <n v="3"/>
    <n v="3"/>
    <n v="1"/>
    <n v="29"/>
    <n v="2"/>
    <n v="2"/>
    <n v="1"/>
    <n v="0"/>
    <n v="0"/>
    <n v="0"/>
    <x v="3"/>
  </r>
  <r>
    <n v="32"/>
    <x v="0"/>
    <s v="Travel_Frequently"/>
    <n v="238"/>
    <s v="Research &amp; Development"/>
    <n v="5"/>
    <n v="2"/>
    <s v="Life Sciences"/>
    <n v="1939"/>
    <n v="1"/>
    <s v="Female"/>
    <n v="47"/>
    <n v="4"/>
    <n v="1"/>
    <s v="Research Scientist"/>
    <n v="3"/>
    <s v="Single"/>
    <n v="2432"/>
    <n v="15318"/>
    <n v="3"/>
    <s v="Yes"/>
    <n v="14"/>
    <n v="3"/>
    <n v="1"/>
    <n v="0"/>
    <n v="8"/>
    <n v="2"/>
    <n v="3"/>
    <n v="4"/>
    <n v="1"/>
    <n v="0"/>
    <n v="3"/>
    <x v="2"/>
  </r>
  <r>
    <n v="38"/>
    <x v="1"/>
    <s v="Travel_Rarely"/>
    <n v="1206"/>
    <s v="Research &amp; Development"/>
    <n v="9"/>
    <n v="2"/>
    <s v="Life Sciences"/>
    <n v="1940"/>
    <n v="2"/>
    <s v="Male"/>
    <n v="71"/>
    <n v="3"/>
    <n v="1"/>
    <s v="Research Scientist"/>
    <n v="4"/>
    <s v="Divorced"/>
    <n v="4771"/>
    <n v="14293"/>
    <n v="2"/>
    <s v="No"/>
    <n v="19"/>
    <n v="3"/>
    <n v="4"/>
    <n v="2"/>
    <n v="10"/>
    <n v="0"/>
    <n v="4"/>
    <n v="5"/>
    <n v="2"/>
    <n v="0"/>
    <n v="3"/>
    <x v="0"/>
  </r>
  <r>
    <n v="49"/>
    <x v="1"/>
    <s v="Travel_Frequently"/>
    <n v="1064"/>
    <s v="Research &amp; Development"/>
    <n v="2"/>
    <n v="1"/>
    <s v="Life Sciences"/>
    <n v="1941"/>
    <n v="2"/>
    <s v="Male"/>
    <n v="42"/>
    <n v="3"/>
    <n v="5"/>
    <s v="Research Director"/>
    <n v="4"/>
    <s v="Married"/>
    <n v="19161"/>
    <n v="13738"/>
    <n v="3"/>
    <s v="No"/>
    <n v="15"/>
    <n v="3"/>
    <n v="4"/>
    <n v="0"/>
    <n v="28"/>
    <n v="3"/>
    <n v="3"/>
    <n v="5"/>
    <n v="4"/>
    <n v="4"/>
    <n v="3"/>
    <x v="1"/>
  </r>
  <r>
    <n v="42"/>
    <x v="1"/>
    <s v="Travel_Rarely"/>
    <n v="419"/>
    <s v="Sales"/>
    <n v="12"/>
    <n v="4"/>
    <s v="Marketing"/>
    <n v="1943"/>
    <n v="2"/>
    <s v="Male"/>
    <n v="77"/>
    <n v="3"/>
    <n v="2"/>
    <s v="Sales Executive"/>
    <n v="4"/>
    <s v="Divorced"/>
    <n v="5087"/>
    <n v="2900"/>
    <n v="3"/>
    <s v="Yes"/>
    <n v="12"/>
    <n v="3"/>
    <n v="3"/>
    <n v="2"/>
    <n v="14"/>
    <n v="4"/>
    <n v="3"/>
    <n v="0"/>
    <n v="0"/>
    <n v="0"/>
    <n v="0"/>
    <x v="0"/>
  </r>
  <r>
    <n v="27"/>
    <x v="0"/>
    <s v="Travel_Frequently"/>
    <n v="1337"/>
    <s v="Human Resources"/>
    <n v="22"/>
    <n v="3"/>
    <s v="Human Resources"/>
    <n v="1944"/>
    <n v="1"/>
    <s v="Female"/>
    <n v="58"/>
    <n v="2"/>
    <n v="1"/>
    <s v="Human Resources"/>
    <n v="2"/>
    <s v="Married"/>
    <n v="2863"/>
    <n v="19555"/>
    <n v="1"/>
    <s v="No"/>
    <n v="12"/>
    <n v="3"/>
    <n v="1"/>
    <n v="0"/>
    <n v="1"/>
    <n v="2"/>
    <n v="3"/>
    <n v="1"/>
    <n v="0"/>
    <n v="0"/>
    <n v="0"/>
    <x v="2"/>
  </r>
  <r>
    <n v="35"/>
    <x v="1"/>
    <s v="Travel_Rarely"/>
    <n v="682"/>
    <s v="Sales"/>
    <n v="18"/>
    <n v="4"/>
    <s v="Medical"/>
    <n v="1945"/>
    <n v="2"/>
    <s v="Male"/>
    <n v="71"/>
    <n v="3"/>
    <n v="2"/>
    <s v="Sales Executive"/>
    <n v="1"/>
    <s v="Married"/>
    <n v="5561"/>
    <n v="15975"/>
    <n v="0"/>
    <s v="No"/>
    <n v="16"/>
    <n v="3"/>
    <n v="4"/>
    <n v="1"/>
    <n v="6"/>
    <n v="2"/>
    <n v="1"/>
    <n v="5"/>
    <n v="3"/>
    <n v="0"/>
    <n v="4"/>
    <x v="0"/>
  </r>
  <r>
    <n v="28"/>
    <x v="1"/>
    <s v="Non-Travel"/>
    <n v="1103"/>
    <s v="Research &amp; Development"/>
    <n v="16"/>
    <n v="3"/>
    <s v="Medical"/>
    <n v="1947"/>
    <n v="3"/>
    <s v="Male"/>
    <n v="49"/>
    <n v="3"/>
    <n v="1"/>
    <s v="Research Scientist"/>
    <n v="3"/>
    <s v="Single"/>
    <n v="2144"/>
    <n v="2122"/>
    <n v="1"/>
    <s v="No"/>
    <n v="14"/>
    <n v="3"/>
    <n v="3"/>
    <n v="0"/>
    <n v="5"/>
    <n v="3"/>
    <n v="2"/>
    <n v="5"/>
    <n v="3"/>
    <n v="1"/>
    <n v="4"/>
    <x v="2"/>
  </r>
  <r>
    <n v="31"/>
    <x v="1"/>
    <s v="Non-Travel"/>
    <n v="976"/>
    <s v="Research &amp; Development"/>
    <n v="3"/>
    <n v="2"/>
    <s v="Medical"/>
    <n v="1948"/>
    <n v="3"/>
    <s v="Male"/>
    <n v="48"/>
    <n v="3"/>
    <n v="1"/>
    <s v="Research Scientist"/>
    <n v="1"/>
    <s v="Divorced"/>
    <n v="3065"/>
    <n v="3995"/>
    <n v="1"/>
    <s v="Yes"/>
    <n v="13"/>
    <n v="3"/>
    <n v="4"/>
    <n v="1"/>
    <n v="4"/>
    <n v="3"/>
    <n v="4"/>
    <n v="4"/>
    <n v="2"/>
    <n v="2"/>
    <n v="3"/>
    <x v="2"/>
  </r>
  <r>
    <n v="36"/>
    <x v="1"/>
    <s v="Non-Travel"/>
    <n v="1351"/>
    <s v="Research &amp; Development"/>
    <n v="9"/>
    <n v="4"/>
    <s v="Life Sciences"/>
    <n v="1949"/>
    <n v="1"/>
    <s v="Male"/>
    <n v="66"/>
    <n v="4"/>
    <n v="1"/>
    <s v="Laboratory Technician"/>
    <n v="2"/>
    <s v="Married"/>
    <n v="2810"/>
    <n v="9238"/>
    <n v="1"/>
    <s v="No"/>
    <n v="22"/>
    <n v="4"/>
    <n v="2"/>
    <n v="0"/>
    <n v="5"/>
    <n v="3"/>
    <n v="3"/>
    <n v="5"/>
    <n v="4"/>
    <n v="0"/>
    <n v="2"/>
    <x v="0"/>
  </r>
  <r>
    <n v="34"/>
    <x v="1"/>
    <s v="Travel_Rarely"/>
    <n v="937"/>
    <s v="Sales"/>
    <n v="1"/>
    <n v="3"/>
    <s v="Marketing"/>
    <n v="1950"/>
    <n v="1"/>
    <s v="Male"/>
    <n v="32"/>
    <n v="3"/>
    <n v="3"/>
    <s v="Sales Executive"/>
    <n v="4"/>
    <s v="Single"/>
    <n v="9888"/>
    <n v="6770"/>
    <n v="1"/>
    <s v="No"/>
    <n v="21"/>
    <n v="4"/>
    <n v="1"/>
    <n v="0"/>
    <n v="14"/>
    <n v="3"/>
    <n v="2"/>
    <n v="14"/>
    <n v="8"/>
    <n v="2"/>
    <n v="1"/>
    <x v="2"/>
  </r>
  <r>
    <n v="34"/>
    <x v="1"/>
    <s v="Travel_Rarely"/>
    <n v="1239"/>
    <s v="Sales"/>
    <n v="13"/>
    <n v="4"/>
    <s v="Medical"/>
    <n v="1951"/>
    <n v="4"/>
    <s v="Male"/>
    <n v="39"/>
    <n v="3"/>
    <n v="3"/>
    <s v="Sales Executive"/>
    <n v="3"/>
    <s v="Divorced"/>
    <n v="8628"/>
    <n v="22914"/>
    <n v="1"/>
    <s v="No"/>
    <n v="18"/>
    <n v="3"/>
    <n v="3"/>
    <n v="1"/>
    <n v="9"/>
    <n v="2"/>
    <n v="2"/>
    <n v="8"/>
    <n v="7"/>
    <n v="1"/>
    <n v="1"/>
    <x v="2"/>
  </r>
  <r>
    <n v="26"/>
    <x v="1"/>
    <s v="Travel_Rarely"/>
    <n v="157"/>
    <s v="Research &amp; Development"/>
    <n v="1"/>
    <n v="3"/>
    <s v="Medical"/>
    <n v="1952"/>
    <n v="3"/>
    <s v="Male"/>
    <n v="95"/>
    <n v="3"/>
    <n v="1"/>
    <s v="Laboratory Technician"/>
    <n v="1"/>
    <s v="Single"/>
    <n v="2867"/>
    <n v="20006"/>
    <n v="0"/>
    <s v="No"/>
    <n v="13"/>
    <n v="3"/>
    <n v="4"/>
    <n v="0"/>
    <n v="8"/>
    <n v="6"/>
    <n v="2"/>
    <n v="7"/>
    <n v="7"/>
    <n v="7"/>
    <n v="6"/>
    <x v="2"/>
  </r>
  <r>
    <n v="29"/>
    <x v="1"/>
    <s v="Travel_Rarely"/>
    <n v="136"/>
    <s v="Research &amp; Development"/>
    <n v="1"/>
    <n v="3"/>
    <s v="Life Sciences"/>
    <n v="1954"/>
    <n v="1"/>
    <s v="Male"/>
    <n v="89"/>
    <n v="3"/>
    <n v="2"/>
    <s v="Healthcare Representative"/>
    <n v="1"/>
    <s v="Married"/>
    <n v="5373"/>
    <n v="6225"/>
    <n v="0"/>
    <s v="No"/>
    <n v="12"/>
    <n v="3"/>
    <n v="1"/>
    <n v="1"/>
    <n v="6"/>
    <n v="5"/>
    <n v="2"/>
    <n v="5"/>
    <n v="3"/>
    <n v="0"/>
    <n v="2"/>
    <x v="2"/>
  </r>
  <r>
    <n v="32"/>
    <x v="1"/>
    <s v="Non-Travel"/>
    <n v="1146"/>
    <s v="Research &amp; Development"/>
    <n v="15"/>
    <n v="4"/>
    <s v="Medical"/>
    <n v="1955"/>
    <n v="3"/>
    <s v="Female"/>
    <n v="34"/>
    <n v="3"/>
    <n v="2"/>
    <s v="Healthcare Representative"/>
    <n v="4"/>
    <s v="Divorced"/>
    <n v="6667"/>
    <n v="16542"/>
    <n v="5"/>
    <s v="No"/>
    <n v="18"/>
    <n v="3"/>
    <n v="2"/>
    <n v="1"/>
    <n v="9"/>
    <n v="6"/>
    <n v="3"/>
    <n v="5"/>
    <n v="1"/>
    <n v="1"/>
    <n v="2"/>
    <x v="2"/>
  </r>
  <r>
    <n v="31"/>
    <x v="1"/>
    <s v="Travel_Frequently"/>
    <n v="1125"/>
    <s v="Research &amp; Development"/>
    <n v="1"/>
    <n v="3"/>
    <s v="Life Sciences"/>
    <n v="1956"/>
    <n v="4"/>
    <s v="Male"/>
    <n v="48"/>
    <n v="1"/>
    <n v="2"/>
    <s v="Research Scientist"/>
    <n v="1"/>
    <s v="Married"/>
    <n v="5003"/>
    <n v="5771"/>
    <n v="1"/>
    <s v="No"/>
    <n v="21"/>
    <n v="4"/>
    <n v="2"/>
    <n v="0"/>
    <n v="10"/>
    <n v="6"/>
    <n v="3"/>
    <n v="10"/>
    <n v="8"/>
    <n v="8"/>
    <n v="7"/>
    <x v="2"/>
  </r>
  <r>
    <n v="28"/>
    <x v="0"/>
    <s v="Travel_Rarely"/>
    <n v="1404"/>
    <s v="Research &amp; Development"/>
    <n v="17"/>
    <n v="3"/>
    <s v="Technical Degree"/>
    <n v="1960"/>
    <n v="3"/>
    <s v="Male"/>
    <n v="32"/>
    <n v="2"/>
    <n v="1"/>
    <s v="Laboratory Technician"/>
    <n v="4"/>
    <s v="Divorced"/>
    <n v="2367"/>
    <n v="18779"/>
    <n v="5"/>
    <s v="No"/>
    <n v="12"/>
    <n v="3"/>
    <n v="1"/>
    <n v="1"/>
    <n v="6"/>
    <n v="2"/>
    <n v="2"/>
    <n v="4"/>
    <n v="1"/>
    <n v="0"/>
    <n v="3"/>
    <x v="2"/>
  </r>
  <r>
    <n v="38"/>
    <x v="1"/>
    <s v="Travel_Rarely"/>
    <n v="1404"/>
    <s v="Sales"/>
    <n v="1"/>
    <n v="3"/>
    <s v="Life Sciences"/>
    <n v="1961"/>
    <n v="1"/>
    <s v="Male"/>
    <n v="59"/>
    <n v="2"/>
    <n v="1"/>
    <s v="Sales Representative"/>
    <n v="1"/>
    <s v="Single"/>
    <n v="2858"/>
    <n v="11473"/>
    <n v="4"/>
    <s v="No"/>
    <n v="14"/>
    <n v="3"/>
    <n v="1"/>
    <n v="0"/>
    <n v="20"/>
    <n v="3"/>
    <n v="2"/>
    <n v="1"/>
    <n v="0"/>
    <n v="0"/>
    <n v="0"/>
    <x v="0"/>
  </r>
  <r>
    <n v="35"/>
    <x v="1"/>
    <s v="Travel_Rarely"/>
    <n v="1224"/>
    <s v="Sales"/>
    <n v="7"/>
    <n v="4"/>
    <s v="Life Sciences"/>
    <n v="1962"/>
    <n v="3"/>
    <s v="Female"/>
    <n v="55"/>
    <n v="3"/>
    <n v="2"/>
    <s v="Sales Executive"/>
    <n v="4"/>
    <s v="Married"/>
    <n v="5204"/>
    <n v="13586"/>
    <n v="1"/>
    <s v="Yes"/>
    <n v="11"/>
    <n v="3"/>
    <n v="4"/>
    <n v="0"/>
    <n v="10"/>
    <n v="2"/>
    <n v="3"/>
    <n v="10"/>
    <n v="8"/>
    <n v="0"/>
    <n v="9"/>
    <x v="0"/>
  </r>
  <r>
    <n v="27"/>
    <x v="1"/>
    <s v="Travel_Rarely"/>
    <n v="954"/>
    <s v="Sales"/>
    <n v="9"/>
    <n v="3"/>
    <s v="Marketing"/>
    <n v="1965"/>
    <n v="4"/>
    <s v="Male"/>
    <n v="44"/>
    <n v="3"/>
    <n v="2"/>
    <s v="Sales Executive"/>
    <n v="4"/>
    <s v="Single"/>
    <n v="4105"/>
    <n v="5099"/>
    <n v="1"/>
    <s v="No"/>
    <n v="14"/>
    <n v="3"/>
    <n v="1"/>
    <n v="0"/>
    <n v="7"/>
    <n v="5"/>
    <n v="3"/>
    <n v="7"/>
    <n v="7"/>
    <n v="0"/>
    <n v="7"/>
    <x v="2"/>
  </r>
  <r>
    <n v="32"/>
    <x v="1"/>
    <s v="Travel_Rarely"/>
    <n v="1373"/>
    <s v="Research &amp; Development"/>
    <n v="5"/>
    <n v="4"/>
    <s v="Life Sciences"/>
    <n v="1966"/>
    <n v="4"/>
    <s v="Male"/>
    <n v="56"/>
    <n v="2"/>
    <n v="2"/>
    <s v="Manufacturing Director"/>
    <n v="4"/>
    <s v="Single"/>
    <n v="9679"/>
    <n v="10138"/>
    <n v="8"/>
    <s v="No"/>
    <n v="24"/>
    <n v="4"/>
    <n v="2"/>
    <n v="0"/>
    <n v="8"/>
    <n v="1"/>
    <n v="3"/>
    <n v="1"/>
    <n v="0"/>
    <n v="0"/>
    <n v="0"/>
    <x v="2"/>
  </r>
  <r>
    <n v="31"/>
    <x v="0"/>
    <s v="Travel_Frequently"/>
    <n v="754"/>
    <s v="Sales"/>
    <n v="26"/>
    <n v="4"/>
    <s v="Marketing"/>
    <n v="1967"/>
    <n v="1"/>
    <s v="Male"/>
    <n v="63"/>
    <n v="3"/>
    <n v="2"/>
    <s v="Sales Executive"/>
    <n v="4"/>
    <s v="Married"/>
    <n v="5617"/>
    <n v="21075"/>
    <n v="1"/>
    <s v="Yes"/>
    <n v="11"/>
    <n v="3"/>
    <n v="3"/>
    <n v="0"/>
    <n v="10"/>
    <n v="4"/>
    <n v="3"/>
    <n v="10"/>
    <n v="7"/>
    <n v="0"/>
    <n v="8"/>
    <x v="2"/>
  </r>
  <r>
    <n v="53"/>
    <x v="0"/>
    <s v="Travel_Rarely"/>
    <n v="1168"/>
    <s v="Sales"/>
    <n v="24"/>
    <n v="4"/>
    <s v="Life Sciences"/>
    <n v="1968"/>
    <n v="1"/>
    <s v="Male"/>
    <n v="66"/>
    <n v="3"/>
    <n v="3"/>
    <s v="Sales Executive"/>
    <n v="1"/>
    <s v="Single"/>
    <n v="10448"/>
    <n v="5843"/>
    <n v="6"/>
    <s v="Yes"/>
    <n v="13"/>
    <n v="3"/>
    <n v="2"/>
    <n v="0"/>
    <n v="15"/>
    <n v="2"/>
    <n v="2"/>
    <n v="2"/>
    <n v="2"/>
    <n v="2"/>
    <n v="2"/>
    <x v="1"/>
  </r>
  <r>
    <n v="54"/>
    <x v="1"/>
    <s v="Travel_Rarely"/>
    <n v="155"/>
    <s v="Research &amp; Development"/>
    <n v="9"/>
    <n v="2"/>
    <s v="Life Sciences"/>
    <n v="1969"/>
    <n v="1"/>
    <s v="Female"/>
    <n v="67"/>
    <n v="3"/>
    <n v="2"/>
    <s v="Research Scientist"/>
    <n v="3"/>
    <s v="Married"/>
    <n v="2897"/>
    <n v="22474"/>
    <n v="3"/>
    <s v="No"/>
    <n v="11"/>
    <n v="3"/>
    <n v="3"/>
    <n v="2"/>
    <n v="9"/>
    <n v="6"/>
    <n v="2"/>
    <n v="4"/>
    <n v="3"/>
    <n v="2"/>
    <n v="3"/>
    <x v="1"/>
  </r>
  <r>
    <n v="33"/>
    <x v="1"/>
    <s v="Travel_Frequently"/>
    <n v="1303"/>
    <s v="Research &amp; Development"/>
    <n v="7"/>
    <n v="2"/>
    <s v="Life Sciences"/>
    <n v="1970"/>
    <n v="4"/>
    <s v="Male"/>
    <n v="36"/>
    <n v="3"/>
    <n v="2"/>
    <s v="Healthcare Representative"/>
    <n v="3"/>
    <s v="Divorced"/>
    <n v="5968"/>
    <n v="18079"/>
    <n v="1"/>
    <s v="No"/>
    <n v="20"/>
    <n v="4"/>
    <n v="3"/>
    <n v="3"/>
    <n v="9"/>
    <n v="2"/>
    <n v="3"/>
    <n v="9"/>
    <n v="7"/>
    <n v="2"/>
    <n v="8"/>
    <x v="2"/>
  </r>
  <r>
    <n v="43"/>
    <x v="1"/>
    <s v="Travel_Rarely"/>
    <n v="574"/>
    <s v="Research &amp; Development"/>
    <n v="11"/>
    <n v="3"/>
    <s v="Life Sciences"/>
    <n v="1971"/>
    <n v="1"/>
    <s v="Male"/>
    <n v="30"/>
    <n v="3"/>
    <n v="3"/>
    <s v="Healthcare Representative"/>
    <n v="3"/>
    <s v="Married"/>
    <n v="7510"/>
    <n v="16873"/>
    <n v="1"/>
    <s v="No"/>
    <n v="17"/>
    <n v="3"/>
    <n v="2"/>
    <n v="1"/>
    <n v="10"/>
    <n v="1"/>
    <n v="3"/>
    <n v="10"/>
    <n v="9"/>
    <n v="0"/>
    <n v="9"/>
    <x v="0"/>
  </r>
  <r>
    <n v="38"/>
    <x v="1"/>
    <s v="Travel_Frequently"/>
    <n v="1444"/>
    <s v="Human Resources"/>
    <n v="1"/>
    <n v="4"/>
    <s v="Other"/>
    <n v="1972"/>
    <n v="4"/>
    <s v="Male"/>
    <n v="88"/>
    <n v="3"/>
    <n v="1"/>
    <s v="Human Resources"/>
    <n v="2"/>
    <s v="Married"/>
    <n v="2991"/>
    <n v="5224"/>
    <n v="0"/>
    <s v="Yes"/>
    <n v="11"/>
    <n v="3"/>
    <n v="2"/>
    <n v="1"/>
    <n v="7"/>
    <n v="2"/>
    <n v="3"/>
    <n v="6"/>
    <n v="2"/>
    <n v="1"/>
    <n v="2"/>
    <x v="0"/>
  </r>
  <r>
    <n v="55"/>
    <x v="1"/>
    <s v="Travel_Rarely"/>
    <n v="189"/>
    <s v="Human Resources"/>
    <n v="26"/>
    <n v="4"/>
    <s v="Human Resources"/>
    <n v="1973"/>
    <n v="3"/>
    <s v="Male"/>
    <n v="71"/>
    <n v="4"/>
    <n v="5"/>
    <s v="Manager"/>
    <n v="2"/>
    <s v="Married"/>
    <n v="19636"/>
    <n v="25811"/>
    <n v="4"/>
    <s v="Yes"/>
    <n v="18"/>
    <n v="3"/>
    <n v="1"/>
    <n v="1"/>
    <n v="35"/>
    <n v="0"/>
    <n v="3"/>
    <n v="10"/>
    <n v="9"/>
    <n v="1"/>
    <n v="4"/>
    <x v="3"/>
  </r>
  <r>
    <n v="31"/>
    <x v="1"/>
    <s v="Travel_Rarely"/>
    <n v="1276"/>
    <s v="Research &amp; Development"/>
    <n v="2"/>
    <n v="1"/>
    <s v="Medical"/>
    <n v="1974"/>
    <n v="4"/>
    <s v="Female"/>
    <n v="59"/>
    <n v="1"/>
    <n v="1"/>
    <s v="Laboratory Technician"/>
    <n v="4"/>
    <s v="Divorced"/>
    <n v="1129"/>
    <n v="17536"/>
    <n v="1"/>
    <s v="Yes"/>
    <n v="11"/>
    <n v="3"/>
    <n v="3"/>
    <n v="3"/>
    <n v="1"/>
    <n v="4"/>
    <n v="3"/>
    <n v="1"/>
    <n v="0"/>
    <n v="0"/>
    <n v="0"/>
    <x v="2"/>
  </r>
  <r>
    <n v="39"/>
    <x v="1"/>
    <s v="Travel_Rarely"/>
    <n v="119"/>
    <s v="Sales"/>
    <n v="15"/>
    <n v="4"/>
    <s v="Marketing"/>
    <n v="1975"/>
    <n v="2"/>
    <s v="Male"/>
    <n v="77"/>
    <n v="3"/>
    <n v="4"/>
    <s v="Sales Executive"/>
    <n v="1"/>
    <s v="Single"/>
    <n v="13341"/>
    <n v="25098"/>
    <n v="0"/>
    <s v="No"/>
    <n v="12"/>
    <n v="3"/>
    <n v="1"/>
    <n v="0"/>
    <n v="21"/>
    <n v="3"/>
    <n v="3"/>
    <n v="20"/>
    <n v="8"/>
    <n v="11"/>
    <n v="10"/>
    <x v="0"/>
  </r>
  <r>
    <n v="42"/>
    <x v="1"/>
    <s v="Non-Travel"/>
    <n v="335"/>
    <s v="Research &amp; Development"/>
    <n v="23"/>
    <n v="2"/>
    <s v="Life Sciences"/>
    <n v="1976"/>
    <n v="4"/>
    <s v="Male"/>
    <n v="37"/>
    <n v="2"/>
    <n v="2"/>
    <s v="Research Scientist"/>
    <n v="3"/>
    <s v="Single"/>
    <n v="4332"/>
    <n v="14811"/>
    <n v="1"/>
    <s v="No"/>
    <n v="12"/>
    <n v="3"/>
    <n v="4"/>
    <n v="0"/>
    <n v="20"/>
    <n v="2"/>
    <n v="3"/>
    <n v="20"/>
    <n v="9"/>
    <n v="3"/>
    <n v="7"/>
    <x v="0"/>
  </r>
  <r>
    <n v="31"/>
    <x v="1"/>
    <s v="Non-Travel"/>
    <n v="697"/>
    <s v="Research &amp; Development"/>
    <n v="10"/>
    <n v="3"/>
    <s v="Medical"/>
    <n v="1979"/>
    <n v="3"/>
    <s v="Female"/>
    <n v="40"/>
    <n v="3"/>
    <n v="3"/>
    <s v="Research Director"/>
    <n v="3"/>
    <s v="Married"/>
    <n v="11031"/>
    <n v="26862"/>
    <n v="4"/>
    <s v="No"/>
    <n v="20"/>
    <n v="4"/>
    <n v="3"/>
    <n v="1"/>
    <n v="13"/>
    <n v="2"/>
    <n v="4"/>
    <n v="11"/>
    <n v="7"/>
    <n v="4"/>
    <n v="8"/>
    <x v="2"/>
  </r>
  <r>
    <n v="54"/>
    <x v="1"/>
    <s v="Travel_Rarely"/>
    <n v="157"/>
    <s v="Research &amp; Development"/>
    <n v="10"/>
    <n v="3"/>
    <s v="Medical"/>
    <n v="1980"/>
    <n v="3"/>
    <s v="Female"/>
    <n v="77"/>
    <n v="3"/>
    <n v="2"/>
    <s v="Manufacturing Director"/>
    <n v="1"/>
    <s v="Single"/>
    <n v="4440"/>
    <n v="25198"/>
    <n v="6"/>
    <s v="Yes"/>
    <n v="19"/>
    <n v="3"/>
    <n v="4"/>
    <n v="0"/>
    <n v="9"/>
    <n v="3"/>
    <n v="3"/>
    <n v="5"/>
    <n v="2"/>
    <n v="1"/>
    <n v="4"/>
    <x v="1"/>
  </r>
  <r>
    <n v="24"/>
    <x v="1"/>
    <s v="Travel_Rarely"/>
    <n v="771"/>
    <s v="Research &amp; Development"/>
    <n v="1"/>
    <n v="2"/>
    <s v="Life Sciences"/>
    <n v="1981"/>
    <n v="2"/>
    <s v="Male"/>
    <n v="45"/>
    <n v="2"/>
    <n v="2"/>
    <s v="Healthcare Representative"/>
    <n v="3"/>
    <s v="Single"/>
    <n v="4617"/>
    <n v="14120"/>
    <n v="1"/>
    <s v="No"/>
    <n v="12"/>
    <n v="3"/>
    <n v="2"/>
    <n v="0"/>
    <n v="4"/>
    <n v="2"/>
    <n v="2"/>
    <n v="4"/>
    <n v="3"/>
    <n v="1"/>
    <n v="2"/>
    <x v="2"/>
  </r>
  <r>
    <n v="23"/>
    <x v="1"/>
    <s v="Travel_Rarely"/>
    <n v="571"/>
    <s v="Research &amp; Development"/>
    <n v="12"/>
    <n v="2"/>
    <s v="Other"/>
    <n v="1982"/>
    <n v="4"/>
    <s v="Male"/>
    <n v="78"/>
    <n v="3"/>
    <n v="1"/>
    <s v="Laboratory Technician"/>
    <n v="4"/>
    <s v="Single"/>
    <n v="2647"/>
    <n v="13672"/>
    <n v="1"/>
    <s v="No"/>
    <n v="13"/>
    <n v="3"/>
    <n v="3"/>
    <n v="0"/>
    <n v="5"/>
    <n v="6"/>
    <n v="4"/>
    <n v="5"/>
    <n v="2"/>
    <n v="1"/>
    <n v="4"/>
    <x v="2"/>
  </r>
  <r>
    <n v="40"/>
    <x v="1"/>
    <s v="Travel_Frequently"/>
    <n v="692"/>
    <s v="Research &amp; Development"/>
    <n v="11"/>
    <n v="3"/>
    <s v="Technical Degree"/>
    <n v="1985"/>
    <n v="4"/>
    <s v="Female"/>
    <n v="73"/>
    <n v="3"/>
    <n v="2"/>
    <s v="Laboratory Technician"/>
    <n v="3"/>
    <s v="Married"/>
    <n v="6323"/>
    <n v="26849"/>
    <n v="1"/>
    <s v="No"/>
    <n v="11"/>
    <n v="3"/>
    <n v="1"/>
    <n v="1"/>
    <n v="10"/>
    <n v="2"/>
    <n v="4"/>
    <n v="10"/>
    <n v="9"/>
    <n v="9"/>
    <n v="4"/>
    <x v="0"/>
  </r>
  <r>
    <n v="40"/>
    <x v="1"/>
    <s v="Travel_Rarely"/>
    <n v="444"/>
    <s v="Sales"/>
    <n v="2"/>
    <n v="2"/>
    <s v="Marketing"/>
    <n v="1986"/>
    <n v="2"/>
    <s v="Female"/>
    <n v="92"/>
    <n v="3"/>
    <n v="2"/>
    <s v="Sales Executive"/>
    <n v="2"/>
    <s v="Married"/>
    <n v="5677"/>
    <n v="4258"/>
    <n v="3"/>
    <s v="No"/>
    <n v="14"/>
    <n v="3"/>
    <n v="3"/>
    <n v="1"/>
    <n v="15"/>
    <n v="4"/>
    <n v="3"/>
    <n v="11"/>
    <n v="8"/>
    <n v="5"/>
    <n v="10"/>
    <x v="0"/>
  </r>
  <r>
    <n v="25"/>
    <x v="1"/>
    <s v="Travel_Rarely"/>
    <n v="309"/>
    <s v="Human Resources"/>
    <n v="2"/>
    <n v="3"/>
    <s v="Human Resources"/>
    <n v="1987"/>
    <n v="3"/>
    <s v="Female"/>
    <n v="82"/>
    <n v="3"/>
    <n v="1"/>
    <s v="Human Resources"/>
    <n v="2"/>
    <s v="Married"/>
    <n v="2187"/>
    <n v="19655"/>
    <n v="4"/>
    <s v="No"/>
    <n v="14"/>
    <n v="3"/>
    <n v="3"/>
    <n v="0"/>
    <n v="6"/>
    <n v="3"/>
    <n v="3"/>
    <n v="2"/>
    <n v="0"/>
    <n v="1"/>
    <n v="2"/>
    <x v="2"/>
  </r>
  <r>
    <n v="30"/>
    <x v="1"/>
    <s v="Travel_Rarely"/>
    <n v="911"/>
    <s v="Research &amp; Development"/>
    <n v="1"/>
    <n v="2"/>
    <s v="Medical"/>
    <n v="1989"/>
    <n v="4"/>
    <s v="Male"/>
    <n v="76"/>
    <n v="3"/>
    <n v="1"/>
    <s v="Laboratory Technician"/>
    <n v="2"/>
    <s v="Married"/>
    <n v="3748"/>
    <n v="4077"/>
    <n v="1"/>
    <s v="No"/>
    <n v="13"/>
    <n v="3"/>
    <n v="3"/>
    <n v="0"/>
    <n v="12"/>
    <n v="6"/>
    <n v="2"/>
    <n v="12"/>
    <n v="8"/>
    <n v="1"/>
    <n v="7"/>
    <x v="2"/>
  </r>
  <r>
    <n v="25"/>
    <x v="1"/>
    <s v="Travel_Rarely"/>
    <n v="977"/>
    <s v="Research &amp; Development"/>
    <n v="2"/>
    <n v="1"/>
    <s v="Other"/>
    <n v="1992"/>
    <n v="4"/>
    <s v="Male"/>
    <n v="57"/>
    <n v="3"/>
    <n v="1"/>
    <s v="Laboratory Technician"/>
    <n v="3"/>
    <s v="Divorced"/>
    <n v="3977"/>
    <n v="7298"/>
    <n v="6"/>
    <s v="Yes"/>
    <n v="19"/>
    <n v="3"/>
    <n v="3"/>
    <n v="1"/>
    <n v="7"/>
    <n v="2"/>
    <n v="2"/>
    <n v="2"/>
    <n v="2"/>
    <n v="0"/>
    <n v="2"/>
    <x v="2"/>
  </r>
  <r>
    <n v="47"/>
    <x v="1"/>
    <s v="Travel_Rarely"/>
    <n v="1180"/>
    <s v="Research &amp; Development"/>
    <n v="25"/>
    <n v="3"/>
    <s v="Medical"/>
    <n v="1993"/>
    <n v="1"/>
    <s v="Male"/>
    <n v="84"/>
    <n v="3"/>
    <n v="3"/>
    <s v="Healthcare Representative"/>
    <n v="3"/>
    <s v="Single"/>
    <n v="8633"/>
    <n v="13084"/>
    <n v="2"/>
    <s v="No"/>
    <n v="23"/>
    <n v="4"/>
    <n v="2"/>
    <n v="0"/>
    <n v="25"/>
    <n v="3"/>
    <n v="3"/>
    <n v="17"/>
    <n v="14"/>
    <n v="12"/>
    <n v="11"/>
    <x v="1"/>
  </r>
  <r>
    <n v="33"/>
    <x v="1"/>
    <s v="Non-Travel"/>
    <n v="1313"/>
    <s v="Research &amp; Development"/>
    <n v="1"/>
    <n v="2"/>
    <s v="Medical"/>
    <n v="1994"/>
    <n v="2"/>
    <s v="Male"/>
    <n v="59"/>
    <n v="2"/>
    <n v="1"/>
    <s v="Laboratory Technician"/>
    <n v="3"/>
    <s v="Divorced"/>
    <n v="2008"/>
    <n v="20439"/>
    <n v="1"/>
    <s v="No"/>
    <n v="12"/>
    <n v="3"/>
    <n v="3"/>
    <n v="3"/>
    <n v="1"/>
    <n v="2"/>
    <n v="2"/>
    <n v="1"/>
    <n v="1"/>
    <n v="0"/>
    <n v="0"/>
    <x v="2"/>
  </r>
  <r>
    <n v="38"/>
    <x v="1"/>
    <s v="Travel_Rarely"/>
    <n v="1321"/>
    <s v="Sales"/>
    <n v="1"/>
    <n v="4"/>
    <s v="Life Sciences"/>
    <n v="1995"/>
    <n v="4"/>
    <s v="Male"/>
    <n v="86"/>
    <n v="3"/>
    <n v="2"/>
    <s v="Sales Executive"/>
    <n v="2"/>
    <s v="Married"/>
    <n v="4440"/>
    <n v="7636"/>
    <n v="0"/>
    <s v="No"/>
    <n v="15"/>
    <n v="3"/>
    <n v="1"/>
    <n v="2"/>
    <n v="16"/>
    <n v="3"/>
    <n v="3"/>
    <n v="15"/>
    <n v="13"/>
    <n v="5"/>
    <n v="8"/>
    <x v="0"/>
  </r>
  <r>
    <n v="31"/>
    <x v="1"/>
    <s v="Travel_Rarely"/>
    <n v="1154"/>
    <s v="Sales"/>
    <n v="2"/>
    <n v="2"/>
    <s v="Life Sciences"/>
    <n v="1996"/>
    <n v="1"/>
    <s v="Male"/>
    <n v="54"/>
    <n v="3"/>
    <n v="1"/>
    <s v="Sales Representative"/>
    <n v="3"/>
    <s v="Married"/>
    <n v="3067"/>
    <n v="6393"/>
    <n v="0"/>
    <s v="No"/>
    <n v="19"/>
    <n v="3"/>
    <n v="3"/>
    <n v="1"/>
    <n v="3"/>
    <n v="1"/>
    <n v="3"/>
    <n v="2"/>
    <n v="2"/>
    <n v="1"/>
    <n v="2"/>
    <x v="2"/>
  </r>
  <r>
    <n v="38"/>
    <x v="1"/>
    <s v="Travel_Frequently"/>
    <n v="508"/>
    <s v="Research &amp; Development"/>
    <n v="6"/>
    <n v="4"/>
    <s v="Life Sciences"/>
    <n v="1997"/>
    <n v="1"/>
    <s v="Male"/>
    <n v="72"/>
    <n v="2"/>
    <n v="2"/>
    <s v="Manufacturing Director"/>
    <n v="3"/>
    <s v="Married"/>
    <n v="5321"/>
    <n v="14284"/>
    <n v="2"/>
    <s v="No"/>
    <n v="11"/>
    <n v="3"/>
    <n v="4"/>
    <n v="1"/>
    <n v="10"/>
    <n v="1"/>
    <n v="3"/>
    <n v="8"/>
    <n v="3"/>
    <n v="7"/>
    <n v="7"/>
    <x v="0"/>
  </r>
  <r>
    <n v="42"/>
    <x v="1"/>
    <s v="Travel_Rarely"/>
    <n v="557"/>
    <s v="Research &amp; Development"/>
    <n v="18"/>
    <n v="4"/>
    <s v="Life Sciences"/>
    <n v="1998"/>
    <n v="4"/>
    <s v="Male"/>
    <n v="35"/>
    <n v="3"/>
    <n v="2"/>
    <s v="Research Scientist"/>
    <n v="1"/>
    <s v="Divorced"/>
    <n v="5410"/>
    <n v="11189"/>
    <n v="6"/>
    <s v="Yes"/>
    <n v="17"/>
    <n v="3"/>
    <n v="3"/>
    <n v="1"/>
    <n v="9"/>
    <n v="3"/>
    <n v="2"/>
    <n v="4"/>
    <n v="3"/>
    <n v="1"/>
    <n v="2"/>
    <x v="0"/>
  </r>
  <r>
    <n v="41"/>
    <x v="1"/>
    <s v="Travel_Rarely"/>
    <n v="642"/>
    <s v="Research &amp; Development"/>
    <n v="1"/>
    <n v="3"/>
    <s v="Life Sciences"/>
    <n v="1999"/>
    <n v="4"/>
    <s v="Male"/>
    <n v="76"/>
    <n v="3"/>
    <n v="1"/>
    <s v="Research Scientist"/>
    <n v="4"/>
    <s v="Married"/>
    <n v="2782"/>
    <n v="21412"/>
    <n v="3"/>
    <s v="No"/>
    <n v="22"/>
    <n v="4"/>
    <n v="1"/>
    <n v="1"/>
    <n v="12"/>
    <n v="3"/>
    <n v="3"/>
    <n v="5"/>
    <n v="3"/>
    <n v="1"/>
    <n v="0"/>
    <x v="0"/>
  </r>
  <r>
    <n v="47"/>
    <x v="1"/>
    <s v="Non-Travel"/>
    <n v="1162"/>
    <s v="Research &amp; Development"/>
    <n v="1"/>
    <n v="1"/>
    <s v="Medical"/>
    <n v="2000"/>
    <n v="3"/>
    <s v="Female"/>
    <n v="98"/>
    <n v="3"/>
    <n v="3"/>
    <s v="Research Director"/>
    <n v="2"/>
    <s v="Married"/>
    <n v="11957"/>
    <n v="17231"/>
    <n v="0"/>
    <s v="No"/>
    <n v="18"/>
    <n v="3"/>
    <n v="1"/>
    <n v="2"/>
    <n v="14"/>
    <n v="3"/>
    <n v="1"/>
    <n v="13"/>
    <n v="8"/>
    <n v="5"/>
    <n v="12"/>
    <x v="1"/>
  </r>
  <r>
    <n v="35"/>
    <x v="1"/>
    <s v="Travel_Rarely"/>
    <n v="1490"/>
    <s v="Research &amp; Development"/>
    <n v="11"/>
    <n v="4"/>
    <s v="Medical"/>
    <n v="2003"/>
    <n v="4"/>
    <s v="Male"/>
    <n v="43"/>
    <n v="3"/>
    <n v="1"/>
    <s v="Laboratory Technician"/>
    <n v="3"/>
    <s v="Married"/>
    <n v="2660"/>
    <n v="20232"/>
    <n v="7"/>
    <s v="Yes"/>
    <n v="11"/>
    <n v="3"/>
    <n v="3"/>
    <n v="1"/>
    <n v="5"/>
    <n v="3"/>
    <n v="3"/>
    <n v="2"/>
    <n v="2"/>
    <n v="2"/>
    <n v="2"/>
    <x v="0"/>
  </r>
  <r>
    <n v="22"/>
    <x v="1"/>
    <s v="Travel_Rarely"/>
    <n v="581"/>
    <s v="Research &amp; Development"/>
    <n v="1"/>
    <n v="2"/>
    <s v="Life Sciences"/>
    <n v="2007"/>
    <n v="4"/>
    <s v="Male"/>
    <n v="63"/>
    <n v="3"/>
    <n v="1"/>
    <s v="Research Scientist"/>
    <n v="3"/>
    <s v="Single"/>
    <n v="3375"/>
    <n v="17624"/>
    <n v="0"/>
    <s v="No"/>
    <n v="12"/>
    <n v="3"/>
    <n v="4"/>
    <n v="0"/>
    <n v="4"/>
    <n v="2"/>
    <n v="4"/>
    <n v="3"/>
    <n v="2"/>
    <n v="1"/>
    <n v="2"/>
    <x v="2"/>
  </r>
  <r>
    <n v="35"/>
    <x v="1"/>
    <s v="Travel_Rarely"/>
    <n v="1395"/>
    <s v="Research &amp; Development"/>
    <n v="9"/>
    <n v="4"/>
    <s v="Medical"/>
    <n v="2008"/>
    <n v="2"/>
    <s v="Male"/>
    <n v="48"/>
    <n v="3"/>
    <n v="2"/>
    <s v="Research Scientist"/>
    <n v="3"/>
    <s v="Single"/>
    <n v="5098"/>
    <n v="18698"/>
    <n v="1"/>
    <s v="No"/>
    <n v="19"/>
    <n v="3"/>
    <n v="2"/>
    <n v="0"/>
    <n v="10"/>
    <n v="5"/>
    <n v="3"/>
    <n v="10"/>
    <n v="7"/>
    <n v="0"/>
    <n v="8"/>
    <x v="0"/>
  </r>
  <r>
    <n v="33"/>
    <x v="1"/>
    <s v="Travel_Rarely"/>
    <n v="501"/>
    <s v="Research &amp; Development"/>
    <n v="15"/>
    <n v="2"/>
    <s v="Medical"/>
    <n v="2009"/>
    <n v="2"/>
    <s v="Female"/>
    <n v="95"/>
    <n v="3"/>
    <n v="2"/>
    <s v="Healthcare Representative"/>
    <n v="4"/>
    <s v="Married"/>
    <n v="4878"/>
    <n v="21653"/>
    <n v="0"/>
    <s v="Yes"/>
    <n v="13"/>
    <n v="3"/>
    <n v="1"/>
    <n v="1"/>
    <n v="10"/>
    <n v="6"/>
    <n v="3"/>
    <n v="9"/>
    <n v="7"/>
    <n v="8"/>
    <n v="1"/>
    <x v="2"/>
  </r>
  <r>
    <n v="32"/>
    <x v="1"/>
    <s v="Travel_Rarely"/>
    <n v="267"/>
    <s v="Research &amp; Development"/>
    <n v="29"/>
    <n v="4"/>
    <s v="Life Sciences"/>
    <n v="2010"/>
    <n v="3"/>
    <s v="Female"/>
    <n v="49"/>
    <n v="2"/>
    <n v="1"/>
    <s v="Laboratory Technician"/>
    <n v="2"/>
    <s v="Single"/>
    <n v="2837"/>
    <n v="15919"/>
    <n v="1"/>
    <s v="No"/>
    <n v="13"/>
    <n v="3"/>
    <n v="3"/>
    <n v="0"/>
    <n v="6"/>
    <n v="3"/>
    <n v="3"/>
    <n v="6"/>
    <n v="2"/>
    <n v="4"/>
    <n v="1"/>
    <x v="2"/>
  </r>
  <r>
    <n v="40"/>
    <x v="1"/>
    <s v="Travel_Rarely"/>
    <n v="543"/>
    <s v="Research &amp; Development"/>
    <n v="1"/>
    <n v="4"/>
    <s v="Life Sciences"/>
    <n v="2012"/>
    <n v="1"/>
    <s v="Male"/>
    <n v="83"/>
    <n v="3"/>
    <n v="1"/>
    <s v="Laboratory Technician"/>
    <n v="4"/>
    <s v="Married"/>
    <n v="2406"/>
    <n v="4060"/>
    <n v="8"/>
    <s v="No"/>
    <n v="19"/>
    <n v="3"/>
    <n v="3"/>
    <n v="2"/>
    <n v="8"/>
    <n v="3"/>
    <n v="2"/>
    <n v="1"/>
    <n v="0"/>
    <n v="0"/>
    <n v="0"/>
    <x v="0"/>
  </r>
  <r>
    <n v="32"/>
    <x v="1"/>
    <s v="Travel_Rarely"/>
    <n v="234"/>
    <s v="Sales"/>
    <n v="1"/>
    <n v="4"/>
    <s v="Medical"/>
    <n v="2013"/>
    <n v="2"/>
    <s v="Male"/>
    <n v="68"/>
    <n v="2"/>
    <n v="1"/>
    <s v="Sales Representative"/>
    <n v="2"/>
    <s v="Married"/>
    <n v="2269"/>
    <n v="18024"/>
    <n v="0"/>
    <s v="No"/>
    <n v="14"/>
    <n v="3"/>
    <n v="2"/>
    <n v="1"/>
    <n v="3"/>
    <n v="2"/>
    <n v="3"/>
    <n v="2"/>
    <n v="2"/>
    <n v="2"/>
    <n v="2"/>
    <x v="2"/>
  </r>
  <r>
    <n v="39"/>
    <x v="1"/>
    <s v="Travel_Rarely"/>
    <n v="116"/>
    <s v="Research &amp; Development"/>
    <n v="24"/>
    <n v="1"/>
    <s v="Life Sciences"/>
    <n v="2014"/>
    <n v="1"/>
    <s v="Male"/>
    <n v="52"/>
    <n v="3"/>
    <n v="2"/>
    <s v="Research Scientist"/>
    <n v="4"/>
    <s v="Single"/>
    <n v="4108"/>
    <n v="5340"/>
    <n v="7"/>
    <s v="No"/>
    <n v="13"/>
    <n v="3"/>
    <n v="1"/>
    <n v="0"/>
    <n v="18"/>
    <n v="2"/>
    <n v="3"/>
    <n v="7"/>
    <n v="7"/>
    <n v="1"/>
    <n v="7"/>
    <x v="0"/>
  </r>
  <r>
    <n v="38"/>
    <x v="1"/>
    <s v="Travel_Rarely"/>
    <n v="201"/>
    <s v="Research &amp; Development"/>
    <n v="10"/>
    <n v="3"/>
    <s v="Medical"/>
    <n v="2015"/>
    <n v="2"/>
    <s v="Female"/>
    <n v="99"/>
    <n v="1"/>
    <n v="3"/>
    <s v="Research Director"/>
    <n v="3"/>
    <s v="Married"/>
    <n v="13206"/>
    <n v="3376"/>
    <n v="3"/>
    <s v="No"/>
    <n v="12"/>
    <n v="3"/>
    <n v="1"/>
    <n v="1"/>
    <n v="20"/>
    <n v="3"/>
    <n v="3"/>
    <n v="18"/>
    <n v="16"/>
    <n v="1"/>
    <n v="11"/>
    <x v="0"/>
  </r>
  <r>
    <n v="32"/>
    <x v="1"/>
    <s v="Travel_Rarely"/>
    <n v="801"/>
    <s v="Sales"/>
    <n v="1"/>
    <n v="4"/>
    <s v="Marketing"/>
    <n v="2016"/>
    <n v="3"/>
    <s v="Female"/>
    <n v="48"/>
    <n v="3"/>
    <n v="3"/>
    <s v="Sales Executive"/>
    <n v="4"/>
    <s v="Married"/>
    <n v="10422"/>
    <n v="24032"/>
    <n v="1"/>
    <s v="No"/>
    <n v="19"/>
    <n v="3"/>
    <n v="3"/>
    <n v="2"/>
    <n v="14"/>
    <n v="3"/>
    <n v="3"/>
    <n v="14"/>
    <n v="10"/>
    <n v="5"/>
    <n v="7"/>
    <x v="2"/>
  </r>
  <r>
    <n v="37"/>
    <x v="1"/>
    <s v="Travel_Rarely"/>
    <n v="161"/>
    <s v="Research &amp; Development"/>
    <n v="10"/>
    <n v="3"/>
    <s v="Life Sciences"/>
    <n v="2017"/>
    <n v="3"/>
    <s v="Female"/>
    <n v="42"/>
    <n v="4"/>
    <n v="3"/>
    <s v="Research Director"/>
    <n v="4"/>
    <s v="Married"/>
    <n v="13744"/>
    <n v="15471"/>
    <n v="1"/>
    <s v="Yes"/>
    <n v="25"/>
    <n v="4"/>
    <n v="1"/>
    <n v="1"/>
    <n v="16"/>
    <n v="2"/>
    <n v="3"/>
    <n v="16"/>
    <n v="11"/>
    <n v="6"/>
    <n v="8"/>
    <x v="0"/>
  </r>
  <r>
    <n v="25"/>
    <x v="1"/>
    <s v="Travel_Rarely"/>
    <n v="1382"/>
    <s v="Sales"/>
    <n v="8"/>
    <n v="2"/>
    <s v="Other"/>
    <n v="2018"/>
    <n v="1"/>
    <s v="Female"/>
    <n v="85"/>
    <n v="3"/>
    <n v="2"/>
    <s v="Sales Executive"/>
    <n v="3"/>
    <s v="Divorced"/>
    <n v="4907"/>
    <n v="13684"/>
    <n v="0"/>
    <s v="Yes"/>
    <n v="22"/>
    <n v="4"/>
    <n v="2"/>
    <n v="1"/>
    <n v="6"/>
    <n v="3"/>
    <n v="2"/>
    <n v="5"/>
    <n v="3"/>
    <n v="0"/>
    <n v="4"/>
    <x v="2"/>
  </r>
  <r>
    <n v="52"/>
    <x v="1"/>
    <s v="Non-Travel"/>
    <n v="585"/>
    <s v="Sales"/>
    <n v="29"/>
    <n v="4"/>
    <s v="Life Sciences"/>
    <n v="2019"/>
    <n v="1"/>
    <s v="Male"/>
    <n v="40"/>
    <n v="3"/>
    <n v="1"/>
    <s v="Sales Representative"/>
    <n v="4"/>
    <s v="Divorced"/>
    <n v="3482"/>
    <n v="19788"/>
    <n v="2"/>
    <s v="No"/>
    <n v="15"/>
    <n v="3"/>
    <n v="2"/>
    <n v="2"/>
    <n v="16"/>
    <n v="3"/>
    <n v="2"/>
    <n v="9"/>
    <n v="8"/>
    <n v="0"/>
    <n v="0"/>
    <x v="1"/>
  </r>
  <r>
    <n v="44"/>
    <x v="1"/>
    <s v="Travel_Rarely"/>
    <n v="1037"/>
    <s v="Research &amp; Development"/>
    <n v="1"/>
    <n v="3"/>
    <s v="Medical"/>
    <n v="2020"/>
    <n v="2"/>
    <s v="Male"/>
    <n v="42"/>
    <n v="3"/>
    <n v="1"/>
    <s v="Research Scientist"/>
    <n v="4"/>
    <s v="Single"/>
    <n v="2436"/>
    <n v="13422"/>
    <n v="6"/>
    <s v="Yes"/>
    <n v="12"/>
    <n v="3"/>
    <n v="3"/>
    <n v="0"/>
    <n v="6"/>
    <n v="2"/>
    <n v="3"/>
    <n v="4"/>
    <n v="3"/>
    <n v="1"/>
    <n v="2"/>
    <x v="0"/>
  </r>
  <r>
    <n v="21"/>
    <x v="1"/>
    <s v="Travel_Rarely"/>
    <n v="501"/>
    <s v="Sales"/>
    <n v="5"/>
    <n v="1"/>
    <s v="Medical"/>
    <n v="2021"/>
    <n v="3"/>
    <s v="Male"/>
    <n v="58"/>
    <n v="3"/>
    <n v="1"/>
    <s v="Sales Representative"/>
    <n v="1"/>
    <s v="Single"/>
    <n v="2380"/>
    <n v="25479"/>
    <n v="1"/>
    <s v="Yes"/>
    <n v="11"/>
    <n v="3"/>
    <n v="4"/>
    <n v="0"/>
    <n v="2"/>
    <n v="6"/>
    <n v="3"/>
    <n v="2"/>
    <n v="2"/>
    <n v="1"/>
    <n v="2"/>
    <x v="2"/>
  </r>
  <r>
    <n v="39"/>
    <x v="1"/>
    <s v="Non-Travel"/>
    <n v="105"/>
    <s v="Research &amp; Development"/>
    <n v="9"/>
    <n v="3"/>
    <s v="Life Sciences"/>
    <n v="2022"/>
    <n v="4"/>
    <s v="Male"/>
    <n v="87"/>
    <n v="3"/>
    <n v="5"/>
    <s v="Manager"/>
    <n v="4"/>
    <s v="Single"/>
    <n v="19431"/>
    <n v="15302"/>
    <n v="2"/>
    <s v="No"/>
    <n v="13"/>
    <n v="3"/>
    <n v="3"/>
    <n v="0"/>
    <n v="21"/>
    <n v="3"/>
    <n v="2"/>
    <n v="6"/>
    <n v="0"/>
    <n v="1"/>
    <n v="3"/>
    <x v="0"/>
  </r>
  <r>
    <n v="23"/>
    <x v="0"/>
    <s v="Travel_Frequently"/>
    <n v="638"/>
    <s v="Sales"/>
    <n v="9"/>
    <n v="3"/>
    <s v="Marketing"/>
    <n v="2023"/>
    <n v="4"/>
    <s v="Male"/>
    <n v="33"/>
    <n v="3"/>
    <n v="1"/>
    <s v="Sales Representative"/>
    <n v="1"/>
    <s v="Married"/>
    <n v="1790"/>
    <n v="26956"/>
    <n v="1"/>
    <s v="No"/>
    <n v="19"/>
    <n v="3"/>
    <n v="1"/>
    <n v="1"/>
    <n v="1"/>
    <n v="3"/>
    <n v="2"/>
    <n v="1"/>
    <n v="0"/>
    <n v="1"/>
    <n v="0"/>
    <x v="2"/>
  </r>
  <r>
    <n v="36"/>
    <x v="1"/>
    <s v="Travel_Rarely"/>
    <n v="557"/>
    <s v="Sales"/>
    <n v="3"/>
    <n v="3"/>
    <s v="Medical"/>
    <n v="2024"/>
    <n v="1"/>
    <s v="Female"/>
    <n v="94"/>
    <n v="2"/>
    <n v="3"/>
    <s v="Sales Executive"/>
    <n v="4"/>
    <s v="Married"/>
    <n v="7644"/>
    <n v="12695"/>
    <n v="0"/>
    <s v="No"/>
    <n v="19"/>
    <n v="3"/>
    <n v="3"/>
    <n v="2"/>
    <n v="10"/>
    <n v="2"/>
    <n v="3"/>
    <n v="9"/>
    <n v="7"/>
    <n v="3"/>
    <n v="4"/>
    <x v="0"/>
  </r>
  <r>
    <n v="36"/>
    <x v="1"/>
    <s v="Travel_Frequently"/>
    <n v="688"/>
    <s v="Research &amp; Development"/>
    <n v="4"/>
    <n v="2"/>
    <s v="Life Sciences"/>
    <n v="2025"/>
    <n v="4"/>
    <s v="Female"/>
    <n v="97"/>
    <n v="3"/>
    <n v="2"/>
    <s v="Manufacturing Director"/>
    <n v="2"/>
    <s v="Divorced"/>
    <n v="5131"/>
    <n v="9192"/>
    <n v="7"/>
    <s v="No"/>
    <n v="13"/>
    <n v="3"/>
    <n v="2"/>
    <n v="3"/>
    <n v="18"/>
    <n v="3"/>
    <n v="3"/>
    <n v="4"/>
    <n v="2"/>
    <n v="0"/>
    <n v="2"/>
    <x v="0"/>
  </r>
  <r>
    <n v="56"/>
    <x v="1"/>
    <s v="Non-Travel"/>
    <n v="667"/>
    <s v="Research &amp; Development"/>
    <n v="1"/>
    <n v="4"/>
    <s v="Life Sciences"/>
    <n v="2026"/>
    <n v="3"/>
    <s v="Male"/>
    <n v="57"/>
    <n v="3"/>
    <n v="2"/>
    <s v="Healthcare Representative"/>
    <n v="3"/>
    <s v="Divorced"/>
    <n v="6306"/>
    <n v="26236"/>
    <n v="1"/>
    <s v="No"/>
    <n v="21"/>
    <n v="4"/>
    <n v="1"/>
    <n v="1"/>
    <n v="13"/>
    <n v="2"/>
    <n v="2"/>
    <n v="13"/>
    <n v="12"/>
    <n v="1"/>
    <n v="9"/>
    <x v="3"/>
  </r>
  <r>
    <n v="29"/>
    <x v="0"/>
    <s v="Travel_Rarely"/>
    <n v="1092"/>
    <s v="Research &amp; Development"/>
    <n v="1"/>
    <n v="4"/>
    <s v="Medical"/>
    <n v="2027"/>
    <n v="1"/>
    <s v="Male"/>
    <n v="36"/>
    <n v="3"/>
    <n v="1"/>
    <s v="Research Scientist"/>
    <n v="4"/>
    <s v="Married"/>
    <n v="4787"/>
    <n v="26124"/>
    <n v="9"/>
    <s v="Yes"/>
    <n v="14"/>
    <n v="3"/>
    <n v="2"/>
    <n v="3"/>
    <n v="4"/>
    <n v="3"/>
    <n v="4"/>
    <n v="2"/>
    <n v="2"/>
    <n v="2"/>
    <n v="2"/>
    <x v="2"/>
  </r>
  <r>
    <n v="42"/>
    <x v="1"/>
    <s v="Travel_Rarely"/>
    <n v="300"/>
    <s v="Research &amp; Development"/>
    <n v="2"/>
    <n v="3"/>
    <s v="Life Sciences"/>
    <n v="2031"/>
    <n v="1"/>
    <s v="Male"/>
    <n v="56"/>
    <n v="3"/>
    <n v="5"/>
    <s v="Manager"/>
    <n v="3"/>
    <s v="Married"/>
    <n v="18880"/>
    <n v="17312"/>
    <n v="5"/>
    <s v="No"/>
    <n v="11"/>
    <n v="3"/>
    <n v="1"/>
    <n v="0"/>
    <n v="24"/>
    <n v="2"/>
    <n v="2"/>
    <n v="22"/>
    <n v="6"/>
    <n v="4"/>
    <n v="14"/>
    <x v="0"/>
  </r>
  <r>
    <n v="56"/>
    <x v="0"/>
    <s v="Travel_Rarely"/>
    <n v="310"/>
    <s v="Research &amp; Development"/>
    <n v="7"/>
    <n v="2"/>
    <s v="Technical Degree"/>
    <n v="2032"/>
    <n v="4"/>
    <s v="Male"/>
    <n v="72"/>
    <n v="3"/>
    <n v="1"/>
    <s v="Laboratory Technician"/>
    <n v="3"/>
    <s v="Married"/>
    <n v="2339"/>
    <n v="3666"/>
    <n v="8"/>
    <s v="No"/>
    <n v="11"/>
    <n v="3"/>
    <n v="4"/>
    <n v="1"/>
    <n v="14"/>
    <n v="4"/>
    <n v="1"/>
    <n v="10"/>
    <n v="9"/>
    <n v="9"/>
    <n v="8"/>
    <x v="3"/>
  </r>
  <r>
    <n v="41"/>
    <x v="1"/>
    <s v="Travel_Rarely"/>
    <n v="582"/>
    <s v="Research &amp; Development"/>
    <n v="28"/>
    <n v="4"/>
    <s v="Life Sciences"/>
    <n v="2034"/>
    <n v="1"/>
    <s v="Female"/>
    <n v="60"/>
    <n v="2"/>
    <n v="4"/>
    <s v="Manufacturing Director"/>
    <n v="2"/>
    <s v="Married"/>
    <n v="13570"/>
    <n v="5640"/>
    <n v="0"/>
    <s v="No"/>
    <n v="23"/>
    <n v="4"/>
    <n v="3"/>
    <n v="1"/>
    <n v="21"/>
    <n v="3"/>
    <n v="3"/>
    <n v="20"/>
    <n v="7"/>
    <n v="0"/>
    <n v="10"/>
    <x v="0"/>
  </r>
  <r>
    <n v="34"/>
    <x v="1"/>
    <s v="Travel_Rarely"/>
    <n v="704"/>
    <s v="Sales"/>
    <n v="28"/>
    <n v="3"/>
    <s v="Marketing"/>
    <n v="2035"/>
    <n v="4"/>
    <s v="Female"/>
    <n v="95"/>
    <n v="2"/>
    <n v="2"/>
    <s v="Sales Executive"/>
    <n v="3"/>
    <s v="Married"/>
    <n v="6712"/>
    <n v="8978"/>
    <n v="1"/>
    <s v="No"/>
    <n v="21"/>
    <n v="4"/>
    <n v="4"/>
    <n v="2"/>
    <n v="8"/>
    <n v="2"/>
    <n v="3"/>
    <n v="8"/>
    <n v="7"/>
    <n v="1"/>
    <n v="7"/>
    <x v="2"/>
  </r>
  <r>
    <n v="36"/>
    <x v="1"/>
    <s v="Non-Travel"/>
    <n v="301"/>
    <s v="Sales"/>
    <n v="15"/>
    <n v="4"/>
    <s v="Marketing"/>
    <n v="2036"/>
    <n v="4"/>
    <s v="Male"/>
    <n v="88"/>
    <n v="1"/>
    <n v="2"/>
    <s v="Sales Executive"/>
    <n v="4"/>
    <s v="Divorced"/>
    <n v="5406"/>
    <n v="10436"/>
    <n v="1"/>
    <s v="No"/>
    <n v="24"/>
    <n v="4"/>
    <n v="1"/>
    <n v="1"/>
    <n v="15"/>
    <n v="4"/>
    <n v="2"/>
    <n v="15"/>
    <n v="12"/>
    <n v="11"/>
    <n v="11"/>
    <x v="0"/>
  </r>
  <r>
    <n v="41"/>
    <x v="1"/>
    <s v="Travel_Rarely"/>
    <n v="930"/>
    <s v="Sales"/>
    <n v="3"/>
    <n v="3"/>
    <s v="Life Sciences"/>
    <n v="2037"/>
    <n v="3"/>
    <s v="Male"/>
    <n v="57"/>
    <n v="2"/>
    <n v="2"/>
    <s v="Sales Executive"/>
    <n v="2"/>
    <s v="Divorced"/>
    <n v="8938"/>
    <n v="12227"/>
    <n v="2"/>
    <s v="No"/>
    <n v="11"/>
    <n v="3"/>
    <n v="3"/>
    <n v="1"/>
    <n v="14"/>
    <n v="5"/>
    <n v="3"/>
    <n v="5"/>
    <n v="4"/>
    <n v="0"/>
    <n v="4"/>
    <x v="0"/>
  </r>
  <r>
    <n v="32"/>
    <x v="1"/>
    <s v="Travel_Rarely"/>
    <n v="529"/>
    <s v="Research &amp; Development"/>
    <n v="2"/>
    <n v="3"/>
    <s v="Technical Degree"/>
    <n v="2038"/>
    <n v="4"/>
    <s v="Male"/>
    <n v="78"/>
    <n v="3"/>
    <n v="1"/>
    <s v="Research Scientist"/>
    <n v="1"/>
    <s v="Single"/>
    <n v="2439"/>
    <n v="11288"/>
    <n v="1"/>
    <s v="No"/>
    <n v="14"/>
    <n v="3"/>
    <n v="4"/>
    <n v="0"/>
    <n v="4"/>
    <n v="4"/>
    <n v="3"/>
    <n v="4"/>
    <n v="2"/>
    <n v="1"/>
    <n v="2"/>
    <x v="2"/>
  </r>
  <r>
    <n v="35"/>
    <x v="1"/>
    <s v="Travel_Rarely"/>
    <n v="1146"/>
    <s v="Human Resources"/>
    <n v="26"/>
    <n v="4"/>
    <s v="Life Sciences"/>
    <n v="2040"/>
    <n v="3"/>
    <s v="Female"/>
    <n v="31"/>
    <n v="3"/>
    <n v="3"/>
    <s v="Human Resources"/>
    <n v="4"/>
    <s v="Single"/>
    <n v="8837"/>
    <n v="16642"/>
    <n v="1"/>
    <s v="Yes"/>
    <n v="16"/>
    <n v="3"/>
    <n v="3"/>
    <n v="0"/>
    <n v="9"/>
    <n v="2"/>
    <n v="3"/>
    <n v="9"/>
    <n v="0"/>
    <n v="1"/>
    <n v="7"/>
    <x v="0"/>
  </r>
  <r>
    <n v="38"/>
    <x v="1"/>
    <s v="Travel_Rarely"/>
    <n v="345"/>
    <s v="Sales"/>
    <n v="10"/>
    <n v="2"/>
    <s v="Life Sciences"/>
    <n v="2041"/>
    <n v="1"/>
    <s v="Female"/>
    <n v="100"/>
    <n v="3"/>
    <n v="2"/>
    <s v="Sales Executive"/>
    <n v="4"/>
    <s v="Married"/>
    <n v="5343"/>
    <n v="5982"/>
    <n v="1"/>
    <s v="No"/>
    <n v="11"/>
    <n v="3"/>
    <n v="3"/>
    <n v="1"/>
    <n v="10"/>
    <n v="1"/>
    <n v="3"/>
    <n v="10"/>
    <n v="7"/>
    <n v="1"/>
    <n v="9"/>
    <x v="0"/>
  </r>
  <r>
    <n v="50"/>
    <x v="0"/>
    <s v="Travel_Frequently"/>
    <n v="878"/>
    <s v="Sales"/>
    <n v="1"/>
    <n v="4"/>
    <s v="Life Sciences"/>
    <n v="2044"/>
    <n v="2"/>
    <s v="Male"/>
    <n v="94"/>
    <n v="3"/>
    <n v="2"/>
    <s v="Sales Executive"/>
    <n v="3"/>
    <s v="Divorced"/>
    <n v="6728"/>
    <n v="14255"/>
    <n v="7"/>
    <s v="No"/>
    <n v="12"/>
    <n v="3"/>
    <n v="4"/>
    <n v="2"/>
    <n v="12"/>
    <n v="3"/>
    <n v="3"/>
    <n v="6"/>
    <n v="3"/>
    <n v="0"/>
    <n v="1"/>
    <x v="1"/>
  </r>
  <r>
    <n v="36"/>
    <x v="1"/>
    <s v="Travel_Rarely"/>
    <n v="1120"/>
    <s v="Sales"/>
    <n v="11"/>
    <n v="4"/>
    <s v="Marketing"/>
    <n v="2045"/>
    <n v="2"/>
    <s v="Female"/>
    <n v="100"/>
    <n v="2"/>
    <n v="2"/>
    <s v="Sales Executive"/>
    <n v="4"/>
    <s v="Married"/>
    <n v="6652"/>
    <n v="14369"/>
    <n v="4"/>
    <s v="No"/>
    <n v="13"/>
    <n v="3"/>
    <n v="1"/>
    <n v="1"/>
    <n v="8"/>
    <n v="2"/>
    <n v="2"/>
    <n v="6"/>
    <n v="3"/>
    <n v="0"/>
    <n v="0"/>
    <x v="0"/>
  </r>
  <r>
    <n v="45"/>
    <x v="1"/>
    <s v="Travel_Rarely"/>
    <n v="374"/>
    <s v="Sales"/>
    <n v="20"/>
    <n v="3"/>
    <s v="Life Sciences"/>
    <n v="2046"/>
    <n v="4"/>
    <s v="Female"/>
    <n v="50"/>
    <n v="3"/>
    <n v="2"/>
    <s v="Sales Executive"/>
    <n v="3"/>
    <s v="Single"/>
    <n v="4850"/>
    <n v="23333"/>
    <n v="8"/>
    <s v="No"/>
    <n v="15"/>
    <n v="3"/>
    <n v="3"/>
    <n v="0"/>
    <n v="8"/>
    <n v="3"/>
    <n v="3"/>
    <n v="5"/>
    <n v="3"/>
    <n v="0"/>
    <n v="1"/>
    <x v="1"/>
  </r>
  <r>
    <n v="40"/>
    <x v="1"/>
    <s v="Travel_Rarely"/>
    <n v="1322"/>
    <s v="Research &amp; Development"/>
    <n v="2"/>
    <n v="4"/>
    <s v="Life Sciences"/>
    <n v="2048"/>
    <n v="3"/>
    <s v="Male"/>
    <n v="52"/>
    <n v="2"/>
    <n v="1"/>
    <s v="Research Scientist"/>
    <n v="3"/>
    <s v="Single"/>
    <n v="2809"/>
    <n v="2725"/>
    <n v="2"/>
    <s v="No"/>
    <n v="14"/>
    <n v="3"/>
    <n v="4"/>
    <n v="0"/>
    <n v="8"/>
    <n v="2"/>
    <n v="3"/>
    <n v="2"/>
    <n v="2"/>
    <n v="2"/>
    <n v="2"/>
    <x v="0"/>
  </r>
  <r>
    <n v="35"/>
    <x v="1"/>
    <s v="Travel_Frequently"/>
    <n v="1199"/>
    <s v="Research &amp; Development"/>
    <n v="18"/>
    <n v="4"/>
    <s v="Life Sciences"/>
    <n v="2049"/>
    <n v="3"/>
    <s v="Male"/>
    <n v="80"/>
    <n v="3"/>
    <n v="2"/>
    <s v="Healthcare Representative"/>
    <n v="3"/>
    <s v="Married"/>
    <n v="5689"/>
    <n v="24594"/>
    <n v="1"/>
    <s v="Yes"/>
    <n v="14"/>
    <n v="3"/>
    <n v="4"/>
    <n v="2"/>
    <n v="10"/>
    <n v="2"/>
    <n v="4"/>
    <n v="10"/>
    <n v="2"/>
    <n v="0"/>
    <n v="2"/>
    <x v="0"/>
  </r>
  <r>
    <n v="40"/>
    <x v="1"/>
    <s v="Travel_Rarely"/>
    <n v="1194"/>
    <s v="Research &amp; Development"/>
    <n v="2"/>
    <n v="4"/>
    <s v="Medical"/>
    <n v="2051"/>
    <n v="3"/>
    <s v="Female"/>
    <n v="98"/>
    <n v="3"/>
    <n v="1"/>
    <s v="Research Scientist"/>
    <n v="3"/>
    <s v="Married"/>
    <n v="2001"/>
    <n v="12549"/>
    <n v="2"/>
    <s v="No"/>
    <n v="14"/>
    <n v="3"/>
    <n v="2"/>
    <n v="3"/>
    <n v="20"/>
    <n v="2"/>
    <n v="3"/>
    <n v="5"/>
    <n v="3"/>
    <n v="0"/>
    <n v="2"/>
    <x v="0"/>
  </r>
  <r>
    <n v="35"/>
    <x v="1"/>
    <s v="Travel_Rarely"/>
    <n v="287"/>
    <s v="Research &amp; Development"/>
    <n v="1"/>
    <n v="4"/>
    <s v="Life Sciences"/>
    <n v="2052"/>
    <n v="3"/>
    <s v="Female"/>
    <n v="62"/>
    <n v="1"/>
    <n v="1"/>
    <s v="Research Scientist"/>
    <n v="4"/>
    <s v="Married"/>
    <n v="2977"/>
    <n v="8952"/>
    <n v="1"/>
    <s v="No"/>
    <n v="12"/>
    <n v="3"/>
    <n v="4"/>
    <n v="1"/>
    <n v="4"/>
    <n v="5"/>
    <n v="3"/>
    <n v="4"/>
    <n v="3"/>
    <n v="1"/>
    <n v="1"/>
    <x v="0"/>
  </r>
  <r>
    <n v="29"/>
    <x v="1"/>
    <s v="Travel_Rarely"/>
    <n v="1378"/>
    <s v="Research &amp; Development"/>
    <n v="13"/>
    <n v="2"/>
    <s v="Other"/>
    <n v="2053"/>
    <n v="4"/>
    <s v="Male"/>
    <n v="46"/>
    <n v="2"/>
    <n v="2"/>
    <s v="Laboratory Technician"/>
    <n v="2"/>
    <s v="Married"/>
    <n v="4025"/>
    <n v="23679"/>
    <n v="4"/>
    <s v="Yes"/>
    <n v="13"/>
    <n v="3"/>
    <n v="1"/>
    <n v="1"/>
    <n v="10"/>
    <n v="2"/>
    <n v="3"/>
    <n v="4"/>
    <n v="3"/>
    <n v="0"/>
    <n v="3"/>
    <x v="2"/>
  </r>
  <r>
    <n v="29"/>
    <x v="1"/>
    <s v="Travel_Rarely"/>
    <n v="468"/>
    <s v="Research &amp; Development"/>
    <n v="28"/>
    <n v="4"/>
    <s v="Medical"/>
    <n v="2054"/>
    <n v="4"/>
    <s v="Female"/>
    <n v="73"/>
    <n v="2"/>
    <n v="1"/>
    <s v="Research Scientist"/>
    <n v="1"/>
    <s v="Single"/>
    <n v="3785"/>
    <n v="8489"/>
    <n v="1"/>
    <s v="No"/>
    <n v="14"/>
    <n v="3"/>
    <n v="2"/>
    <n v="0"/>
    <n v="5"/>
    <n v="3"/>
    <n v="1"/>
    <n v="5"/>
    <n v="4"/>
    <n v="0"/>
    <n v="4"/>
    <x v="2"/>
  </r>
  <r>
    <n v="50"/>
    <x v="0"/>
    <s v="Travel_Rarely"/>
    <n v="410"/>
    <s v="Sales"/>
    <n v="28"/>
    <n v="3"/>
    <s v="Marketing"/>
    <n v="2055"/>
    <n v="4"/>
    <s v="Male"/>
    <n v="39"/>
    <n v="2"/>
    <n v="3"/>
    <s v="Sales Executive"/>
    <n v="1"/>
    <s v="Divorced"/>
    <n v="10854"/>
    <n v="16586"/>
    <n v="4"/>
    <s v="Yes"/>
    <n v="13"/>
    <n v="3"/>
    <n v="2"/>
    <n v="1"/>
    <n v="20"/>
    <n v="3"/>
    <n v="3"/>
    <n v="3"/>
    <n v="2"/>
    <n v="2"/>
    <n v="0"/>
    <x v="1"/>
  </r>
  <r>
    <n v="39"/>
    <x v="1"/>
    <s v="Travel_Rarely"/>
    <n v="722"/>
    <s v="Sales"/>
    <n v="24"/>
    <n v="1"/>
    <s v="Marketing"/>
    <n v="2056"/>
    <n v="2"/>
    <s v="Female"/>
    <n v="60"/>
    <n v="2"/>
    <n v="4"/>
    <s v="Sales Executive"/>
    <n v="4"/>
    <s v="Married"/>
    <n v="12031"/>
    <n v="8828"/>
    <n v="0"/>
    <s v="No"/>
    <n v="11"/>
    <n v="3"/>
    <n v="1"/>
    <n v="1"/>
    <n v="21"/>
    <n v="2"/>
    <n v="2"/>
    <n v="20"/>
    <n v="9"/>
    <n v="9"/>
    <n v="6"/>
    <x v="0"/>
  </r>
  <r>
    <n v="31"/>
    <x v="1"/>
    <s v="Non-Travel"/>
    <n v="325"/>
    <s v="Research &amp; Development"/>
    <n v="5"/>
    <n v="3"/>
    <s v="Medical"/>
    <n v="2057"/>
    <n v="2"/>
    <s v="Male"/>
    <n v="74"/>
    <n v="3"/>
    <n v="2"/>
    <s v="Manufacturing Director"/>
    <n v="1"/>
    <s v="Single"/>
    <n v="9936"/>
    <n v="3787"/>
    <n v="0"/>
    <s v="No"/>
    <n v="19"/>
    <n v="3"/>
    <n v="2"/>
    <n v="0"/>
    <n v="10"/>
    <n v="2"/>
    <n v="3"/>
    <n v="9"/>
    <n v="4"/>
    <n v="1"/>
    <n v="7"/>
    <x v="2"/>
  </r>
  <r>
    <n v="26"/>
    <x v="1"/>
    <s v="Travel_Rarely"/>
    <n v="1167"/>
    <s v="Sales"/>
    <n v="5"/>
    <n v="3"/>
    <s v="Other"/>
    <n v="2060"/>
    <n v="4"/>
    <s v="Female"/>
    <n v="30"/>
    <n v="2"/>
    <n v="1"/>
    <s v="Sales Representative"/>
    <n v="3"/>
    <s v="Single"/>
    <n v="2966"/>
    <n v="21378"/>
    <n v="0"/>
    <s v="No"/>
    <n v="18"/>
    <n v="3"/>
    <n v="4"/>
    <n v="0"/>
    <n v="5"/>
    <n v="2"/>
    <n v="3"/>
    <n v="4"/>
    <n v="2"/>
    <n v="0"/>
    <n v="0"/>
    <x v="2"/>
  </r>
  <r>
    <n v="36"/>
    <x v="1"/>
    <s v="Travel_Frequently"/>
    <n v="884"/>
    <s v="Research &amp; Development"/>
    <n v="23"/>
    <n v="2"/>
    <s v="Medical"/>
    <n v="2061"/>
    <n v="3"/>
    <s v="Male"/>
    <n v="41"/>
    <n v="4"/>
    <n v="2"/>
    <s v="Laboratory Technician"/>
    <n v="4"/>
    <s v="Married"/>
    <n v="2571"/>
    <n v="12290"/>
    <n v="4"/>
    <s v="No"/>
    <n v="17"/>
    <n v="3"/>
    <n v="3"/>
    <n v="1"/>
    <n v="17"/>
    <n v="3"/>
    <n v="3"/>
    <n v="5"/>
    <n v="2"/>
    <n v="0"/>
    <n v="3"/>
    <x v="0"/>
  </r>
  <r>
    <n v="39"/>
    <x v="1"/>
    <s v="Travel_Rarely"/>
    <n v="613"/>
    <s v="Research &amp; Development"/>
    <n v="6"/>
    <n v="1"/>
    <s v="Medical"/>
    <n v="2062"/>
    <n v="4"/>
    <s v="Male"/>
    <n v="42"/>
    <n v="2"/>
    <n v="3"/>
    <s v="Healthcare Representative"/>
    <n v="1"/>
    <s v="Married"/>
    <n v="9991"/>
    <n v="21457"/>
    <n v="4"/>
    <s v="No"/>
    <n v="15"/>
    <n v="3"/>
    <n v="1"/>
    <n v="1"/>
    <n v="9"/>
    <n v="5"/>
    <n v="3"/>
    <n v="7"/>
    <n v="7"/>
    <n v="1"/>
    <n v="7"/>
    <x v="0"/>
  </r>
  <r>
    <n v="27"/>
    <x v="1"/>
    <s v="Travel_Rarely"/>
    <n v="155"/>
    <s v="Research &amp; Development"/>
    <n v="4"/>
    <n v="3"/>
    <s v="Life Sciences"/>
    <n v="2064"/>
    <n v="2"/>
    <s v="Male"/>
    <n v="87"/>
    <n v="4"/>
    <n v="2"/>
    <s v="Manufacturing Director"/>
    <n v="2"/>
    <s v="Married"/>
    <n v="6142"/>
    <n v="5174"/>
    <n v="1"/>
    <s v="Yes"/>
    <n v="20"/>
    <n v="4"/>
    <n v="2"/>
    <n v="1"/>
    <n v="6"/>
    <n v="0"/>
    <n v="3"/>
    <n v="6"/>
    <n v="2"/>
    <n v="0"/>
    <n v="3"/>
    <x v="2"/>
  </r>
  <r>
    <n v="49"/>
    <x v="1"/>
    <s v="Travel_Frequently"/>
    <n v="1023"/>
    <s v="Sales"/>
    <n v="2"/>
    <n v="3"/>
    <s v="Medical"/>
    <n v="2065"/>
    <n v="4"/>
    <s v="Male"/>
    <n v="63"/>
    <n v="2"/>
    <n v="2"/>
    <s v="Sales Executive"/>
    <n v="2"/>
    <s v="Married"/>
    <n v="5390"/>
    <n v="13243"/>
    <n v="2"/>
    <s v="No"/>
    <n v="14"/>
    <n v="3"/>
    <n v="4"/>
    <n v="0"/>
    <n v="17"/>
    <n v="3"/>
    <n v="2"/>
    <n v="9"/>
    <n v="6"/>
    <n v="0"/>
    <n v="8"/>
    <x v="1"/>
  </r>
  <r>
    <n v="34"/>
    <x v="1"/>
    <s v="Travel_Rarely"/>
    <n v="628"/>
    <s v="Research &amp; Development"/>
    <n v="8"/>
    <n v="3"/>
    <s v="Medical"/>
    <n v="2068"/>
    <n v="2"/>
    <s v="Male"/>
    <n v="82"/>
    <n v="4"/>
    <n v="2"/>
    <s v="Laboratory Technician"/>
    <n v="3"/>
    <s v="Married"/>
    <n v="4404"/>
    <n v="10228"/>
    <n v="2"/>
    <s v="No"/>
    <n v="12"/>
    <n v="3"/>
    <n v="1"/>
    <n v="0"/>
    <n v="6"/>
    <n v="3"/>
    <n v="4"/>
    <n v="4"/>
    <n v="3"/>
    <n v="1"/>
    <n v="2"/>
    <x v="2"/>
  </r>
  <r>
    <m/>
    <x v="2"/>
    <m/>
    <m/>
    <m/>
    <m/>
    <m/>
    <m/>
    <m/>
    <m/>
    <m/>
    <m/>
    <m/>
    <m/>
    <m/>
    <m/>
    <m/>
    <m/>
    <m/>
    <m/>
    <m/>
    <m/>
    <m/>
    <m/>
    <m/>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 firstHeaderRow="1" firstDataRow="1" firstDataCol="1" rowPageCount="1" colPageCount="1"/>
  <pivotFields count="32">
    <pivotField showAll="0"/>
    <pivotField axis="axisPage" dataField="1" showAll="0">
      <items count="3">
        <item x="1"/>
        <item x="0"/>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OverTime">
  <location ref="A3:B6" firstHeaderRow="1" firstDataRow="1" firstDataCol="1"/>
  <pivotFields count="32">
    <pivotField showAll="0"/>
    <pivotField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3:B6" firstHeaderRow="1" firstDataRow="1" firstDataCol="1"/>
  <pivotFields count="32">
    <pivotField showAll="0"/>
    <pivotField dataField="1" showAll="0">
      <items count="4">
        <item h="1" x="1"/>
        <item x="0"/>
        <item h="1" x="2"/>
        <item t="default"/>
      </items>
    </pivotField>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6"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location ref="A3:B6" firstHeaderRow="1" firstDataRow="1" firstDataCol="1"/>
  <pivotFields count="32">
    <pivotField showAll="0"/>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x v="2"/>
    </i>
  </rowItems>
  <colItems count="1">
    <i/>
  </colItems>
  <dataFields count="1">
    <dataField name="Total Employees In each Department" fld="1" subtotal="count" baseField="4" baseItem="0"/>
  </dataFields>
  <formats count="2">
    <format dxfId="4">
      <pivotArea field="4" type="button" dataOnly="0" labelOnly="1" outline="0" axis="axisRow" fieldPosition="0"/>
    </format>
    <format dxfId="3">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rowPageCount="1" colPageCount="1"/>
  <pivotFields count="33">
    <pivotField showAll="0"/>
    <pivotField axis="axisPage"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s>
  <rowFields count="1">
    <field x="32"/>
  </rowFields>
  <rowItems count="5">
    <i>
      <x/>
    </i>
    <i>
      <x v="1"/>
    </i>
    <i>
      <x v="2"/>
    </i>
    <i>
      <x v="3"/>
    </i>
    <i t="grand">
      <x/>
    </i>
  </rowItems>
  <colItems count="1">
    <i/>
  </colItems>
  <pageFields count="1">
    <pageField fld="1" item="1" hier="-1"/>
  </pageField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ttrition" sourceName="Attrition">
  <pivotTables>
    <pivotTable tabId="4" name="PivotTable1"/>
  </pivotTables>
  <data>
    <tabular pivotCacheId="1">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ttrition1" sourceName="Attrition">
  <pivotTables>
    <pivotTable tabId="11" name="PivotTable2"/>
  </pivotTables>
  <data>
    <tabular pivotCacheId="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ttrition 1" cache="Slicer_Attrition1" caption="Attrit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Attrition" cache="Slicer_Attrition" caption="Attrition" rowHeight="241300"/>
</slicers>
</file>

<file path=xl/tables/table1.xml><?xml version="1.0" encoding="utf-8"?>
<table xmlns="http://schemas.openxmlformats.org/spreadsheetml/2006/main" id="1" name="Table1" displayName="Table1" ref="A1:AG1471" totalsRowShown="0">
  <autoFilter ref="A1:AG1471"/>
  <tableColumns count="33">
    <tableColumn id="1" name="Age"/>
    <tableColumn id="2" name="Attrition"/>
    <tableColumn id="3" name="BusinessTravel"/>
    <tableColumn id="4" name="DailyRate"/>
    <tableColumn id="5" name="Department"/>
    <tableColumn id="6" name="DistanceFromHome"/>
    <tableColumn id="7" name="Education"/>
    <tableColumn id="8" name="EducationField"/>
    <tableColumn id="9" name="EmployeeNumber"/>
    <tableColumn id="10" name="EnvironmentSatisfaction"/>
    <tableColumn id="11" name="Gender"/>
    <tableColumn id="12" name="HourlyRate"/>
    <tableColumn id="13" name="JobInvolvement"/>
    <tableColumn id="14" name="JobLevel"/>
    <tableColumn id="15" name="JobRole"/>
    <tableColumn id="16" name="JobSatisfaction"/>
    <tableColumn id="17" name="MaritalStatus"/>
    <tableColumn id="18" name="MonthlyIncome"/>
    <tableColumn id="19" name="MonthlyRate"/>
    <tableColumn id="20" name="NumCompaniesWorked"/>
    <tableColumn id="21" name="OverTime"/>
    <tableColumn id="22" name="PercentSalaryHike"/>
    <tableColumn id="23" name="PerformanceRating"/>
    <tableColumn id="24" name="RelationshipSatisfaction"/>
    <tableColumn id="25" name="StockOptionLevel"/>
    <tableColumn id="26" name="TotalWorkingYears"/>
    <tableColumn id="27" name="TrainingTimesLastYear"/>
    <tableColumn id="28" name="WorkLifeBalance"/>
    <tableColumn id="29" name="YearsAtCompany"/>
    <tableColumn id="30" name="YearsInCurrentRole"/>
    <tableColumn id="31" name="YearsSinceLastPromotion"/>
    <tableColumn id="32" name="YearsWithCurrManager"/>
    <tableColumn id="33" name="Age Group" dataDxfId="5">
      <calculatedColumnFormula>IF(A2&lt;18, "under 18", IF(A2&lt;35, "18-34", IF(A2&lt;45, "35-44", IF(A2&lt;55, "45-54", "55+"))))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C3:D6" totalsRowShown="0" headerRowBorderDxfId="2" tableBorderDxfId="1">
  <tableColumns count="2">
    <tableColumn id="1" name="Employees who left"/>
    <tableColumn id="2" name="Attrition Rate %" dataDxfId="0" dataCellStyle="Percent">
      <calculatedColumnFormula>C4/B4*100</calculatedColumnFormula>
    </tableColumn>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4" sqref="C4"/>
    </sheetView>
  </sheetViews>
  <sheetFormatPr defaultRowHeight="15" x14ac:dyDescent="0.25"/>
  <cols>
    <col min="1" max="1" width="13.140625" bestFit="1" customWidth="1"/>
    <col min="2" max="2" width="16.7109375" bestFit="1" customWidth="1"/>
    <col min="3" max="3" width="15.42578125" customWidth="1"/>
  </cols>
  <sheetData>
    <row r="1" spans="1:3" x14ac:dyDescent="0.25">
      <c r="A1" s="5" t="s">
        <v>1</v>
      </c>
      <c r="B1" t="s">
        <v>32</v>
      </c>
    </row>
    <row r="3" spans="1:3" x14ac:dyDescent="0.25">
      <c r="A3" s="5" t="s">
        <v>64</v>
      </c>
      <c r="B3" t="s">
        <v>63</v>
      </c>
      <c r="C3" t="s">
        <v>77</v>
      </c>
    </row>
    <row r="4" spans="1:3" x14ac:dyDescent="0.25">
      <c r="A4" s="7" t="s">
        <v>36</v>
      </c>
      <c r="B4" s="6">
        <v>87</v>
      </c>
      <c r="C4">
        <f>COUNTIFS(Table1[Attrition], "Yes", Table1[Gender], "Female")</f>
        <v>87</v>
      </c>
    </row>
    <row r="5" spans="1:3" x14ac:dyDescent="0.25">
      <c r="A5" s="7" t="s">
        <v>42</v>
      </c>
      <c r="B5" s="6">
        <v>150</v>
      </c>
      <c r="C5">
        <f>COUNTIFS(Table1[Attrition], "Yes", Table1[Gender], "Male")</f>
        <v>150</v>
      </c>
    </row>
    <row r="6" spans="1:3" x14ac:dyDescent="0.25">
      <c r="A6" s="7" t="s">
        <v>76</v>
      </c>
      <c r="B6" s="6">
        <v>237</v>
      </c>
    </row>
    <row r="9" spans="1:3" x14ac:dyDescent="0.25">
      <c r="A9"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A4" sqref="A4"/>
    </sheetView>
  </sheetViews>
  <sheetFormatPr defaultRowHeight="15" x14ac:dyDescent="0.25"/>
  <cols>
    <col min="1" max="1" width="13.140625" customWidth="1"/>
    <col min="2" max="2" width="16.7109375" customWidth="1"/>
  </cols>
  <sheetData>
    <row r="1" spans="1:2" x14ac:dyDescent="0.25">
      <c r="A1" s="14" t="s">
        <v>82</v>
      </c>
    </row>
    <row r="3" spans="1:2" x14ac:dyDescent="0.25">
      <c r="A3" s="5" t="s">
        <v>20</v>
      </c>
      <c r="B3" t="s">
        <v>63</v>
      </c>
    </row>
    <row r="4" spans="1:2" x14ac:dyDescent="0.25">
      <c r="A4" s="7" t="s">
        <v>39</v>
      </c>
      <c r="B4" s="6">
        <v>110</v>
      </c>
    </row>
    <row r="5" spans="1:2" x14ac:dyDescent="0.25">
      <c r="A5" s="7" t="s">
        <v>32</v>
      </c>
      <c r="B5" s="6">
        <v>127</v>
      </c>
    </row>
    <row r="6" spans="1:2" x14ac:dyDescent="0.25">
      <c r="A6" s="7" t="s">
        <v>76</v>
      </c>
      <c r="B6" s="6">
        <v>237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471"/>
  <sheetViews>
    <sheetView topLeftCell="A1449" workbookViewId="0">
      <selection activeCell="H1451" sqref="H1451"/>
    </sheetView>
  </sheetViews>
  <sheetFormatPr defaultColWidth="20.5703125" defaultRowHeight="15" x14ac:dyDescent="0.25"/>
  <cols>
    <col min="10" max="10" width="24.85546875" customWidth="1"/>
    <col min="20" max="20" width="24.42578125" customWidth="1"/>
    <col min="24" max="24" width="24.5703125" customWidth="1"/>
    <col min="27" max="27" width="23" customWidth="1"/>
    <col min="31" max="31" width="25.5703125" customWidth="1"/>
    <col min="32" max="32" width="24" customWidth="1"/>
  </cols>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71</v>
      </c>
    </row>
    <row r="2" spans="1:33" x14ac:dyDescent="0.25">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c r="AG2" t="str">
        <f t="shared" ref="AG2:AG65" si="0">IF(A2&lt;18, "under 18", IF(A2&lt;35, "18-34", IF(A2&lt;45, "35-44", IF(A2&lt;55, "45-54", "55+"))))</f>
        <v>35-44</v>
      </c>
    </row>
    <row r="3" spans="1:33" x14ac:dyDescent="0.25">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c r="AG3" t="str">
        <f t="shared" si="0"/>
        <v>45-54</v>
      </c>
    </row>
    <row r="4" spans="1:33" x14ac:dyDescent="0.25">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c r="AG4" t="str">
        <f t="shared" si="0"/>
        <v>35-44</v>
      </c>
    </row>
    <row r="5" spans="1:33" x14ac:dyDescent="0.25">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c r="AG5" t="str">
        <f t="shared" si="0"/>
        <v>18-34</v>
      </c>
    </row>
    <row r="6" spans="1:33" x14ac:dyDescent="0.25">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c r="AG6" t="str">
        <f t="shared" si="0"/>
        <v>18-34</v>
      </c>
    </row>
    <row r="7" spans="1:33" x14ac:dyDescent="0.25">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c r="AG7" t="str">
        <f t="shared" si="0"/>
        <v>18-34</v>
      </c>
    </row>
    <row r="8" spans="1:33" x14ac:dyDescent="0.25">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c r="AG8" t="str">
        <f t="shared" si="0"/>
        <v>55+</v>
      </c>
    </row>
    <row r="9" spans="1:33" x14ac:dyDescent="0.25">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c r="AG9" t="str">
        <f t="shared" si="0"/>
        <v>18-34</v>
      </c>
    </row>
    <row r="10" spans="1:33" x14ac:dyDescent="0.25">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c r="AG10" t="str">
        <f t="shared" si="0"/>
        <v>35-44</v>
      </c>
    </row>
    <row r="11" spans="1:33" x14ac:dyDescent="0.25">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c r="AG11" t="str">
        <f t="shared" si="0"/>
        <v>35-44</v>
      </c>
    </row>
    <row r="12" spans="1:33" x14ac:dyDescent="0.25">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c r="AG12" t="str">
        <f t="shared" si="0"/>
        <v>35-44</v>
      </c>
    </row>
    <row r="13" spans="1:33" x14ac:dyDescent="0.25">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c r="AG13" t="str">
        <f t="shared" si="0"/>
        <v>18-34</v>
      </c>
    </row>
    <row r="14" spans="1:33" x14ac:dyDescent="0.25">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c r="AG14" t="str">
        <f t="shared" si="0"/>
        <v>18-34</v>
      </c>
    </row>
    <row r="15" spans="1:33" x14ac:dyDescent="0.25">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c r="AG15" t="str">
        <f t="shared" si="0"/>
        <v>18-34</v>
      </c>
    </row>
    <row r="16" spans="1:33" x14ac:dyDescent="0.25">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c r="AG16" t="str">
        <f t="shared" si="0"/>
        <v>18-34</v>
      </c>
    </row>
    <row r="17" spans="1:33" x14ac:dyDescent="0.25">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c r="AG17" t="str">
        <f t="shared" si="0"/>
        <v>18-34</v>
      </c>
    </row>
    <row r="18" spans="1:33" x14ac:dyDescent="0.25">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c r="AG18" t="str">
        <f t="shared" si="0"/>
        <v>18-34</v>
      </c>
    </row>
    <row r="19" spans="1:33" x14ac:dyDescent="0.25">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c r="AG19" t="str">
        <f t="shared" si="0"/>
        <v>18-34</v>
      </c>
    </row>
    <row r="20" spans="1:33" x14ac:dyDescent="0.25">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c r="AG20" t="str">
        <f t="shared" si="0"/>
        <v>45-54</v>
      </c>
    </row>
    <row r="21" spans="1:33" x14ac:dyDescent="0.25">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c r="AG21" t="str">
        <f t="shared" si="0"/>
        <v>35-44</v>
      </c>
    </row>
    <row r="22" spans="1:33" x14ac:dyDescent="0.25">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c r="AG22" t="str">
        <f t="shared" si="0"/>
        <v>18-34</v>
      </c>
    </row>
    <row r="23" spans="1:33" x14ac:dyDescent="0.25">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c r="AG23" t="str">
        <f t="shared" si="0"/>
        <v>35-44</v>
      </c>
    </row>
    <row r="24" spans="1:33" x14ac:dyDescent="0.25">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c r="AG24" t="str">
        <f t="shared" si="0"/>
        <v>18-34</v>
      </c>
    </row>
    <row r="25" spans="1:33" x14ac:dyDescent="0.25">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c r="AG25" t="str">
        <f t="shared" si="0"/>
        <v>18-34</v>
      </c>
    </row>
    <row r="26" spans="1:33" x14ac:dyDescent="0.25">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c r="AG26" t="str">
        <f t="shared" si="0"/>
        <v>18-34</v>
      </c>
    </row>
    <row r="27" spans="1:33" x14ac:dyDescent="0.25">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c r="AG27" t="str">
        <f t="shared" si="0"/>
        <v>45-54</v>
      </c>
    </row>
    <row r="28" spans="1:33" x14ac:dyDescent="0.25">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c r="AG28" t="str">
        <f t="shared" si="0"/>
        <v>18-34</v>
      </c>
    </row>
    <row r="29" spans="1:33" x14ac:dyDescent="0.25">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c r="AG29" t="str">
        <f t="shared" si="0"/>
        <v>35-44</v>
      </c>
    </row>
    <row r="30" spans="1:33" x14ac:dyDescent="0.25">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c r="AG30" t="str">
        <f t="shared" si="0"/>
        <v>35-44</v>
      </c>
    </row>
    <row r="31" spans="1:33" x14ac:dyDescent="0.25">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c r="AG31" t="str">
        <f t="shared" si="0"/>
        <v>45-54</v>
      </c>
    </row>
    <row r="32" spans="1:33" x14ac:dyDescent="0.25">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c r="AG32" t="str">
        <f t="shared" si="0"/>
        <v>18-34</v>
      </c>
    </row>
    <row r="33" spans="1:33" x14ac:dyDescent="0.25">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c r="AG33" t="str">
        <f t="shared" si="0"/>
        <v>35-44</v>
      </c>
    </row>
    <row r="34" spans="1:33" x14ac:dyDescent="0.25">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c r="AG34" t="str">
        <f t="shared" si="0"/>
        <v>18-34</v>
      </c>
    </row>
    <row r="35" spans="1:33" x14ac:dyDescent="0.25">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c r="AG35" t="str">
        <f t="shared" si="0"/>
        <v>35-44</v>
      </c>
    </row>
    <row r="36" spans="1:33" x14ac:dyDescent="0.25">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c r="AG36" t="str">
        <f t="shared" si="0"/>
        <v>18-34</v>
      </c>
    </row>
    <row r="37" spans="1:33" x14ac:dyDescent="0.25">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c r="AG37" t="str">
        <f t="shared" si="0"/>
        <v>35-44</v>
      </c>
    </row>
    <row r="38" spans="1:33" x14ac:dyDescent="0.25">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c r="AG38" t="str">
        <f t="shared" si="0"/>
        <v>45-54</v>
      </c>
    </row>
    <row r="39" spans="1:33" x14ac:dyDescent="0.25">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c r="AG39" t="str">
        <f t="shared" si="0"/>
        <v>35-44</v>
      </c>
    </row>
    <row r="40" spans="1:33" x14ac:dyDescent="0.25">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c r="AG40" t="str">
        <f t="shared" si="0"/>
        <v>35-44</v>
      </c>
    </row>
    <row r="41" spans="1:33" x14ac:dyDescent="0.25">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c r="AG41" t="str">
        <f t="shared" si="0"/>
        <v>18-34</v>
      </c>
    </row>
    <row r="42" spans="1:33" x14ac:dyDescent="0.25">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c r="AG42" t="str">
        <f t="shared" si="0"/>
        <v>35-44</v>
      </c>
    </row>
    <row r="43" spans="1:33" x14ac:dyDescent="0.25">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c r="AG43" t="str">
        <f t="shared" si="0"/>
        <v>18-34</v>
      </c>
    </row>
    <row r="44" spans="1:33" x14ac:dyDescent="0.25">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c r="AG44" t="str">
        <f t="shared" si="0"/>
        <v>18-34</v>
      </c>
    </row>
    <row r="45" spans="1:33" x14ac:dyDescent="0.25">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c r="AG45" t="str">
        <f t="shared" si="0"/>
        <v>18-34</v>
      </c>
    </row>
    <row r="46" spans="1:33" x14ac:dyDescent="0.25">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c r="AG46" t="str">
        <f t="shared" si="0"/>
        <v>18-34</v>
      </c>
    </row>
    <row r="47" spans="1:33" x14ac:dyDescent="0.25">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c r="AG47" t="str">
        <f t="shared" si="0"/>
        <v>35-44</v>
      </c>
    </row>
    <row r="48" spans="1:33" x14ac:dyDescent="0.25">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c r="AG48" t="str">
        <f t="shared" si="0"/>
        <v>18-34</v>
      </c>
    </row>
    <row r="49" spans="1:33" x14ac:dyDescent="0.25">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c r="AG49" t="str">
        <f t="shared" si="0"/>
        <v>35-44</v>
      </c>
    </row>
    <row r="50" spans="1:33" x14ac:dyDescent="0.25">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c r="AG50" t="str">
        <f t="shared" si="0"/>
        <v>45-54</v>
      </c>
    </row>
    <row r="51" spans="1:33" x14ac:dyDescent="0.25">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c r="AG51" t="str">
        <f t="shared" si="0"/>
        <v>35-44</v>
      </c>
    </row>
    <row r="52" spans="1:33" x14ac:dyDescent="0.25">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c r="AG52" t="str">
        <f t="shared" si="0"/>
        <v>45-54</v>
      </c>
    </row>
    <row r="53" spans="1:33" x14ac:dyDescent="0.25">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c r="AG53" t="str">
        <f t="shared" si="0"/>
        <v>18-34</v>
      </c>
    </row>
    <row r="54" spans="1:33" x14ac:dyDescent="0.25">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c r="AG54" t="str">
        <f t="shared" si="0"/>
        <v>35-44</v>
      </c>
    </row>
    <row r="55" spans="1:33" x14ac:dyDescent="0.25">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c r="AG55" t="str">
        <f t="shared" si="0"/>
        <v>35-44</v>
      </c>
    </row>
    <row r="56" spans="1:33" x14ac:dyDescent="0.25">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c r="AG56" t="str">
        <f t="shared" si="0"/>
        <v>18-34</v>
      </c>
    </row>
    <row r="57" spans="1:33" x14ac:dyDescent="0.25">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c r="AG57" t="str">
        <f t="shared" si="0"/>
        <v>18-34</v>
      </c>
    </row>
    <row r="58" spans="1:33" x14ac:dyDescent="0.25">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c r="AG58" t="str">
        <f t="shared" si="0"/>
        <v>35-44</v>
      </c>
    </row>
    <row r="59" spans="1:33" x14ac:dyDescent="0.25">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c r="AG59" t="str">
        <f t="shared" si="0"/>
        <v>35-44</v>
      </c>
    </row>
    <row r="60" spans="1:33" x14ac:dyDescent="0.25">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c r="AG60" t="str">
        <f t="shared" si="0"/>
        <v>18-34</v>
      </c>
    </row>
    <row r="61" spans="1:33" x14ac:dyDescent="0.25">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c r="AG61" t="str">
        <f t="shared" si="0"/>
        <v>35-44</v>
      </c>
    </row>
    <row r="62" spans="1:33" x14ac:dyDescent="0.25">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c r="AG62" t="str">
        <f t="shared" si="0"/>
        <v>18-34</v>
      </c>
    </row>
    <row r="63" spans="1:33" x14ac:dyDescent="0.25">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c r="AG63" t="str">
        <f t="shared" si="0"/>
        <v>35-44</v>
      </c>
    </row>
    <row r="64" spans="1:33" x14ac:dyDescent="0.25">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c r="AG64" t="str">
        <f t="shared" si="0"/>
        <v>45-54</v>
      </c>
    </row>
    <row r="65" spans="1:33" x14ac:dyDescent="0.25">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c r="AG65" t="str">
        <f t="shared" si="0"/>
        <v>55+</v>
      </c>
    </row>
    <row r="66" spans="1:33" x14ac:dyDescent="0.25">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c r="AG66" t="str">
        <f t="shared" ref="AG66:AG129" si="1">IF(A66&lt;18, "under 18", IF(A66&lt;35, "18-34", IF(A66&lt;45, "35-44", IF(A66&lt;55, "45-54", "55+"))))</f>
        <v>35-44</v>
      </c>
    </row>
    <row r="67" spans="1:33" x14ac:dyDescent="0.25">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c r="AG67" t="str">
        <f t="shared" si="1"/>
        <v>55+</v>
      </c>
    </row>
    <row r="68" spans="1:33" x14ac:dyDescent="0.25">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c r="AG68" t="str">
        <f t="shared" si="1"/>
        <v>35-44</v>
      </c>
    </row>
    <row r="69" spans="1:33" x14ac:dyDescent="0.25">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c r="AG69" t="str">
        <f t="shared" si="1"/>
        <v>45-54</v>
      </c>
    </row>
    <row r="70" spans="1:33" x14ac:dyDescent="0.25">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c r="AG70" t="str">
        <f t="shared" si="1"/>
        <v>35-44</v>
      </c>
    </row>
    <row r="71" spans="1:33" x14ac:dyDescent="0.25">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c r="AG71" t="str">
        <f t="shared" si="1"/>
        <v>35-44</v>
      </c>
    </row>
    <row r="72" spans="1:33" x14ac:dyDescent="0.25">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c r="AG72" t="str">
        <f t="shared" si="1"/>
        <v>55+</v>
      </c>
    </row>
    <row r="73" spans="1:33" x14ac:dyDescent="0.25">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c r="AG73" t="str">
        <f t="shared" si="1"/>
        <v>18-34</v>
      </c>
    </row>
    <row r="74" spans="1:33" x14ac:dyDescent="0.25">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c r="AG74" t="str">
        <f t="shared" si="1"/>
        <v>18-34</v>
      </c>
    </row>
    <row r="75" spans="1:33" x14ac:dyDescent="0.25">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c r="AG75" t="str">
        <f t="shared" si="1"/>
        <v>18-34</v>
      </c>
    </row>
    <row r="76" spans="1:33" x14ac:dyDescent="0.25">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c r="AG76" t="str">
        <f t="shared" si="1"/>
        <v>35-44</v>
      </c>
    </row>
    <row r="77" spans="1:33" x14ac:dyDescent="0.25">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c r="AG77" t="str">
        <f t="shared" si="1"/>
        <v>18-34</v>
      </c>
    </row>
    <row r="78" spans="1:33" x14ac:dyDescent="0.25">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c r="AG78" t="str">
        <f t="shared" si="1"/>
        <v>35-44</v>
      </c>
    </row>
    <row r="79" spans="1:33" x14ac:dyDescent="0.25">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c r="AG79" t="str">
        <f t="shared" si="1"/>
        <v>45-54</v>
      </c>
    </row>
    <row r="80" spans="1:33" x14ac:dyDescent="0.25">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c r="AG80" t="str">
        <f t="shared" si="1"/>
        <v>35-44</v>
      </c>
    </row>
    <row r="81" spans="1:33" x14ac:dyDescent="0.25">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c r="AG81" t="str">
        <f t="shared" si="1"/>
        <v>45-54</v>
      </c>
    </row>
    <row r="82" spans="1:33" x14ac:dyDescent="0.25">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c r="AG82" t="str">
        <f t="shared" si="1"/>
        <v>18-34</v>
      </c>
    </row>
    <row r="83" spans="1:33" x14ac:dyDescent="0.25">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c r="AG83" t="str">
        <f t="shared" si="1"/>
        <v>35-44</v>
      </c>
    </row>
    <row r="84" spans="1:33" x14ac:dyDescent="0.25">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c r="AG84" t="str">
        <f t="shared" si="1"/>
        <v>55+</v>
      </c>
    </row>
    <row r="85" spans="1:33" x14ac:dyDescent="0.25">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c r="AG85" t="str">
        <f t="shared" si="1"/>
        <v>35-44</v>
      </c>
    </row>
    <row r="86" spans="1:33" x14ac:dyDescent="0.25">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c r="AG86" t="str">
        <f t="shared" si="1"/>
        <v>18-34</v>
      </c>
    </row>
    <row r="87" spans="1:33" x14ac:dyDescent="0.25">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c r="AG87" t="str">
        <f t="shared" si="1"/>
        <v>55+</v>
      </c>
    </row>
    <row r="88" spans="1:33" x14ac:dyDescent="0.25">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c r="AG88" t="str">
        <f t="shared" si="1"/>
        <v>18-34</v>
      </c>
    </row>
    <row r="89" spans="1:33" x14ac:dyDescent="0.25">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c r="AG89" t="str">
        <f t="shared" si="1"/>
        <v>45-54</v>
      </c>
    </row>
    <row r="90" spans="1:33" x14ac:dyDescent="0.25">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c r="AG90" t="str">
        <f t="shared" si="1"/>
        <v>18-34</v>
      </c>
    </row>
    <row r="91" spans="1:33" x14ac:dyDescent="0.25">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c r="AG91" t="str">
        <f t="shared" si="1"/>
        <v>45-54</v>
      </c>
    </row>
    <row r="92" spans="1:33" x14ac:dyDescent="0.25">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c r="AG92" t="str">
        <f t="shared" si="1"/>
        <v>35-44</v>
      </c>
    </row>
    <row r="93" spans="1:33" x14ac:dyDescent="0.25">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c r="AG93" t="str">
        <f t="shared" si="1"/>
        <v>45-54</v>
      </c>
    </row>
    <row r="94" spans="1:33" x14ac:dyDescent="0.25">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c r="AG94" t="str">
        <f t="shared" si="1"/>
        <v>18-34</v>
      </c>
    </row>
    <row r="95" spans="1:33" x14ac:dyDescent="0.25">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c r="AG95" t="str">
        <f t="shared" si="1"/>
        <v>45-54</v>
      </c>
    </row>
    <row r="96" spans="1:33" x14ac:dyDescent="0.25">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c r="AG96" t="str">
        <f t="shared" si="1"/>
        <v>18-34</v>
      </c>
    </row>
    <row r="97" spans="1:33" x14ac:dyDescent="0.25">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c r="AG97" t="str">
        <f t="shared" si="1"/>
        <v>45-54</v>
      </c>
    </row>
    <row r="98" spans="1:33" x14ac:dyDescent="0.25">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c r="AG98" t="str">
        <f t="shared" si="1"/>
        <v>18-34</v>
      </c>
    </row>
    <row r="99" spans="1:33" x14ac:dyDescent="0.25">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c r="AG99" t="str">
        <f t="shared" si="1"/>
        <v>18-34</v>
      </c>
    </row>
    <row r="100" spans="1:33" x14ac:dyDescent="0.25">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c r="AG100" t="str">
        <f t="shared" si="1"/>
        <v>55+</v>
      </c>
    </row>
    <row r="101" spans="1:33" x14ac:dyDescent="0.25">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c r="AG101" t="str">
        <f t="shared" si="1"/>
        <v>35-44</v>
      </c>
    </row>
    <row r="102" spans="1:33" x14ac:dyDescent="0.25">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c r="AG102" t="str">
        <f t="shared" si="1"/>
        <v>35-44</v>
      </c>
    </row>
    <row r="103" spans="1:33" x14ac:dyDescent="0.25">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c r="AG103" t="str">
        <f t="shared" si="1"/>
        <v>18-34</v>
      </c>
    </row>
    <row r="104" spans="1:33" x14ac:dyDescent="0.25">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c r="AG104" t="str">
        <f t="shared" si="1"/>
        <v>18-34</v>
      </c>
    </row>
    <row r="105" spans="1:33" x14ac:dyDescent="0.25">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c r="AG105" t="str">
        <f t="shared" si="1"/>
        <v>18-34</v>
      </c>
    </row>
    <row r="106" spans="1:33" x14ac:dyDescent="0.25">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c r="AG106" t="str">
        <f t="shared" si="1"/>
        <v>35-44</v>
      </c>
    </row>
    <row r="107" spans="1:33" x14ac:dyDescent="0.25">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c r="AG107" t="str">
        <f t="shared" si="1"/>
        <v>55+</v>
      </c>
    </row>
    <row r="108" spans="1:33" x14ac:dyDescent="0.25">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c r="AG108" t="str">
        <f t="shared" si="1"/>
        <v>45-54</v>
      </c>
    </row>
    <row r="109" spans="1:33" x14ac:dyDescent="0.25">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c r="AG109" t="str">
        <f t="shared" si="1"/>
        <v>18-34</v>
      </c>
    </row>
    <row r="110" spans="1:33" x14ac:dyDescent="0.25">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c r="AG110" t="str">
        <f t="shared" si="1"/>
        <v>18-34</v>
      </c>
    </row>
    <row r="111" spans="1:33" x14ac:dyDescent="0.25">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c r="AG111" t="str">
        <f t="shared" si="1"/>
        <v>18-34</v>
      </c>
    </row>
    <row r="112" spans="1:33" x14ac:dyDescent="0.25">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c r="AG112" t="str">
        <f t="shared" si="1"/>
        <v>45-54</v>
      </c>
    </row>
    <row r="113" spans="1:33" x14ac:dyDescent="0.25">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c r="AG113" t="str">
        <f t="shared" si="1"/>
        <v>18-34</v>
      </c>
    </row>
    <row r="114" spans="1:33" x14ac:dyDescent="0.25">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c r="AG114" t="str">
        <f t="shared" si="1"/>
        <v>45-54</v>
      </c>
    </row>
    <row r="115" spans="1:33" x14ac:dyDescent="0.25">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c r="AG115" t="str">
        <f t="shared" si="1"/>
        <v>18-34</v>
      </c>
    </row>
    <row r="116" spans="1:33" x14ac:dyDescent="0.25">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c r="AG116" t="str">
        <f t="shared" si="1"/>
        <v>18-34</v>
      </c>
    </row>
    <row r="117" spans="1:33" x14ac:dyDescent="0.25">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c r="AG117" t="str">
        <f t="shared" si="1"/>
        <v>35-44</v>
      </c>
    </row>
    <row r="118" spans="1:33" x14ac:dyDescent="0.25">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c r="AG118" t="str">
        <f t="shared" si="1"/>
        <v>18-34</v>
      </c>
    </row>
    <row r="119" spans="1:33" x14ac:dyDescent="0.25">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c r="AG119" t="str">
        <f t="shared" si="1"/>
        <v>35-44</v>
      </c>
    </row>
    <row r="120" spans="1:33" x14ac:dyDescent="0.25">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c r="AG120" t="str">
        <f t="shared" si="1"/>
        <v>35-44</v>
      </c>
    </row>
    <row r="121" spans="1:33" x14ac:dyDescent="0.25">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c r="AG121" t="str">
        <f t="shared" si="1"/>
        <v>35-44</v>
      </c>
    </row>
    <row r="122" spans="1:33" x14ac:dyDescent="0.25">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c r="AG122" t="str">
        <f t="shared" si="1"/>
        <v>18-34</v>
      </c>
    </row>
    <row r="123" spans="1:33" x14ac:dyDescent="0.25">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c r="AG123" t="str">
        <f t="shared" si="1"/>
        <v>18-34</v>
      </c>
    </row>
    <row r="124" spans="1:33" x14ac:dyDescent="0.25">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c r="AG124" t="str">
        <f t="shared" si="1"/>
        <v>55+</v>
      </c>
    </row>
    <row r="125" spans="1:33" x14ac:dyDescent="0.25">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c r="AG125" t="str">
        <f t="shared" si="1"/>
        <v>45-54</v>
      </c>
    </row>
    <row r="126" spans="1:33" x14ac:dyDescent="0.25">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c r="AG126" t="str">
        <f t="shared" si="1"/>
        <v>18-34</v>
      </c>
    </row>
    <row r="127" spans="1:33" x14ac:dyDescent="0.25">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c r="AG127" t="str">
        <f t="shared" si="1"/>
        <v>18-34</v>
      </c>
    </row>
    <row r="128" spans="1:33" x14ac:dyDescent="0.25">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c r="AG128" t="str">
        <f t="shared" si="1"/>
        <v>55+</v>
      </c>
    </row>
    <row r="129" spans="1:33" x14ac:dyDescent="0.25">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c r="AG129" t="str">
        <f t="shared" si="1"/>
        <v>18-34</v>
      </c>
    </row>
    <row r="130" spans="1:33" x14ac:dyDescent="0.25">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c r="AG130" t="str">
        <f t="shared" ref="AG130:AG193" si="2">IF(A130&lt;18, "under 18", IF(A130&lt;35, "18-34", IF(A130&lt;45, "35-44", IF(A130&lt;55, "45-54", "55+"))))</f>
        <v>18-34</v>
      </c>
    </row>
    <row r="131" spans="1:33" x14ac:dyDescent="0.25">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c r="AG131" t="str">
        <f t="shared" si="2"/>
        <v>45-54</v>
      </c>
    </row>
    <row r="132" spans="1:33" x14ac:dyDescent="0.25">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c r="AG132" t="str">
        <f t="shared" si="2"/>
        <v>35-44</v>
      </c>
    </row>
    <row r="133" spans="1:33" x14ac:dyDescent="0.25">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c r="AG133" t="str">
        <f t="shared" si="2"/>
        <v>45-54</v>
      </c>
    </row>
    <row r="134" spans="1:33" x14ac:dyDescent="0.25">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c r="AG134" t="str">
        <f t="shared" si="2"/>
        <v>18-34</v>
      </c>
    </row>
    <row r="135" spans="1:33" x14ac:dyDescent="0.25">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c r="AG135" t="str">
        <f t="shared" si="2"/>
        <v>35-44</v>
      </c>
    </row>
    <row r="136" spans="1:33" x14ac:dyDescent="0.25">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c r="AG136" t="str">
        <f t="shared" si="2"/>
        <v>18-34</v>
      </c>
    </row>
    <row r="137" spans="1:33" x14ac:dyDescent="0.25">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c r="AG137" t="str">
        <f t="shared" si="2"/>
        <v>35-44</v>
      </c>
    </row>
    <row r="138" spans="1:33" x14ac:dyDescent="0.25">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c r="AG138" t="str">
        <f t="shared" si="2"/>
        <v>45-54</v>
      </c>
    </row>
    <row r="139" spans="1:33" x14ac:dyDescent="0.25">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c r="AG139" t="str">
        <f t="shared" si="2"/>
        <v>35-44</v>
      </c>
    </row>
    <row r="140" spans="1:33" x14ac:dyDescent="0.25">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c r="AG140" t="str">
        <f t="shared" si="2"/>
        <v>18-34</v>
      </c>
    </row>
    <row r="141" spans="1:33" x14ac:dyDescent="0.25">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c r="AG141" t="str">
        <f t="shared" si="2"/>
        <v>18-34</v>
      </c>
    </row>
    <row r="142" spans="1:33" x14ac:dyDescent="0.25">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c r="AG142" t="str">
        <f t="shared" si="2"/>
        <v>18-34</v>
      </c>
    </row>
    <row r="143" spans="1:33" x14ac:dyDescent="0.25">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c r="AG143" t="str">
        <f t="shared" si="2"/>
        <v>45-54</v>
      </c>
    </row>
    <row r="144" spans="1:33" x14ac:dyDescent="0.25">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c r="AG144" t="str">
        <f t="shared" si="2"/>
        <v>35-44</v>
      </c>
    </row>
    <row r="145" spans="1:33" x14ac:dyDescent="0.25">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c r="AG145" t="str">
        <f t="shared" si="2"/>
        <v>18-34</v>
      </c>
    </row>
    <row r="146" spans="1:33" x14ac:dyDescent="0.25">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c r="AG146" t="str">
        <f t="shared" si="2"/>
        <v>18-34</v>
      </c>
    </row>
    <row r="147" spans="1:33" x14ac:dyDescent="0.25">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c r="AG147" t="str">
        <f t="shared" si="2"/>
        <v>18-34</v>
      </c>
    </row>
    <row r="148" spans="1:33" x14ac:dyDescent="0.25">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c r="AG148" t="str">
        <f t="shared" si="2"/>
        <v>18-34</v>
      </c>
    </row>
    <row r="149" spans="1:33" x14ac:dyDescent="0.25">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c r="AG149" t="str">
        <f t="shared" si="2"/>
        <v>35-44</v>
      </c>
    </row>
    <row r="150" spans="1:33" x14ac:dyDescent="0.25">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c r="AG150" t="str">
        <f t="shared" si="2"/>
        <v>35-44</v>
      </c>
    </row>
    <row r="151" spans="1:33" x14ac:dyDescent="0.25">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c r="AG151" t="str">
        <f t="shared" si="2"/>
        <v>18-34</v>
      </c>
    </row>
    <row r="152" spans="1:33" x14ac:dyDescent="0.25">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c r="AG152" t="str">
        <f t="shared" si="2"/>
        <v>35-44</v>
      </c>
    </row>
    <row r="153" spans="1:33" x14ac:dyDescent="0.25">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c r="AG153" t="str">
        <f t="shared" si="2"/>
        <v>35-44</v>
      </c>
    </row>
    <row r="154" spans="1:33" x14ac:dyDescent="0.25">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c r="AG154" t="str">
        <f t="shared" si="2"/>
        <v>45-54</v>
      </c>
    </row>
    <row r="155" spans="1:33" x14ac:dyDescent="0.25">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c r="AG155" t="str">
        <f t="shared" si="2"/>
        <v>45-54</v>
      </c>
    </row>
    <row r="156" spans="1:33" x14ac:dyDescent="0.25">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c r="AG156" t="str">
        <f t="shared" si="2"/>
        <v>18-34</v>
      </c>
    </row>
    <row r="157" spans="1:33" x14ac:dyDescent="0.25">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c r="AG157" t="str">
        <f t="shared" si="2"/>
        <v>18-34</v>
      </c>
    </row>
    <row r="158" spans="1:33" x14ac:dyDescent="0.25">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c r="AG158" t="str">
        <f t="shared" si="2"/>
        <v>45-54</v>
      </c>
    </row>
    <row r="159" spans="1:33" x14ac:dyDescent="0.25">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c r="AG159" t="str">
        <f t="shared" si="2"/>
        <v>55+</v>
      </c>
    </row>
    <row r="160" spans="1:33" x14ac:dyDescent="0.25">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c r="AG160" t="str">
        <f t="shared" si="2"/>
        <v>35-44</v>
      </c>
    </row>
    <row r="161" spans="1:33" x14ac:dyDescent="0.25">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c r="AG161" t="str">
        <f t="shared" si="2"/>
        <v>18-34</v>
      </c>
    </row>
    <row r="162" spans="1:33" x14ac:dyDescent="0.25">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c r="AG162" t="str">
        <f t="shared" si="2"/>
        <v>18-34</v>
      </c>
    </row>
    <row r="163" spans="1:33" x14ac:dyDescent="0.25">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c r="AG163" t="str">
        <f t="shared" si="2"/>
        <v>18-34</v>
      </c>
    </row>
    <row r="164" spans="1:33" x14ac:dyDescent="0.25">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c r="AG164" t="str">
        <f t="shared" si="2"/>
        <v>18-34</v>
      </c>
    </row>
    <row r="165" spans="1:33" x14ac:dyDescent="0.25">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c r="AG165" t="str">
        <f t="shared" si="2"/>
        <v>55+</v>
      </c>
    </row>
    <row r="166" spans="1:33" x14ac:dyDescent="0.25">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c r="AG166" t="str">
        <f t="shared" si="2"/>
        <v>18-34</v>
      </c>
    </row>
    <row r="167" spans="1:33" x14ac:dyDescent="0.25">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c r="AG167" t="str">
        <f t="shared" si="2"/>
        <v>45-54</v>
      </c>
    </row>
    <row r="168" spans="1:33" x14ac:dyDescent="0.25">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c r="AG168" t="str">
        <f t="shared" si="2"/>
        <v>35-44</v>
      </c>
    </row>
    <row r="169" spans="1:33" x14ac:dyDescent="0.25">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c r="AG169" t="str">
        <f t="shared" si="2"/>
        <v>18-34</v>
      </c>
    </row>
    <row r="170" spans="1:33" x14ac:dyDescent="0.25">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c r="AG170" t="str">
        <f t="shared" si="2"/>
        <v>35-44</v>
      </c>
    </row>
    <row r="171" spans="1:33" x14ac:dyDescent="0.25">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c r="AG171" t="str">
        <f t="shared" si="2"/>
        <v>18-34</v>
      </c>
    </row>
    <row r="172" spans="1:33" x14ac:dyDescent="0.25">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c r="AG172" t="str">
        <f t="shared" si="2"/>
        <v>18-34</v>
      </c>
    </row>
    <row r="173" spans="1:33" x14ac:dyDescent="0.25">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c r="AG173" t="str">
        <f t="shared" si="2"/>
        <v>18-34</v>
      </c>
    </row>
    <row r="174" spans="1:33" x14ac:dyDescent="0.25">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c r="AG174" t="str">
        <f t="shared" si="2"/>
        <v>35-44</v>
      </c>
    </row>
    <row r="175" spans="1:33" x14ac:dyDescent="0.25">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c r="AG175" t="str">
        <f t="shared" si="2"/>
        <v>18-34</v>
      </c>
    </row>
    <row r="176" spans="1:33" x14ac:dyDescent="0.25">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c r="AG176" t="str">
        <f t="shared" si="2"/>
        <v>45-54</v>
      </c>
    </row>
    <row r="177" spans="1:33" x14ac:dyDescent="0.25">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c r="AG177" t="str">
        <f t="shared" si="2"/>
        <v>55+</v>
      </c>
    </row>
    <row r="178" spans="1:33" x14ac:dyDescent="0.25">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c r="AG178" t="str">
        <f t="shared" si="2"/>
        <v>18-34</v>
      </c>
    </row>
    <row r="179" spans="1:33" x14ac:dyDescent="0.25">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c r="AG179" t="str">
        <f t="shared" si="2"/>
        <v>18-34</v>
      </c>
    </row>
    <row r="180" spans="1:33" x14ac:dyDescent="0.25">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c r="AG180" t="str">
        <f t="shared" si="2"/>
        <v>45-54</v>
      </c>
    </row>
    <row r="181" spans="1:33" x14ac:dyDescent="0.25">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c r="AG181" t="str">
        <f t="shared" si="2"/>
        <v>35-44</v>
      </c>
    </row>
    <row r="182" spans="1:33" x14ac:dyDescent="0.25">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c r="AG182" t="str">
        <f t="shared" si="2"/>
        <v>18-34</v>
      </c>
    </row>
    <row r="183" spans="1:33" x14ac:dyDescent="0.25">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c r="AG183" t="str">
        <f t="shared" si="2"/>
        <v>18-34</v>
      </c>
    </row>
    <row r="184" spans="1:33" x14ac:dyDescent="0.25">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c r="AG184" t="str">
        <f t="shared" si="2"/>
        <v>35-44</v>
      </c>
    </row>
    <row r="185" spans="1:33" x14ac:dyDescent="0.25">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c r="AG185" t="str">
        <f t="shared" si="2"/>
        <v>45-54</v>
      </c>
    </row>
    <row r="186" spans="1:33" x14ac:dyDescent="0.25">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c r="AG186" t="str">
        <f t="shared" si="2"/>
        <v>45-54</v>
      </c>
    </row>
    <row r="187" spans="1:33" x14ac:dyDescent="0.25">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c r="AG187" t="str">
        <f t="shared" si="2"/>
        <v>18-34</v>
      </c>
    </row>
    <row r="188" spans="1:33" x14ac:dyDescent="0.25">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c r="AG188" t="str">
        <f t="shared" si="2"/>
        <v>35-44</v>
      </c>
    </row>
    <row r="189" spans="1:33" x14ac:dyDescent="0.25">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c r="AG189" t="str">
        <f t="shared" si="2"/>
        <v>55+</v>
      </c>
    </row>
    <row r="190" spans="1:33" x14ac:dyDescent="0.25">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c r="AG190" t="str">
        <f t="shared" si="2"/>
        <v>18-34</v>
      </c>
    </row>
    <row r="191" spans="1:33" x14ac:dyDescent="0.25">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c r="AG191" t="str">
        <f t="shared" si="2"/>
        <v>45-54</v>
      </c>
    </row>
    <row r="192" spans="1:33" x14ac:dyDescent="0.25">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c r="AG192" t="str">
        <f t="shared" si="2"/>
        <v>45-54</v>
      </c>
    </row>
    <row r="193" spans="1:33" x14ac:dyDescent="0.25">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c r="AG193" t="str">
        <f t="shared" si="2"/>
        <v>18-34</v>
      </c>
    </row>
    <row r="194" spans="1:33" x14ac:dyDescent="0.25">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c r="AG194" t="str">
        <f t="shared" ref="AG194:AG257" si="3">IF(A194&lt;18, "under 18", IF(A194&lt;35, "18-34", IF(A194&lt;45, "35-44", IF(A194&lt;55, "45-54", "55+"))))</f>
        <v>35-44</v>
      </c>
    </row>
    <row r="195" spans="1:33" x14ac:dyDescent="0.25">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c r="AG195" t="str">
        <f t="shared" si="3"/>
        <v>35-44</v>
      </c>
    </row>
    <row r="196" spans="1:33" x14ac:dyDescent="0.25">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c r="AG196" t="str">
        <f t="shared" si="3"/>
        <v>45-54</v>
      </c>
    </row>
    <row r="197" spans="1:33" x14ac:dyDescent="0.25">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c r="AG197" t="str">
        <f t="shared" si="3"/>
        <v>35-44</v>
      </c>
    </row>
    <row r="198" spans="1:33" x14ac:dyDescent="0.25">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c r="AG198" t="str">
        <f t="shared" si="3"/>
        <v>35-44</v>
      </c>
    </row>
    <row r="199" spans="1:33" x14ac:dyDescent="0.25">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c r="AG199" t="str">
        <f t="shared" si="3"/>
        <v>35-44</v>
      </c>
    </row>
    <row r="200" spans="1:33" x14ac:dyDescent="0.25">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c r="AG200" t="str">
        <f t="shared" si="3"/>
        <v>35-44</v>
      </c>
    </row>
    <row r="201" spans="1:33" x14ac:dyDescent="0.25">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c r="AG201" t="str">
        <f t="shared" si="3"/>
        <v>35-44</v>
      </c>
    </row>
    <row r="202" spans="1:33" x14ac:dyDescent="0.25">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c r="AG202" t="str">
        <f t="shared" si="3"/>
        <v>18-34</v>
      </c>
    </row>
    <row r="203" spans="1:33" x14ac:dyDescent="0.25">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c r="AG203" t="str">
        <f t="shared" si="3"/>
        <v>45-54</v>
      </c>
    </row>
    <row r="204" spans="1:33" x14ac:dyDescent="0.25">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c r="AG204" t="str">
        <f t="shared" si="3"/>
        <v>18-34</v>
      </c>
    </row>
    <row r="205" spans="1:33" x14ac:dyDescent="0.25">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c r="AG205" t="str">
        <f t="shared" si="3"/>
        <v>35-44</v>
      </c>
    </row>
    <row r="206" spans="1:33" x14ac:dyDescent="0.25">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c r="AG206" t="str">
        <f t="shared" si="3"/>
        <v>35-44</v>
      </c>
    </row>
    <row r="207" spans="1:33" x14ac:dyDescent="0.25">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c r="AG207" t="str">
        <f t="shared" si="3"/>
        <v>18-34</v>
      </c>
    </row>
    <row r="208" spans="1:33" x14ac:dyDescent="0.25">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c r="AG208" t="str">
        <f t="shared" si="3"/>
        <v>18-34</v>
      </c>
    </row>
    <row r="209" spans="1:33" x14ac:dyDescent="0.25">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c r="AG209" t="str">
        <f t="shared" si="3"/>
        <v>35-44</v>
      </c>
    </row>
    <row r="210" spans="1:33" x14ac:dyDescent="0.25">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c r="AG210" t="str">
        <f t="shared" si="3"/>
        <v>35-44</v>
      </c>
    </row>
    <row r="211" spans="1:33" x14ac:dyDescent="0.25">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c r="AG211" t="str">
        <f t="shared" si="3"/>
        <v>45-54</v>
      </c>
    </row>
    <row r="212" spans="1:33" x14ac:dyDescent="0.25">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c r="AG212" t="str">
        <f t="shared" si="3"/>
        <v>18-34</v>
      </c>
    </row>
    <row r="213" spans="1:33" x14ac:dyDescent="0.25">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c r="AG213" t="str">
        <f t="shared" si="3"/>
        <v>18-34</v>
      </c>
    </row>
    <row r="214" spans="1:33" x14ac:dyDescent="0.25">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c r="AG214" t="str">
        <f t="shared" si="3"/>
        <v>18-34</v>
      </c>
    </row>
    <row r="215" spans="1:33" x14ac:dyDescent="0.25">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c r="AG215" t="str">
        <f t="shared" si="3"/>
        <v>45-54</v>
      </c>
    </row>
    <row r="216" spans="1:33" x14ac:dyDescent="0.25">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c r="AG216" t="str">
        <f t="shared" si="3"/>
        <v>18-34</v>
      </c>
    </row>
    <row r="217" spans="1:33" x14ac:dyDescent="0.25">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c r="AG217" t="str">
        <f t="shared" si="3"/>
        <v>35-44</v>
      </c>
    </row>
    <row r="218" spans="1:33" x14ac:dyDescent="0.25">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c r="AG218" t="str">
        <f t="shared" si="3"/>
        <v>18-34</v>
      </c>
    </row>
    <row r="219" spans="1:33" x14ac:dyDescent="0.25">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c r="AG219" t="str">
        <f t="shared" si="3"/>
        <v>18-34</v>
      </c>
    </row>
    <row r="220" spans="1:33" x14ac:dyDescent="0.25">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c r="AG220" t="str">
        <f t="shared" si="3"/>
        <v>45-54</v>
      </c>
    </row>
    <row r="221" spans="1:33" x14ac:dyDescent="0.25">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c r="AG221" t="str">
        <f t="shared" si="3"/>
        <v>45-54</v>
      </c>
    </row>
    <row r="222" spans="1:33" x14ac:dyDescent="0.25">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c r="AG222" t="str">
        <f t="shared" si="3"/>
        <v>35-44</v>
      </c>
    </row>
    <row r="223" spans="1:33" x14ac:dyDescent="0.25">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c r="AG223" t="str">
        <f t="shared" si="3"/>
        <v>18-34</v>
      </c>
    </row>
    <row r="224" spans="1:33" x14ac:dyDescent="0.25">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c r="AG224" t="str">
        <f t="shared" si="3"/>
        <v>35-44</v>
      </c>
    </row>
    <row r="225" spans="1:33" x14ac:dyDescent="0.25">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c r="AG225" t="str">
        <f t="shared" si="3"/>
        <v>35-44</v>
      </c>
    </row>
    <row r="226" spans="1:33" x14ac:dyDescent="0.25">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c r="AG226" t="str">
        <f t="shared" si="3"/>
        <v>18-34</v>
      </c>
    </row>
    <row r="227" spans="1:33" x14ac:dyDescent="0.25">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c r="AG227" t="str">
        <f t="shared" si="3"/>
        <v>55+</v>
      </c>
    </row>
    <row r="228" spans="1:33" x14ac:dyDescent="0.25">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c r="AG228" t="str">
        <f t="shared" si="3"/>
        <v>35-44</v>
      </c>
    </row>
    <row r="229" spans="1:33" x14ac:dyDescent="0.25">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c r="AG229" t="str">
        <f t="shared" si="3"/>
        <v>18-34</v>
      </c>
    </row>
    <row r="230" spans="1:33" x14ac:dyDescent="0.25">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c r="AG230" t="str">
        <f t="shared" si="3"/>
        <v>35-44</v>
      </c>
    </row>
    <row r="231" spans="1:33" x14ac:dyDescent="0.25">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c r="AG231" t="str">
        <f t="shared" si="3"/>
        <v>18-34</v>
      </c>
    </row>
    <row r="232" spans="1:33" x14ac:dyDescent="0.25">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c r="AG232" t="str">
        <f t="shared" si="3"/>
        <v>45-54</v>
      </c>
    </row>
    <row r="233" spans="1:33" x14ac:dyDescent="0.25">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c r="AG233" t="str">
        <f t="shared" si="3"/>
        <v>35-44</v>
      </c>
    </row>
    <row r="234" spans="1:33" x14ac:dyDescent="0.25">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c r="AG234" t="str">
        <f t="shared" si="3"/>
        <v>55+</v>
      </c>
    </row>
    <row r="235" spans="1:33" x14ac:dyDescent="0.25">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c r="AG235" t="str">
        <f t="shared" si="3"/>
        <v>45-54</v>
      </c>
    </row>
    <row r="236" spans="1:33" x14ac:dyDescent="0.25">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c r="AG236" t="str">
        <f t="shared" si="3"/>
        <v>18-34</v>
      </c>
    </row>
    <row r="237" spans="1:33" x14ac:dyDescent="0.25">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c r="AG237" t="str">
        <f t="shared" si="3"/>
        <v>35-44</v>
      </c>
    </row>
    <row r="238" spans="1:33" x14ac:dyDescent="0.25">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c r="AG238" t="str">
        <f t="shared" si="3"/>
        <v>18-34</v>
      </c>
    </row>
    <row r="239" spans="1:33" x14ac:dyDescent="0.25">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c r="AG239" t="str">
        <f t="shared" si="3"/>
        <v>45-54</v>
      </c>
    </row>
    <row r="240" spans="1:33" x14ac:dyDescent="0.25">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c r="AG240" t="str">
        <f t="shared" si="3"/>
        <v>18-34</v>
      </c>
    </row>
    <row r="241" spans="1:33" x14ac:dyDescent="0.25">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c r="AG241" t="str">
        <f t="shared" si="3"/>
        <v>18-34</v>
      </c>
    </row>
    <row r="242" spans="1:33" x14ac:dyDescent="0.25">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c r="AG242" t="str">
        <f t="shared" si="3"/>
        <v>35-44</v>
      </c>
    </row>
    <row r="243" spans="1:33" x14ac:dyDescent="0.25">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c r="AG243" t="str">
        <f t="shared" si="3"/>
        <v>18-34</v>
      </c>
    </row>
    <row r="244" spans="1:33" x14ac:dyDescent="0.25">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c r="AG244" t="str">
        <f t="shared" si="3"/>
        <v>35-44</v>
      </c>
    </row>
    <row r="245" spans="1:33" x14ac:dyDescent="0.25">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c r="AG245" t="str">
        <f t="shared" si="3"/>
        <v>35-44</v>
      </c>
    </row>
    <row r="246" spans="1:33" x14ac:dyDescent="0.25">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c r="AG246" t="str">
        <f t="shared" si="3"/>
        <v>45-54</v>
      </c>
    </row>
    <row r="247" spans="1:33" x14ac:dyDescent="0.25">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c r="AG247" t="str">
        <f t="shared" si="3"/>
        <v>18-34</v>
      </c>
    </row>
    <row r="248" spans="1:33" x14ac:dyDescent="0.25">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c r="AG248" t="str">
        <f t="shared" si="3"/>
        <v>18-34</v>
      </c>
    </row>
    <row r="249" spans="1:33" x14ac:dyDescent="0.25">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c r="AG249" t="str">
        <f t="shared" si="3"/>
        <v>18-34</v>
      </c>
    </row>
    <row r="250" spans="1:33" x14ac:dyDescent="0.25">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c r="AG250" t="str">
        <f t="shared" si="3"/>
        <v>35-44</v>
      </c>
    </row>
    <row r="251" spans="1:33" x14ac:dyDescent="0.25">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c r="AG251" t="str">
        <f t="shared" si="3"/>
        <v>45-54</v>
      </c>
    </row>
    <row r="252" spans="1:33" x14ac:dyDescent="0.25">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c r="AG252" t="str">
        <f t="shared" si="3"/>
        <v>35-44</v>
      </c>
    </row>
    <row r="253" spans="1:33" x14ac:dyDescent="0.25">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c r="AG253" t="str">
        <f t="shared" si="3"/>
        <v>35-44</v>
      </c>
    </row>
    <row r="254" spans="1:33" x14ac:dyDescent="0.25">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c r="AG254" t="str">
        <f t="shared" si="3"/>
        <v>18-34</v>
      </c>
    </row>
    <row r="255" spans="1:33" x14ac:dyDescent="0.25">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c r="AG255" t="str">
        <f t="shared" si="3"/>
        <v>35-44</v>
      </c>
    </row>
    <row r="256" spans="1:33" x14ac:dyDescent="0.25">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c r="AG256" t="str">
        <f t="shared" si="3"/>
        <v>18-34</v>
      </c>
    </row>
    <row r="257" spans="1:33" x14ac:dyDescent="0.25">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c r="AG257" t="str">
        <f t="shared" si="3"/>
        <v>18-34</v>
      </c>
    </row>
    <row r="258" spans="1:33" x14ac:dyDescent="0.25">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c r="AG258" t="str">
        <f t="shared" ref="AG258:AG321" si="4">IF(A258&lt;18, "under 18", IF(A258&lt;35, "18-34", IF(A258&lt;45, "35-44", IF(A258&lt;55, "45-54", "55+"))))</f>
        <v>35-44</v>
      </c>
    </row>
    <row r="259" spans="1:33" x14ac:dyDescent="0.25">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c r="AG259" t="str">
        <f t="shared" si="4"/>
        <v>35-44</v>
      </c>
    </row>
    <row r="260" spans="1:33" x14ac:dyDescent="0.25">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c r="AG260" t="str">
        <f t="shared" si="4"/>
        <v>45-54</v>
      </c>
    </row>
    <row r="261" spans="1:33" x14ac:dyDescent="0.25">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c r="AG261" t="str">
        <f t="shared" si="4"/>
        <v>18-34</v>
      </c>
    </row>
    <row r="262" spans="1:33" x14ac:dyDescent="0.25">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c r="AG262" t="str">
        <f t="shared" si="4"/>
        <v>18-34</v>
      </c>
    </row>
    <row r="263" spans="1:33" x14ac:dyDescent="0.25">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c r="AG263" t="str">
        <f t="shared" si="4"/>
        <v>35-44</v>
      </c>
    </row>
    <row r="264" spans="1:33" x14ac:dyDescent="0.25">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c r="AG264" t="str">
        <f t="shared" si="4"/>
        <v>18-34</v>
      </c>
    </row>
    <row r="265" spans="1:33" x14ac:dyDescent="0.25">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c r="AG265" t="str">
        <f t="shared" si="4"/>
        <v>45-54</v>
      </c>
    </row>
    <row r="266" spans="1:33" x14ac:dyDescent="0.25">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c r="AG266" t="str">
        <f t="shared" si="4"/>
        <v>18-34</v>
      </c>
    </row>
    <row r="267" spans="1:33" x14ac:dyDescent="0.25">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c r="AG267" t="str">
        <f t="shared" si="4"/>
        <v>18-34</v>
      </c>
    </row>
    <row r="268" spans="1:33" x14ac:dyDescent="0.25">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c r="AG268" t="str">
        <f t="shared" si="4"/>
        <v>18-34</v>
      </c>
    </row>
    <row r="269" spans="1:33" x14ac:dyDescent="0.25">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c r="AG269" t="str">
        <f t="shared" si="4"/>
        <v>18-34</v>
      </c>
    </row>
    <row r="270" spans="1:33" x14ac:dyDescent="0.25">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c r="AG270" t="str">
        <f t="shared" si="4"/>
        <v>45-54</v>
      </c>
    </row>
    <row r="271" spans="1:33" x14ac:dyDescent="0.25">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c r="AG271" t="str">
        <f t="shared" si="4"/>
        <v>35-44</v>
      </c>
    </row>
    <row r="272" spans="1:33" x14ac:dyDescent="0.25">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c r="AG272" t="str">
        <f t="shared" si="4"/>
        <v>55+</v>
      </c>
    </row>
    <row r="273" spans="1:33" x14ac:dyDescent="0.25">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c r="AG273" t="str">
        <f t="shared" si="4"/>
        <v>45-54</v>
      </c>
    </row>
    <row r="274" spans="1:33" x14ac:dyDescent="0.25">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c r="AG274" t="str">
        <f t="shared" si="4"/>
        <v>18-34</v>
      </c>
    </row>
    <row r="275" spans="1:33" x14ac:dyDescent="0.25">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c r="AG275" t="str">
        <f t="shared" si="4"/>
        <v>35-44</v>
      </c>
    </row>
    <row r="276" spans="1:33" x14ac:dyDescent="0.25">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c r="AG276" t="str">
        <f t="shared" si="4"/>
        <v>18-34</v>
      </c>
    </row>
    <row r="277" spans="1:33" x14ac:dyDescent="0.25">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c r="AG277" t="str">
        <f t="shared" si="4"/>
        <v>35-44</v>
      </c>
    </row>
    <row r="278" spans="1:33" x14ac:dyDescent="0.25">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c r="AG278" t="str">
        <f t="shared" si="4"/>
        <v>35-44</v>
      </c>
    </row>
    <row r="279" spans="1:33" x14ac:dyDescent="0.25">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c r="AG279" t="str">
        <f t="shared" si="4"/>
        <v>35-44</v>
      </c>
    </row>
    <row r="280" spans="1:33" x14ac:dyDescent="0.25">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c r="AG280" t="str">
        <f t="shared" si="4"/>
        <v>18-34</v>
      </c>
    </row>
    <row r="281" spans="1:33" x14ac:dyDescent="0.25">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c r="AG281" t="str">
        <f t="shared" si="4"/>
        <v>45-54</v>
      </c>
    </row>
    <row r="282" spans="1:33" x14ac:dyDescent="0.25">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c r="AG282" t="str">
        <f t="shared" si="4"/>
        <v>45-54</v>
      </c>
    </row>
    <row r="283" spans="1:33" x14ac:dyDescent="0.25">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c r="AG283" t="str">
        <f t="shared" si="4"/>
        <v>35-44</v>
      </c>
    </row>
    <row r="284" spans="1:33" x14ac:dyDescent="0.25">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c r="AG284" t="str">
        <f t="shared" si="4"/>
        <v>18-34</v>
      </c>
    </row>
    <row r="285" spans="1:33" x14ac:dyDescent="0.25">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c r="AG285" t="str">
        <f t="shared" si="4"/>
        <v>55+</v>
      </c>
    </row>
    <row r="286" spans="1:33" x14ac:dyDescent="0.25">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c r="AG286" t="str">
        <f t="shared" si="4"/>
        <v>18-34</v>
      </c>
    </row>
    <row r="287" spans="1:33" x14ac:dyDescent="0.25">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c r="AG287" t="str">
        <f t="shared" si="4"/>
        <v>35-44</v>
      </c>
    </row>
    <row r="288" spans="1:33" x14ac:dyDescent="0.25">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c r="AG288" t="str">
        <f t="shared" si="4"/>
        <v>35-44</v>
      </c>
    </row>
    <row r="289" spans="1:33" x14ac:dyDescent="0.25">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c r="AG289" t="str">
        <f t="shared" si="4"/>
        <v>35-44</v>
      </c>
    </row>
    <row r="290" spans="1:33" x14ac:dyDescent="0.25">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c r="AG290" t="str">
        <f t="shared" si="4"/>
        <v>18-34</v>
      </c>
    </row>
    <row r="291" spans="1:33" x14ac:dyDescent="0.25">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c r="AG291" t="str">
        <f t="shared" si="4"/>
        <v>18-34</v>
      </c>
    </row>
    <row r="292" spans="1:33" x14ac:dyDescent="0.25">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c r="AG292" t="str">
        <f t="shared" si="4"/>
        <v>45-54</v>
      </c>
    </row>
    <row r="293" spans="1:33" x14ac:dyDescent="0.25">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c r="AG293" t="str">
        <f t="shared" si="4"/>
        <v>35-44</v>
      </c>
    </row>
    <row r="294" spans="1:33" x14ac:dyDescent="0.25">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c r="AG294" t="str">
        <f t="shared" si="4"/>
        <v>18-34</v>
      </c>
    </row>
    <row r="295" spans="1:33" x14ac:dyDescent="0.25">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c r="AG295" t="str">
        <f t="shared" si="4"/>
        <v>18-34</v>
      </c>
    </row>
    <row r="296" spans="1:33" x14ac:dyDescent="0.25">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c r="AG296" t="str">
        <f t="shared" si="4"/>
        <v>35-44</v>
      </c>
    </row>
    <row r="297" spans="1:33" x14ac:dyDescent="0.25">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c r="AG297" t="str">
        <f t="shared" si="4"/>
        <v>35-44</v>
      </c>
    </row>
    <row r="298" spans="1:33" x14ac:dyDescent="0.25">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c r="AG298" t="str">
        <f t="shared" si="4"/>
        <v>18-34</v>
      </c>
    </row>
    <row r="299" spans="1:33" x14ac:dyDescent="0.25">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c r="AG299" t="str">
        <f t="shared" si="4"/>
        <v>35-44</v>
      </c>
    </row>
    <row r="300" spans="1:33" x14ac:dyDescent="0.25">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c r="AG300" t="str">
        <f t="shared" si="4"/>
        <v>35-44</v>
      </c>
    </row>
    <row r="301" spans="1:33" x14ac:dyDescent="0.25">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c r="AG301" t="str">
        <f t="shared" si="4"/>
        <v>45-54</v>
      </c>
    </row>
    <row r="302" spans="1:33" x14ac:dyDescent="0.25">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c r="AG302" t="str">
        <f t="shared" si="4"/>
        <v>35-44</v>
      </c>
    </row>
    <row r="303" spans="1:33" x14ac:dyDescent="0.25">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c r="AG303" t="str">
        <f t="shared" si="4"/>
        <v>18-34</v>
      </c>
    </row>
    <row r="304" spans="1:33" x14ac:dyDescent="0.25">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c r="AG304" t="str">
        <f t="shared" si="4"/>
        <v>18-34</v>
      </c>
    </row>
    <row r="305" spans="1:33" x14ac:dyDescent="0.25">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c r="AG305" t="str">
        <f t="shared" si="4"/>
        <v>18-34</v>
      </c>
    </row>
    <row r="306" spans="1:33" x14ac:dyDescent="0.25">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c r="AG306" t="str">
        <f t="shared" si="4"/>
        <v>35-44</v>
      </c>
    </row>
    <row r="307" spans="1:33" x14ac:dyDescent="0.25">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c r="AG307" t="str">
        <f t="shared" si="4"/>
        <v>35-44</v>
      </c>
    </row>
    <row r="308" spans="1:33" x14ac:dyDescent="0.25">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c r="AG308" t="str">
        <f t="shared" si="4"/>
        <v>18-34</v>
      </c>
    </row>
    <row r="309" spans="1:33" x14ac:dyDescent="0.25">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c r="AG309" t="str">
        <f t="shared" si="4"/>
        <v>35-44</v>
      </c>
    </row>
    <row r="310" spans="1:33" x14ac:dyDescent="0.25">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c r="AG310" t="str">
        <f t="shared" si="4"/>
        <v>55+</v>
      </c>
    </row>
    <row r="311" spans="1:33" x14ac:dyDescent="0.25">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c r="AG311" t="str">
        <f t="shared" si="4"/>
        <v>18-34</v>
      </c>
    </row>
    <row r="312" spans="1:33" x14ac:dyDescent="0.25">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c r="AG312" t="str">
        <f t="shared" si="4"/>
        <v>18-34</v>
      </c>
    </row>
    <row r="313" spans="1:33" x14ac:dyDescent="0.25">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c r="AG313" t="str">
        <f t="shared" si="4"/>
        <v>45-54</v>
      </c>
    </row>
    <row r="314" spans="1:33" x14ac:dyDescent="0.25">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c r="AG314" t="str">
        <f t="shared" si="4"/>
        <v>18-34</v>
      </c>
    </row>
    <row r="315" spans="1:33" x14ac:dyDescent="0.25">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c r="AG315" t="str">
        <f t="shared" si="4"/>
        <v>18-34</v>
      </c>
    </row>
    <row r="316" spans="1:33" x14ac:dyDescent="0.25">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c r="AG316" t="str">
        <f t="shared" si="4"/>
        <v>35-44</v>
      </c>
    </row>
    <row r="317" spans="1:33" x14ac:dyDescent="0.25">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c r="AG317" t="str">
        <f t="shared" si="4"/>
        <v>35-44</v>
      </c>
    </row>
    <row r="318" spans="1:33" x14ac:dyDescent="0.25">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c r="AG318" t="str">
        <f t="shared" si="4"/>
        <v>45-54</v>
      </c>
    </row>
    <row r="319" spans="1:33" x14ac:dyDescent="0.25">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c r="AG319" t="str">
        <f t="shared" si="4"/>
        <v>45-54</v>
      </c>
    </row>
    <row r="320" spans="1:33" x14ac:dyDescent="0.25">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c r="AG320" t="str">
        <f t="shared" si="4"/>
        <v>18-34</v>
      </c>
    </row>
    <row r="321" spans="1:33" x14ac:dyDescent="0.25">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c r="AG321" t="str">
        <f t="shared" si="4"/>
        <v>18-34</v>
      </c>
    </row>
    <row r="322" spans="1:33" x14ac:dyDescent="0.25">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c r="AG322" t="str">
        <f t="shared" ref="AG322:AG385" si="5">IF(A322&lt;18, "under 18", IF(A322&lt;35, "18-34", IF(A322&lt;45, "35-44", IF(A322&lt;55, "45-54", "55+"))))</f>
        <v>18-34</v>
      </c>
    </row>
    <row r="323" spans="1:33" x14ac:dyDescent="0.25">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c r="AG323" t="str">
        <f t="shared" si="5"/>
        <v>18-34</v>
      </c>
    </row>
    <row r="324" spans="1:33" x14ac:dyDescent="0.25">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c r="AG324" t="str">
        <f t="shared" si="5"/>
        <v>18-34</v>
      </c>
    </row>
    <row r="325" spans="1:33" x14ac:dyDescent="0.25">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c r="AG325" t="str">
        <f t="shared" si="5"/>
        <v>18-34</v>
      </c>
    </row>
    <row r="326" spans="1:33" x14ac:dyDescent="0.25">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c r="AG326" t="str">
        <f t="shared" si="5"/>
        <v>18-34</v>
      </c>
    </row>
    <row r="327" spans="1:33" x14ac:dyDescent="0.25">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c r="AG327" t="str">
        <f t="shared" si="5"/>
        <v>18-34</v>
      </c>
    </row>
    <row r="328" spans="1:33" x14ac:dyDescent="0.25">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c r="AG328" t="str">
        <f t="shared" si="5"/>
        <v>35-44</v>
      </c>
    </row>
    <row r="329" spans="1:33" x14ac:dyDescent="0.25">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c r="AG329" t="str">
        <f t="shared" si="5"/>
        <v>35-44</v>
      </c>
    </row>
    <row r="330" spans="1:33" x14ac:dyDescent="0.25">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c r="AG330" t="str">
        <f t="shared" si="5"/>
        <v>18-34</v>
      </c>
    </row>
    <row r="331" spans="1:33" x14ac:dyDescent="0.25">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c r="AG331" t="str">
        <f t="shared" si="5"/>
        <v>45-54</v>
      </c>
    </row>
    <row r="332" spans="1:33" x14ac:dyDescent="0.25">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c r="AG332" t="str">
        <f t="shared" si="5"/>
        <v>35-44</v>
      </c>
    </row>
    <row r="333" spans="1:33" x14ac:dyDescent="0.25">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c r="AG333" t="str">
        <f t="shared" si="5"/>
        <v>18-34</v>
      </c>
    </row>
    <row r="334" spans="1:33" x14ac:dyDescent="0.25">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c r="AG334" t="str">
        <f t="shared" si="5"/>
        <v>45-54</v>
      </c>
    </row>
    <row r="335" spans="1:33" x14ac:dyDescent="0.25">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c r="AG335" t="str">
        <f t="shared" si="5"/>
        <v>35-44</v>
      </c>
    </row>
    <row r="336" spans="1:33" x14ac:dyDescent="0.25">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c r="AG336" t="str">
        <f t="shared" si="5"/>
        <v>45-54</v>
      </c>
    </row>
    <row r="337" spans="1:33" x14ac:dyDescent="0.25">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c r="AG337" t="str">
        <f t="shared" si="5"/>
        <v>35-44</v>
      </c>
    </row>
    <row r="338" spans="1:33" x14ac:dyDescent="0.25">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c r="AG338" t="str">
        <f t="shared" si="5"/>
        <v>18-34</v>
      </c>
    </row>
    <row r="339" spans="1:33" x14ac:dyDescent="0.25">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c r="AG339" t="str">
        <f t="shared" si="5"/>
        <v>18-34</v>
      </c>
    </row>
    <row r="340" spans="1:33" x14ac:dyDescent="0.25">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c r="AG340" t="str">
        <f t="shared" si="5"/>
        <v>18-34</v>
      </c>
    </row>
    <row r="341" spans="1:33" x14ac:dyDescent="0.25">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c r="AG341" t="str">
        <f t="shared" si="5"/>
        <v>18-34</v>
      </c>
    </row>
    <row r="342" spans="1:33" x14ac:dyDescent="0.25">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c r="AG342" t="str">
        <f t="shared" si="5"/>
        <v>35-44</v>
      </c>
    </row>
    <row r="343" spans="1:33" x14ac:dyDescent="0.25">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c r="AG343" t="str">
        <f t="shared" si="5"/>
        <v>35-44</v>
      </c>
    </row>
    <row r="344" spans="1:33" x14ac:dyDescent="0.25">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c r="AG344" t="str">
        <f t="shared" si="5"/>
        <v>18-34</v>
      </c>
    </row>
    <row r="345" spans="1:33" x14ac:dyDescent="0.25">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c r="AG345" t="str">
        <f t="shared" si="5"/>
        <v>18-34</v>
      </c>
    </row>
    <row r="346" spans="1:33" x14ac:dyDescent="0.25">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c r="AG346" t="str">
        <f t="shared" si="5"/>
        <v>35-44</v>
      </c>
    </row>
    <row r="347" spans="1:33" x14ac:dyDescent="0.25">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c r="AG347" t="str">
        <f t="shared" si="5"/>
        <v>18-34</v>
      </c>
    </row>
    <row r="348" spans="1:33" x14ac:dyDescent="0.25">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c r="AG348" t="str">
        <f t="shared" si="5"/>
        <v>35-44</v>
      </c>
    </row>
    <row r="349" spans="1:33" x14ac:dyDescent="0.25">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c r="AG349" t="str">
        <f t="shared" si="5"/>
        <v>45-54</v>
      </c>
    </row>
    <row r="350" spans="1:33" x14ac:dyDescent="0.25">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c r="AG350" t="str">
        <f t="shared" si="5"/>
        <v>35-44</v>
      </c>
    </row>
    <row r="351" spans="1:33" x14ac:dyDescent="0.25">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c r="AG351" t="str">
        <f t="shared" si="5"/>
        <v>18-34</v>
      </c>
    </row>
    <row r="352" spans="1:33" x14ac:dyDescent="0.25">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c r="AG352" t="str">
        <f t="shared" si="5"/>
        <v>35-44</v>
      </c>
    </row>
    <row r="353" spans="1:33" x14ac:dyDescent="0.25">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c r="AG353" t="str">
        <f t="shared" si="5"/>
        <v>18-34</v>
      </c>
    </row>
    <row r="354" spans="1:33" x14ac:dyDescent="0.25">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c r="AG354" t="str">
        <f t="shared" si="5"/>
        <v>45-54</v>
      </c>
    </row>
    <row r="355" spans="1:33" x14ac:dyDescent="0.25">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c r="AG355" t="str">
        <f t="shared" si="5"/>
        <v>35-44</v>
      </c>
    </row>
    <row r="356" spans="1:33" x14ac:dyDescent="0.25">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c r="AG356" t="str">
        <f t="shared" si="5"/>
        <v>18-34</v>
      </c>
    </row>
    <row r="357" spans="1:33" x14ac:dyDescent="0.25">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c r="AG357" t="str">
        <f t="shared" si="5"/>
        <v>18-34</v>
      </c>
    </row>
    <row r="358" spans="1:33" x14ac:dyDescent="0.25">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c r="AG358" t="str">
        <f t="shared" si="5"/>
        <v>35-44</v>
      </c>
    </row>
    <row r="359" spans="1:33" x14ac:dyDescent="0.25">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c r="AG359" t="str">
        <f t="shared" si="5"/>
        <v>18-34</v>
      </c>
    </row>
    <row r="360" spans="1:33" x14ac:dyDescent="0.25">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c r="AG360" t="str">
        <f t="shared" si="5"/>
        <v>35-44</v>
      </c>
    </row>
    <row r="361" spans="1:33" x14ac:dyDescent="0.25">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c r="AG361" t="str">
        <f t="shared" si="5"/>
        <v>35-44</v>
      </c>
    </row>
    <row r="362" spans="1:33" x14ac:dyDescent="0.25">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c r="AG362" t="str">
        <f t="shared" si="5"/>
        <v>55+</v>
      </c>
    </row>
    <row r="363" spans="1:33" x14ac:dyDescent="0.25">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c r="AG363" t="str">
        <f t="shared" si="5"/>
        <v>35-44</v>
      </c>
    </row>
    <row r="364" spans="1:33" x14ac:dyDescent="0.25">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c r="AG364" t="str">
        <f t="shared" si="5"/>
        <v>18-34</v>
      </c>
    </row>
    <row r="365" spans="1:33" x14ac:dyDescent="0.25">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c r="AG365" t="str">
        <f t="shared" si="5"/>
        <v>18-34</v>
      </c>
    </row>
    <row r="366" spans="1:33" x14ac:dyDescent="0.25">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c r="AG366" t="str">
        <f t="shared" si="5"/>
        <v>35-44</v>
      </c>
    </row>
    <row r="367" spans="1:33" x14ac:dyDescent="0.25">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c r="AG367" t="str">
        <f t="shared" si="5"/>
        <v>45-54</v>
      </c>
    </row>
    <row r="368" spans="1:33" x14ac:dyDescent="0.25">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c r="AG368" t="str">
        <f t="shared" si="5"/>
        <v>35-44</v>
      </c>
    </row>
    <row r="369" spans="1:33" x14ac:dyDescent="0.25">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c r="AG369" t="str">
        <f t="shared" si="5"/>
        <v>45-54</v>
      </c>
    </row>
    <row r="370" spans="1:33" x14ac:dyDescent="0.25">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c r="AG370" t="str">
        <f t="shared" si="5"/>
        <v>35-44</v>
      </c>
    </row>
    <row r="371" spans="1:33" x14ac:dyDescent="0.25">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c r="AG371" t="str">
        <f t="shared" si="5"/>
        <v>18-34</v>
      </c>
    </row>
    <row r="372" spans="1:33" x14ac:dyDescent="0.25">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c r="AG372" t="str">
        <f t="shared" si="5"/>
        <v>18-34</v>
      </c>
    </row>
    <row r="373" spans="1:33" x14ac:dyDescent="0.25">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c r="AG373" t="str">
        <f t="shared" si="5"/>
        <v>18-34</v>
      </c>
    </row>
    <row r="374" spans="1:33" x14ac:dyDescent="0.25">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c r="AG374" t="str">
        <f t="shared" si="5"/>
        <v>35-44</v>
      </c>
    </row>
    <row r="375" spans="1:33" x14ac:dyDescent="0.25">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c r="AG375" t="str">
        <f t="shared" si="5"/>
        <v>18-34</v>
      </c>
    </row>
    <row r="376" spans="1:33" x14ac:dyDescent="0.25">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c r="AG376" t="str">
        <f t="shared" si="5"/>
        <v>18-34</v>
      </c>
    </row>
    <row r="377" spans="1:33" x14ac:dyDescent="0.25">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c r="AG377" t="str">
        <f t="shared" si="5"/>
        <v>45-54</v>
      </c>
    </row>
    <row r="378" spans="1:33" x14ac:dyDescent="0.25">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c r="AG378" t="str">
        <f t="shared" si="5"/>
        <v>45-54</v>
      </c>
    </row>
    <row r="379" spans="1:33" x14ac:dyDescent="0.25">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c r="AG379" t="str">
        <f t="shared" si="5"/>
        <v>35-44</v>
      </c>
    </row>
    <row r="380" spans="1:33" x14ac:dyDescent="0.25">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c r="AG380" t="str">
        <f t="shared" si="5"/>
        <v>18-34</v>
      </c>
    </row>
    <row r="381" spans="1:33" x14ac:dyDescent="0.25">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c r="AG381" t="str">
        <f t="shared" si="5"/>
        <v>55+</v>
      </c>
    </row>
    <row r="382" spans="1:33" x14ac:dyDescent="0.25">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c r="AG382" t="str">
        <f t="shared" si="5"/>
        <v>18-34</v>
      </c>
    </row>
    <row r="383" spans="1:33" x14ac:dyDescent="0.25">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c r="AG383" t="str">
        <f t="shared" si="5"/>
        <v>18-34</v>
      </c>
    </row>
    <row r="384" spans="1:33" x14ac:dyDescent="0.25">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c r="AG384" t="str">
        <f t="shared" si="5"/>
        <v>18-34</v>
      </c>
    </row>
    <row r="385" spans="1:33" x14ac:dyDescent="0.25">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c r="AG385" t="str">
        <f t="shared" si="5"/>
        <v>18-34</v>
      </c>
    </row>
    <row r="386" spans="1:33" x14ac:dyDescent="0.25">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c r="AG386" t="str">
        <f t="shared" ref="AG386:AG449" si="6">IF(A386&lt;18, "under 18", IF(A386&lt;35, "18-34", IF(A386&lt;45, "35-44", IF(A386&lt;55, "45-54", "55+"))))</f>
        <v>35-44</v>
      </c>
    </row>
    <row r="387" spans="1:33" x14ac:dyDescent="0.25">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c r="AG387" t="str">
        <f t="shared" si="6"/>
        <v>18-34</v>
      </c>
    </row>
    <row r="388" spans="1:33" x14ac:dyDescent="0.25">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c r="AG388" t="str">
        <f t="shared" si="6"/>
        <v>35-44</v>
      </c>
    </row>
    <row r="389" spans="1:33" x14ac:dyDescent="0.25">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c r="AG389" t="str">
        <f t="shared" si="6"/>
        <v>35-44</v>
      </c>
    </row>
    <row r="390" spans="1:33" x14ac:dyDescent="0.25">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c r="AG390" t="str">
        <f t="shared" si="6"/>
        <v>35-44</v>
      </c>
    </row>
    <row r="391" spans="1:33" x14ac:dyDescent="0.25">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c r="AG391" t="str">
        <f t="shared" si="6"/>
        <v>35-44</v>
      </c>
    </row>
    <row r="392" spans="1:33" x14ac:dyDescent="0.25">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c r="AG392" t="str">
        <f t="shared" si="6"/>
        <v>35-44</v>
      </c>
    </row>
    <row r="393" spans="1:33" x14ac:dyDescent="0.25">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c r="AG393" t="str">
        <f t="shared" si="6"/>
        <v>35-44</v>
      </c>
    </row>
    <row r="394" spans="1:33" x14ac:dyDescent="0.25">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c r="AG394" t="str">
        <f t="shared" si="6"/>
        <v>45-54</v>
      </c>
    </row>
    <row r="395" spans="1:33" x14ac:dyDescent="0.25">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c r="AG395" t="str">
        <f t="shared" si="6"/>
        <v>18-34</v>
      </c>
    </row>
    <row r="396" spans="1:33" x14ac:dyDescent="0.25">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c r="AG396" t="str">
        <f t="shared" si="6"/>
        <v>18-34</v>
      </c>
    </row>
    <row r="397" spans="1:33" x14ac:dyDescent="0.25">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c r="AG397" t="str">
        <f t="shared" si="6"/>
        <v>35-44</v>
      </c>
    </row>
    <row r="398" spans="1:33" x14ac:dyDescent="0.25">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c r="AG398" t="str">
        <f t="shared" si="6"/>
        <v>35-44</v>
      </c>
    </row>
    <row r="399" spans="1:33" x14ac:dyDescent="0.25">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c r="AG399" t="str">
        <f t="shared" si="6"/>
        <v>18-34</v>
      </c>
    </row>
    <row r="400" spans="1:33" x14ac:dyDescent="0.25">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c r="AG400" t="str">
        <f t="shared" si="6"/>
        <v>35-44</v>
      </c>
    </row>
    <row r="401" spans="1:33" x14ac:dyDescent="0.25">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c r="AG401" t="str">
        <f t="shared" si="6"/>
        <v>18-34</v>
      </c>
    </row>
    <row r="402" spans="1:33" x14ac:dyDescent="0.25">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c r="AG402" t="str">
        <f t="shared" si="6"/>
        <v>35-44</v>
      </c>
    </row>
    <row r="403" spans="1:33" x14ac:dyDescent="0.25">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c r="AG403" t="str">
        <f t="shared" si="6"/>
        <v>55+</v>
      </c>
    </row>
    <row r="404" spans="1:33" x14ac:dyDescent="0.25">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c r="AG404" t="str">
        <f t="shared" si="6"/>
        <v>18-34</v>
      </c>
    </row>
    <row r="405" spans="1:33" x14ac:dyDescent="0.25">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c r="AG405" t="str">
        <f t="shared" si="6"/>
        <v>35-44</v>
      </c>
    </row>
    <row r="406" spans="1:33" x14ac:dyDescent="0.25">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c r="AG406" t="str">
        <f t="shared" si="6"/>
        <v>18-34</v>
      </c>
    </row>
    <row r="407" spans="1:33" x14ac:dyDescent="0.25">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c r="AG407" t="str">
        <f t="shared" si="6"/>
        <v>18-34</v>
      </c>
    </row>
    <row r="408" spans="1:33" x14ac:dyDescent="0.25">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c r="AG408" t="str">
        <f t="shared" si="6"/>
        <v>45-54</v>
      </c>
    </row>
    <row r="409" spans="1:33" x14ac:dyDescent="0.25">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c r="AG409" t="str">
        <f t="shared" si="6"/>
        <v>45-54</v>
      </c>
    </row>
    <row r="410" spans="1:33" x14ac:dyDescent="0.25">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c r="AG410" t="str">
        <f t="shared" si="6"/>
        <v>45-54</v>
      </c>
    </row>
    <row r="411" spans="1:33" x14ac:dyDescent="0.25">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c r="AG411" t="str">
        <f t="shared" si="6"/>
        <v>35-44</v>
      </c>
    </row>
    <row r="412" spans="1:33" x14ac:dyDescent="0.25">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c r="AG412" t="str">
        <f t="shared" si="6"/>
        <v>18-34</v>
      </c>
    </row>
    <row r="413" spans="1:33" x14ac:dyDescent="0.25">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c r="AG413" t="str">
        <f t="shared" si="6"/>
        <v>55+</v>
      </c>
    </row>
    <row r="414" spans="1:33" x14ac:dyDescent="0.25">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c r="AG414" t="str">
        <f t="shared" si="6"/>
        <v>45-54</v>
      </c>
    </row>
    <row r="415" spans="1:33" x14ac:dyDescent="0.25">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c r="AG415" t="str">
        <f t="shared" si="6"/>
        <v>35-44</v>
      </c>
    </row>
    <row r="416" spans="1:33" x14ac:dyDescent="0.25">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c r="AG416" t="str">
        <f t="shared" si="6"/>
        <v>18-34</v>
      </c>
    </row>
    <row r="417" spans="1:33" x14ac:dyDescent="0.25">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c r="AG417" t="str">
        <f t="shared" si="6"/>
        <v>18-34</v>
      </c>
    </row>
    <row r="418" spans="1:33" x14ac:dyDescent="0.25">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c r="AG418" t="str">
        <f t="shared" si="6"/>
        <v>35-44</v>
      </c>
    </row>
    <row r="419" spans="1:33" x14ac:dyDescent="0.25">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c r="AG419" t="str">
        <f t="shared" si="6"/>
        <v>35-44</v>
      </c>
    </row>
    <row r="420" spans="1:33" x14ac:dyDescent="0.25">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c r="AG420" t="str">
        <f t="shared" si="6"/>
        <v>18-34</v>
      </c>
    </row>
    <row r="421" spans="1:33" x14ac:dyDescent="0.25">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c r="AG421" t="str">
        <f t="shared" si="6"/>
        <v>18-34</v>
      </c>
    </row>
    <row r="422" spans="1:33" x14ac:dyDescent="0.25">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c r="AG422" t="str">
        <f t="shared" si="6"/>
        <v>18-34</v>
      </c>
    </row>
    <row r="423" spans="1:33" x14ac:dyDescent="0.25">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c r="AG423" t="str">
        <f t="shared" si="6"/>
        <v>18-34</v>
      </c>
    </row>
    <row r="424" spans="1:33" x14ac:dyDescent="0.25">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c r="AG424" t="str">
        <f t="shared" si="6"/>
        <v>18-34</v>
      </c>
    </row>
    <row r="425" spans="1:33" x14ac:dyDescent="0.25">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c r="AG425" t="str">
        <f t="shared" si="6"/>
        <v>18-34</v>
      </c>
    </row>
    <row r="426" spans="1:33" x14ac:dyDescent="0.25">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c r="AG426" t="str">
        <f t="shared" si="6"/>
        <v>55+</v>
      </c>
    </row>
    <row r="427" spans="1:33" x14ac:dyDescent="0.25">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c r="AG427" t="str">
        <f t="shared" si="6"/>
        <v>45-54</v>
      </c>
    </row>
    <row r="428" spans="1:33" x14ac:dyDescent="0.25">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c r="AG428" t="str">
        <f t="shared" si="6"/>
        <v>18-34</v>
      </c>
    </row>
    <row r="429" spans="1:33" x14ac:dyDescent="0.25">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c r="AG429" t="str">
        <f t="shared" si="6"/>
        <v>55+</v>
      </c>
    </row>
    <row r="430" spans="1:33" x14ac:dyDescent="0.25">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c r="AG430" t="str">
        <f t="shared" si="6"/>
        <v>45-54</v>
      </c>
    </row>
    <row r="431" spans="1:33" x14ac:dyDescent="0.25">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c r="AG431" t="str">
        <f t="shared" si="6"/>
        <v>45-54</v>
      </c>
    </row>
    <row r="432" spans="1:33" x14ac:dyDescent="0.25">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c r="AG432" t="str">
        <f t="shared" si="6"/>
        <v>35-44</v>
      </c>
    </row>
    <row r="433" spans="1:33" x14ac:dyDescent="0.25">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c r="AG433" t="str">
        <f t="shared" si="6"/>
        <v>45-54</v>
      </c>
    </row>
    <row r="434" spans="1:33" x14ac:dyDescent="0.25">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c r="AG434" t="str">
        <f t="shared" si="6"/>
        <v>18-34</v>
      </c>
    </row>
    <row r="435" spans="1:33" x14ac:dyDescent="0.25">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c r="AG435" t="str">
        <f t="shared" si="6"/>
        <v>45-54</v>
      </c>
    </row>
    <row r="436" spans="1:33" x14ac:dyDescent="0.25">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c r="AG436" t="str">
        <f t="shared" si="6"/>
        <v>18-34</v>
      </c>
    </row>
    <row r="437" spans="1:33" x14ac:dyDescent="0.25">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c r="AG437" t="str">
        <f t="shared" si="6"/>
        <v>18-34</v>
      </c>
    </row>
    <row r="438" spans="1:33" x14ac:dyDescent="0.25">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c r="AG438" t="str">
        <f t="shared" si="6"/>
        <v>18-34</v>
      </c>
    </row>
    <row r="439" spans="1:33" x14ac:dyDescent="0.25">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c r="AG439" t="str">
        <f t="shared" si="6"/>
        <v>18-34</v>
      </c>
    </row>
    <row r="440" spans="1:33" x14ac:dyDescent="0.25">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c r="AG440" t="str">
        <f t="shared" si="6"/>
        <v>35-44</v>
      </c>
    </row>
    <row r="441" spans="1:33" x14ac:dyDescent="0.25">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c r="AG441" t="str">
        <f t="shared" si="6"/>
        <v>18-34</v>
      </c>
    </row>
    <row r="442" spans="1:33" x14ac:dyDescent="0.25">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c r="AG442" t="str">
        <f t="shared" si="6"/>
        <v>18-34</v>
      </c>
    </row>
    <row r="443" spans="1:33" x14ac:dyDescent="0.25">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c r="AG443" t="str">
        <f t="shared" si="6"/>
        <v>35-44</v>
      </c>
    </row>
    <row r="444" spans="1:33" x14ac:dyDescent="0.25">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c r="AG444" t="str">
        <f t="shared" si="6"/>
        <v>35-44</v>
      </c>
    </row>
    <row r="445" spans="1:33" x14ac:dyDescent="0.25">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c r="AG445" t="str">
        <f t="shared" si="6"/>
        <v>18-34</v>
      </c>
    </row>
    <row r="446" spans="1:33" x14ac:dyDescent="0.25">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c r="AG446" t="str">
        <f t="shared" si="6"/>
        <v>45-54</v>
      </c>
    </row>
    <row r="447" spans="1:33" x14ac:dyDescent="0.25">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c r="AG447" t="str">
        <f t="shared" si="6"/>
        <v>55+</v>
      </c>
    </row>
    <row r="448" spans="1:33" x14ac:dyDescent="0.25">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c r="AG448" t="str">
        <f t="shared" si="6"/>
        <v>35-44</v>
      </c>
    </row>
    <row r="449" spans="1:33" x14ac:dyDescent="0.25">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c r="AG449" t="str">
        <f t="shared" si="6"/>
        <v>35-44</v>
      </c>
    </row>
    <row r="450" spans="1:33" x14ac:dyDescent="0.25">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c r="AG450" t="str">
        <f t="shared" ref="AG450:AG513" si="7">IF(A450&lt;18, "under 18", IF(A450&lt;35, "18-34", IF(A450&lt;45, "35-44", IF(A450&lt;55, "45-54", "55+"))))</f>
        <v>35-44</v>
      </c>
    </row>
    <row r="451" spans="1:33" x14ac:dyDescent="0.25">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c r="AG451" t="str">
        <f t="shared" si="7"/>
        <v>35-44</v>
      </c>
    </row>
    <row r="452" spans="1:33" x14ac:dyDescent="0.25">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c r="AG452" t="str">
        <f t="shared" si="7"/>
        <v>18-34</v>
      </c>
    </row>
    <row r="453" spans="1:33" x14ac:dyDescent="0.25">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c r="AG453" t="str">
        <f t="shared" si="7"/>
        <v>35-44</v>
      </c>
    </row>
    <row r="454" spans="1:33" x14ac:dyDescent="0.25">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c r="AG454" t="str">
        <f t="shared" si="7"/>
        <v>45-54</v>
      </c>
    </row>
    <row r="455" spans="1:33" x14ac:dyDescent="0.25">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c r="AG455" t="str">
        <f t="shared" si="7"/>
        <v>18-34</v>
      </c>
    </row>
    <row r="456" spans="1:33" x14ac:dyDescent="0.25">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c r="AG456" t="str">
        <f t="shared" si="7"/>
        <v>18-34</v>
      </c>
    </row>
    <row r="457" spans="1:33" x14ac:dyDescent="0.25">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c r="AG457" t="str">
        <f t="shared" si="7"/>
        <v>18-34</v>
      </c>
    </row>
    <row r="458" spans="1:33" x14ac:dyDescent="0.25">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c r="AG458" t="str">
        <f t="shared" si="7"/>
        <v>18-34</v>
      </c>
    </row>
    <row r="459" spans="1:33" x14ac:dyDescent="0.25">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c r="AG459" t="str">
        <f t="shared" si="7"/>
        <v>18-34</v>
      </c>
    </row>
    <row r="460" spans="1:33" x14ac:dyDescent="0.25">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c r="AG460" t="str">
        <f t="shared" si="7"/>
        <v>35-44</v>
      </c>
    </row>
    <row r="461" spans="1:33" x14ac:dyDescent="0.25">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c r="AG461" t="str">
        <f t="shared" si="7"/>
        <v>35-44</v>
      </c>
    </row>
    <row r="462" spans="1:33" x14ac:dyDescent="0.25">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c r="AG462" t="str">
        <f t="shared" si="7"/>
        <v>18-34</v>
      </c>
    </row>
    <row r="463" spans="1:33" x14ac:dyDescent="0.25">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c r="AG463" t="str">
        <f t="shared" si="7"/>
        <v>35-44</v>
      </c>
    </row>
    <row r="464" spans="1:33" x14ac:dyDescent="0.25">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c r="AG464" t="str">
        <f t="shared" si="7"/>
        <v>18-34</v>
      </c>
    </row>
    <row r="465" spans="1:33" x14ac:dyDescent="0.25">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c r="AG465" t="str">
        <f t="shared" si="7"/>
        <v>18-34</v>
      </c>
    </row>
    <row r="466" spans="1:33" x14ac:dyDescent="0.25">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c r="AG466" t="str">
        <f t="shared" si="7"/>
        <v>35-44</v>
      </c>
    </row>
    <row r="467" spans="1:33" x14ac:dyDescent="0.25">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c r="AG467" t="str">
        <f t="shared" si="7"/>
        <v>45-54</v>
      </c>
    </row>
    <row r="468" spans="1:33" x14ac:dyDescent="0.25">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c r="AG468" t="str">
        <f t="shared" si="7"/>
        <v>35-44</v>
      </c>
    </row>
    <row r="469" spans="1:33" x14ac:dyDescent="0.25">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c r="AG469" t="str">
        <f t="shared" si="7"/>
        <v>35-44</v>
      </c>
    </row>
    <row r="470" spans="1:33" x14ac:dyDescent="0.25">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c r="AG470" t="str">
        <f t="shared" si="7"/>
        <v>45-54</v>
      </c>
    </row>
    <row r="471" spans="1:33" x14ac:dyDescent="0.25">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c r="AG471" t="str">
        <f t="shared" si="7"/>
        <v>18-34</v>
      </c>
    </row>
    <row r="472" spans="1:33" x14ac:dyDescent="0.25">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c r="AG472" t="str">
        <f t="shared" si="7"/>
        <v>18-34</v>
      </c>
    </row>
    <row r="473" spans="1:33" x14ac:dyDescent="0.25">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c r="AG473" t="str">
        <f t="shared" si="7"/>
        <v>35-44</v>
      </c>
    </row>
    <row r="474" spans="1:33" x14ac:dyDescent="0.25">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c r="AG474" t="str">
        <f t="shared" si="7"/>
        <v>35-44</v>
      </c>
    </row>
    <row r="475" spans="1:33" x14ac:dyDescent="0.25">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c r="AG475" t="str">
        <f t="shared" si="7"/>
        <v>45-54</v>
      </c>
    </row>
    <row r="476" spans="1:33" x14ac:dyDescent="0.25">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c r="AG476" t="str">
        <f t="shared" si="7"/>
        <v>18-34</v>
      </c>
    </row>
    <row r="477" spans="1:33" x14ac:dyDescent="0.25">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c r="AG477" t="str">
        <f t="shared" si="7"/>
        <v>18-34</v>
      </c>
    </row>
    <row r="478" spans="1:33" x14ac:dyDescent="0.25">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c r="AG478" t="str">
        <f t="shared" si="7"/>
        <v>18-34</v>
      </c>
    </row>
    <row r="479" spans="1:33" x14ac:dyDescent="0.25">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c r="AG479" t="str">
        <f t="shared" si="7"/>
        <v>45-54</v>
      </c>
    </row>
    <row r="480" spans="1:33" x14ac:dyDescent="0.25">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c r="AG480" t="str">
        <f t="shared" si="7"/>
        <v>18-34</v>
      </c>
    </row>
    <row r="481" spans="1:33" x14ac:dyDescent="0.25">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c r="AG481" t="str">
        <f t="shared" si="7"/>
        <v>18-34</v>
      </c>
    </row>
    <row r="482" spans="1:33" x14ac:dyDescent="0.25">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c r="AG482" t="str">
        <f t="shared" si="7"/>
        <v>18-34</v>
      </c>
    </row>
    <row r="483" spans="1:33" x14ac:dyDescent="0.25">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c r="AG483" t="str">
        <f t="shared" si="7"/>
        <v>18-34</v>
      </c>
    </row>
    <row r="484" spans="1:33" x14ac:dyDescent="0.25">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c r="AG484" t="str">
        <f t="shared" si="7"/>
        <v>18-34</v>
      </c>
    </row>
    <row r="485" spans="1:33" x14ac:dyDescent="0.25">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c r="AG485" t="str">
        <f t="shared" si="7"/>
        <v>35-44</v>
      </c>
    </row>
    <row r="486" spans="1:33" x14ac:dyDescent="0.25">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c r="AG486" t="str">
        <f t="shared" si="7"/>
        <v>18-34</v>
      </c>
    </row>
    <row r="487" spans="1:33" x14ac:dyDescent="0.25">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c r="AG487" t="str">
        <f t="shared" si="7"/>
        <v>18-34</v>
      </c>
    </row>
    <row r="488" spans="1:33" x14ac:dyDescent="0.25">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c r="AG488" t="str">
        <f t="shared" si="7"/>
        <v>35-44</v>
      </c>
    </row>
    <row r="489" spans="1:33" x14ac:dyDescent="0.25">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c r="AG489" t="str">
        <f t="shared" si="7"/>
        <v>18-34</v>
      </c>
    </row>
    <row r="490" spans="1:33" x14ac:dyDescent="0.25">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c r="AG490" t="str">
        <f t="shared" si="7"/>
        <v>35-44</v>
      </c>
    </row>
    <row r="491" spans="1:33" x14ac:dyDescent="0.25">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c r="AG491" t="str">
        <f t="shared" si="7"/>
        <v>35-44</v>
      </c>
    </row>
    <row r="492" spans="1:33" x14ac:dyDescent="0.25">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c r="AG492" t="str">
        <f t="shared" si="7"/>
        <v>35-44</v>
      </c>
    </row>
    <row r="493" spans="1:33" x14ac:dyDescent="0.25">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c r="AG493" t="str">
        <f t="shared" si="7"/>
        <v>35-44</v>
      </c>
    </row>
    <row r="494" spans="1:33" x14ac:dyDescent="0.25">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c r="AG494" t="str">
        <f t="shared" si="7"/>
        <v>45-54</v>
      </c>
    </row>
    <row r="495" spans="1:33" x14ac:dyDescent="0.25">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c r="AG495" t="str">
        <f t="shared" si="7"/>
        <v>35-44</v>
      </c>
    </row>
    <row r="496" spans="1:33" x14ac:dyDescent="0.25">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c r="AG496" t="str">
        <f t="shared" si="7"/>
        <v>18-34</v>
      </c>
    </row>
    <row r="497" spans="1:33" x14ac:dyDescent="0.25">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c r="AG497" t="str">
        <f t="shared" si="7"/>
        <v>18-34</v>
      </c>
    </row>
    <row r="498" spans="1:33" x14ac:dyDescent="0.25">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c r="AG498" t="str">
        <f t="shared" si="7"/>
        <v>18-34</v>
      </c>
    </row>
    <row r="499" spans="1:33" x14ac:dyDescent="0.25">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c r="AG499" t="str">
        <f t="shared" si="7"/>
        <v>35-44</v>
      </c>
    </row>
    <row r="500" spans="1:33" x14ac:dyDescent="0.25">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c r="AG500" t="str">
        <f t="shared" si="7"/>
        <v>18-34</v>
      </c>
    </row>
    <row r="501" spans="1:33" x14ac:dyDescent="0.25">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c r="AG501" t="str">
        <f t="shared" si="7"/>
        <v>18-34</v>
      </c>
    </row>
    <row r="502" spans="1:33" x14ac:dyDescent="0.25">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c r="AG502" t="str">
        <f t="shared" si="7"/>
        <v>18-34</v>
      </c>
    </row>
    <row r="503" spans="1:33" x14ac:dyDescent="0.25">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c r="AG503" t="str">
        <f t="shared" si="7"/>
        <v>18-34</v>
      </c>
    </row>
    <row r="504" spans="1:33" x14ac:dyDescent="0.25">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c r="AG504" t="str">
        <f t="shared" si="7"/>
        <v>45-54</v>
      </c>
    </row>
    <row r="505" spans="1:33" x14ac:dyDescent="0.25">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c r="AG505" t="str">
        <f t="shared" si="7"/>
        <v>18-34</v>
      </c>
    </row>
    <row r="506" spans="1:33" x14ac:dyDescent="0.25">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c r="AG506" t="str">
        <f t="shared" si="7"/>
        <v>45-54</v>
      </c>
    </row>
    <row r="507" spans="1:33" x14ac:dyDescent="0.25">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c r="AG507" t="str">
        <f t="shared" si="7"/>
        <v>18-34</v>
      </c>
    </row>
    <row r="508" spans="1:33" x14ac:dyDescent="0.25">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c r="AG508" t="str">
        <f t="shared" si="7"/>
        <v>35-44</v>
      </c>
    </row>
    <row r="509" spans="1:33" x14ac:dyDescent="0.25">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c r="AG509" t="str">
        <f t="shared" si="7"/>
        <v>18-34</v>
      </c>
    </row>
    <row r="510" spans="1:33" x14ac:dyDescent="0.25">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c r="AG510" t="str">
        <f t="shared" si="7"/>
        <v>35-44</v>
      </c>
    </row>
    <row r="511" spans="1:33" x14ac:dyDescent="0.25">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c r="AG511" t="str">
        <f t="shared" si="7"/>
        <v>18-34</v>
      </c>
    </row>
    <row r="512" spans="1:33" x14ac:dyDescent="0.25">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c r="AG512" t="str">
        <f t="shared" si="7"/>
        <v>45-54</v>
      </c>
    </row>
    <row r="513" spans="1:33" x14ac:dyDescent="0.25">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c r="AG513" t="str">
        <f t="shared" si="7"/>
        <v>35-44</v>
      </c>
    </row>
    <row r="514" spans="1:33" x14ac:dyDescent="0.25">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c r="AG514" t="str">
        <f t="shared" ref="AG514:AG577" si="8">IF(A514&lt;18, "under 18", IF(A514&lt;35, "18-34", IF(A514&lt;45, "35-44", IF(A514&lt;55, "45-54", "55+"))))</f>
        <v>18-34</v>
      </c>
    </row>
    <row r="515" spans="1:33" x14ac:dyDescent="0.25">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c r="AG515" t="str">
        <f t="shared" si="8"/>
        <v>18-34</v>
      </c>
    </row>
    <row r="516" spans="1:33" x14ac:dyDescent="0.25">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c r="AG516" t="str">
        <f t="shared" si="8"/>
        <v>18-34</v>
      </c>
    </row>
    <row r="517" spans="1:33" x14ac:dyDescent="0.25">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c r="AG517" t="str">
        <f t="shared" si="8"/>
        <v>35-44</v>
      </c>
    </row>
    <row r="518" spans="1:33" x14ac:dyDescent="0.25">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c r="AG518" t="str">
        <f t="shared" si="8"/>
        <v>18-34</v>
      </c>
    </row>
    <row r="519" spans="1:33" x14ac:dyDescent="0.25">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c r="AG519" t="str">
        <f t="shared" si="8"/>
        <v>18-34</v>
      </c>
    </row>
    <row r="520" spans="1:33" x14ac:dyDescent="0.25">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c r="AG520" t="str">
        <f t="shared" si="8"/>
        <v>35-44</v>
      </c>
    </row>
    <row r="521" spans="1:33" x14ac:dyDescent="0.25">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c r="AG521" t="str">
        <f t="shared" si="8"/>
        <v>18-34</v>
      </c>
    </row>
    <row r="522" spans="1:33" x14ac:dyDescent="0.25">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c r="AG522" t="str">
        <f t="shared" si="8"/>
        <v>45-54</v>
      </c>
    </row>
    <row r="523" spans="1:33" x14ac:dyDescent="0.25">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c r="AG523" t="str">
        <f t="shared" si="8"/>
        <v>18-34</v>
      </c>
    </row>
    <row r="524" spans="1:33" x14ac:dyDescent="0.25">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c r="AG524" t="str">
        <f t="shared" si="8"/>
        <v>35-44</v>
      </c>
    </row>
    <row r="525" spans="1:33" x14ac:dyDescent="0.25">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c r="AG525" t="str">
        <f t="shared" si="8"/>
        <v>45-54</v>
      </c>
    </row>
    <row r="526" spans="1:33" x14ac:dyDescent="0.25">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c r="AG526" t="str">
        <f t="shared" si="8"/>
        <v>18-34</v>
      </c>
    </row>
    <row r="527" spans="1:33" x14ac:dyDescent="0.25">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c r="AG527" t="str">
        <f t="shared" si="8"/>
        <v>18-34</v>
      </c>
    </row>
    <row r="528" spans="1:33" x14ac:dyDescent="0.25">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c r="AG528" t="str">
        <f t="shared" si="8"/>
        <v>35-44</v>
      </c>
    </row>
    <row r="529" spans="1:33" x14ac:dyDescent="0.25">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c r="AG529" t="str">
        <f t="shared" si="8"/>
        <v>18-34</v>
      </c>
    </row>
    <row r="530" spans="1:33" x14ac:dyDescent="0.25">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c r="AG530" t="str">
        <f t="shared" si="8"/>
        <v>45-54</v>
      </c>
    </row>
    <row r="531" spans="1:33" x14ac:dyDescent="0.25">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c r="AG531" t="str">
        <f t="shared" si="8"/>
        <v>35-44</v>
      </c>
    </row>
    <row r="532" spans="1:33" x14ac:dyDescent="0.25">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c r="AG532" t="str">
        <f t="shared" si="8"/>
        <v>18-34</v>
      </c>
    </row>
    <row r="533" spans="1:33" x14ac:dyDescent="0.25">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c r="AG533" t="str">
        <f t="shared" si="8"/>
        <v>18-34</v>
      </c>
    </row>
    <row r="534" spans="1:33" x14ac:dyDescent="0.25">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c r="AG534" t="str">
        <f t="shared" si="8"/>
        <v>45-54</v>
      </c>
    </row>
    <row r="535" spans="1:33" x14ac:dyDescent="0.25">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c r="AG535" t="str">
        <f t="shared" si="8"/>
        <v>35-44</v>
      </c>
    </row>
    <row r="536" spans="1:33" x14ac:dyDescent="0.25">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c r="AG536" t="str">
        <f t="shared" si="8"/>
        <v>45-54</v>
      </c>
    </row>
    <row r="537" spans="1:33" x14ac:dyDescent="0.25">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c r="AG537" t="str">
        <f t="shared" si="8"/>
        <v>35-44</v>
      </c>
    </row>
    <row r="538" spans="1:33" x14ac:dyDescent="0.25">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c r="AG538" t="str">
        <f t="shared" si="8"/>
        <v>55+</v>
      </c>
    </row>
    <row r="539" spans="1:33" x14ac:dyDescent="0.25">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c r="AG539" t="str">
        <f t="shared" si="8"/>
        <v>18-34</v>
      </c>
    </row>
    <row r="540" spans="1:33" x14ac:dyDescent="0.25">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c r="AG540" t="str">
        <f t="shared" si="8"/>
        <v>35-44</v>
      </c>
    </row>
    <row r="541" spans="1:33" x14ac:dyDescent="0.25">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c r="AG541" t="str">
        <f t="shared" si="8"/>
        <v>45-54</v>
      </c>
    </row>
    <row r="542" spans="1:33" x14ac:dyDescent="0.25">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c r="AG542" t="str">
        <f t="shared" si="8"/>
        <v>18-34</v>
      </c>
    </row>
    <row r="543" spans="1:33" x14ac:dyDescent="0.25">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c r="AG543" t="str">
        <f t="shared" si="8"/>
        <v>35-44</v>
      </c>
    </row>
    <row r="544" spans="1:33" x14ac:dyDescent="0.25">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c r="AG544" t="str">
        <f t="shared" si="8"/>
        <v>35-44</v>
      </c>
    </row>
    <row r="545" spans="1:33" x14ac:dyDescent="0.25">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c r="AG545" t="str">
        <f t="shared" si="8"/>
        <v>35-44</v>
      </c>
    </row>
    <row r="546" spans="1:33" x14ac:dyDescent="0.25">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c r="AG546" t="str">
        <f t="shared" si="8"/>
        <v>45-54</v>
      </c>
    </row>
    <row r="547" spans="1:33" x14ac:dyDescent="0.25">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c r="AG547" t="str">
        <f t="shared" si="8"/>
        <v>18-34</v>
      </c>
    </row>
    <row r="548" spans="1:33" x14ac:dyDescent="0.25">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c r="AG548" t="str">
        <f t="shared" si="8"/>
        <v>18-34</v>
      </c>
    </row>
    <row r="549" spans="1:33" x14ac:dyDescent="0.25">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c r="AG549" t="str">
        <f t="shared" si="8"/>
        <v>35-44</v>
      </c>
    </row>
    <row r="550" spans="1:33" x14ac:dyDescent="0.25">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c r="AG550" t="str">
        <f t="shared" si="8"/>
        <v>35-44</v>
      </c>
    </row>
    <row r="551" spans="1:33" x14ac:dyDescent="0.25">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c r="AG551" t="str">
        <f t="shared" si="8"/>
        <v>18-34</v>
      </c>
    </row>
    <row r="552" spans="1:33" x14ac:dyDescent="0.25">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c r="AG552" t="str">
        <f t="shared" si="8"/>
        <v>18-34</v>
      </c>
    </row>
    <row r="553" spans="1:33" x14ac:dyDescent="0.25">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c r="AG553" t="str">
        <f t="shared" si="8"/>
        <v>35-44</v>
      </c>
    </row>
    <row r="554" spans="1:33" x14ac:dyDescent="0.25">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c r="AG554" t="str">
        <f t="shared" si="8"/>
        <v>55+</v>
      </c>
    </row>
    <row r="555" spans="1:33" x14ac:dyDescent="0.25">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c r="AG555" t="str">
        <f t="shared" si="8"/>
        <v>35-44</v>
      </c>
    </row>
    <row r="556" spans="1:33" x14ac:dyDescent="0.25">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c r="AG556" t="str">
        <f t="shared" si="8"/>
        <v>18-34</v>
      </c>
    </row>
    <row r="557" spans="1:33" x14ac:dyDescent="0.25">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c r="AG557" t="str">
        <f t="shared" si="8"/>
        <v>18-34</v>
      </c>
    </row>
    <row r="558" spans="1:33" x14ac:dyDescent="0.25">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c r="AG558" t="str">
        <f t="shared" si="8"/>
        <v>45-54</v>
      </c>
    </row>
    <row r="559" spans="1:33" x14ac:dyDescent="0.25">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c r="AG559" t="str">
        <f t="shared" si="8"/>
        <v>35-44</v>
      </c>
    </row>
    <row r="560" spans="1:33" x14ac:dyDescent="0.25">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c r="AG560" t="str">
        <f t="shared" si="8"/>
        <v>18-34</v>
      </c>
    </row>
    <row r="561" spans="1:33" x14ac:dyDescent="0.25">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c r="AG561" t="str">
        <f t="shared" si="8"/>
        <v>35-44</v>
      </c>
    </row>
    <row r="562" spans="1:33" x14ac:dyDescent="0.25">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c r="AG562" t="str">
        <f t="shared" si="8"/>
        <v>18-34</v>
      </c>
    </row>
    <row r="563" spans="1:33" x14ac:dyDescent="0.25">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c r="AG563" t="str">
        <f t="shared" si="8"/>
        <v>45-54</v>
      </c>
    </row>
    <row r="564" spans="1:33" x14ac:dyDescent="0.25">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c r="AG564" t="str">
        <f t="shared" si="8"/>
        <v>18-34</v>
      </c>
    </row>
    <row r="565" spans="1:33" x14ac:dyDescent="0.25">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c r="AG565" t="str">
        <f t="shared" si="8"/>
        <v>18-34</v>
      </c>
    </row>
    <row r="566" spans="1:33" x14ac:dyDescent="0.25">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c r="AG566" t="str">
        <f t="shared" si="8"/>
        <v>45-54</v>
      </c>
    </row>
    <row r="567" spans="1:33" x14ac:dyDescent="0.25">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c r="AG567" t="str">
        <f t="shared" si="8"/>
        <v>18-34</v>
      </c>
    </row>
    <row r="568" spans="1:33" x14ac:dyDescent="0.25">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c r="AG568" t="str">
        <f t="shared" si="8"/>
        <v>45-54</v>
      </c>
    </row>
    <row r="569" spans="1:33" x14ac:dyDescent="0.25">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c r="AG569" t="str">
        <f t="shared" si="8"/>
        <v>18-34</v>
      </c>
    </row>
    <row r="570" spans="1:33" x14ac:dyDescent="0.25">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c r="AG570" t="str">
        <f t="shared" si="8"/>
        <v>55+</v>
      </c>
    </row>
    <row r="571" spans="1:33" x14ac:dyDescent="0.25">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c r="AG571" t="str">
        <f t="shared" si="8"/>
        <v>35-44</v>
      </c>
    </row>
    <row r="572" spans="1:33" x14ac:dyDescent="0.25">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c r="AG572" t="str">
        <f t="shared" si="8"/>
        <v>45-54</v>
      </c>
    </row>
    <row r="573" spans="1:33" x14ac:dyDescent="0.25">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c r="AG573" t="str">
        <f t="shared" si="8"/>
        <v>18-34</v>
      </c>
    </row>
    <row r="574" spans="1:33" x14ac:dyDescent="0.25">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c r="AG574" t="str">
        <f t="shared" si="8"/>
        <v>18-34</v>
      </c>
    </row>
    <row r="575" spans="1:33" x14ac:dyDescent="0.25">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c r="AG575" t="str">
        <f t="shared" si="8"/>
        <v>18-34</v>
      </c>
    </row>
    <row r="576" spans="1:33" x14ac:dyDescent="0.25">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c r="AG576" t="str">
        <f t="shared" si="8"/>
        <v>18-34</v>
      </c>
    </row>
    <row r="577" spans="1:33" x14ac:dyDescent="0.25">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c r="AG577" t="str">
        <f t="shared" si="8"/>
        <v>45-54</v>
      </c>
    </row>
    <row r="578" spans="1:33" x14ac:dyDescent="0.25">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c r="AG578" t="str">
        <f t="shared" ref="AG578:AG641" si="9">IF(A578&lt;18, "under 18", IF(A578&lt;35, "18-34", IF(A578&lt;45, "35-44", IF(A578&lt;55, "45-54", "55+"))))</f>
        <v>18-34</v>
      </c>
    </row>
    <row r="579" spans="1:33" x14ac:dyDescent="0.25">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c r="AG579" t="str">
        <f t="shared" si="9"/>
        <v>35-44</v>
      </c>
    </row>
    <row r="580" spans="1:33" x14ac:dyDescent="0.25">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c r="AG580" t="str">
        <f t="shared" si="9"/>
        <v>35-44</v>
      </c>
    </row>
    <row r="581" spans="1:33" x14ac:dyDescent="0.25">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c r="AG581" t="str">
        <f t="shared" si="9"/>
        <v>18-34</v>
      </c>
    </row>
    <row r="582" spans="1:33" x14ac:dyDescent="0.25">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c r="AG582" t="str">
        <f t="shared" si="9"/>
        <v>35-44</v>
      </c>
    </row>
    <row r="583" spans="1:33" x14ac:dyDescent="0.25">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c r="AG583" t="str">
        <f t="shared" si="9"/>
        <v>18-34</v>
      </c>
    </row>
    <row r="584" spans="1:33" x14ac:dyDescent="0.25">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c r="AG584" t="str">
        <f t="shared" si="9"/>
        <v>35-44</v>
      </c>
    </row>
    <row r="585" spans="1:33" x14ac:dyDescent="0.25">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c r="AG585" t="str">
        <f t="shared" si="9"/>
        <v>18-34</v>
      </c>
    </row>
    <row r="586" spans="1:33" x14ac:dyDescent="0.25">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c r="AG586" t="str">
        <f t="shared" si="9"/>
        <v>35-44</v>
      </c>
    </row>
    <row r="587" spans="1:33" x14ac:dyDescent="0.25">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c r="AG587" t="str">
        <f t="shared" si="9"/>
        <v>18-34</v>
      </c>
    </row>
    <row r="588" spans="1:33" x14ac:dyDescent="0.25">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c r="AG588" t="str">
        <f t="shared" si="9"/>
        <v>18-34</v>
      </c>
    </row>
    <row r="589" spans="1:33" x14ac:dyDescent="0.25">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c r="AG589" t="str">
        <f t="shared" si="9"/>
        <v>45-54</v>
      </c>
    </row>
    <row r="590" spans="1:33" x14ac:dyDescent="0.25">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c r="AG590" t="str">
        <f t="shared" si="9"/>
        <v>45-54</v>
      </c>
    </row>
    <row r="591" spans="1:33" x14ac:dyDescent="0.25">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c r="AG591" t="str">
        <f t="shared" si="9"/>
        <v>18-34</v>
      </c>
    </row>
    <row r="592" spans="1:33" x14ac:dyDescent="0.25">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c r="AG592" t="str">
        <f t="shared" si="9"/>
        <v>18-34</v>
      </c>
    </row>
    <row r="593" spans="1:33" x14ac:dyDescent="0.25">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c r="AG593" t="str">
        <f t="shared" si="9"/>
        <v>18-34</v>
      </c>
    </row>
    <row r="594" spans="1:33" x14ac:dyDescent="0.25">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c r="AG594" t="str">
        <f t="shared" si="9"/>
        <v>45-54</v>
      </c>
    </row>
    <row r="595" spans="1:33" x14ac:dyDescent="0.25">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c r="AG595" t="str">
        <f t="shared" si="9"/>
        <v>35-44</v>
      </c>
    </row>
    <row r="596" spans="1:33" x14ac:dyDescent="0.25">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c r="AG596" t="str">
        <f t="shared" si="9"/>
        <v>18-34</v>
      </c>
    </row>
    <row r="597" spans="1:33" x14ac:dyDescent="0.25">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c r="AG597" t="str">
        <f t="shared" si="9"/>
        <v>55+</v>
      </c>
    </row>
    <row r="598" spans="1:33" x14ac:dyDescent="0.25">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c r="AG598" t="str">
        <f t="shared" si="9"/>
        <v>35-44</v>
      </c>
    </row>
    <row r="599" spans="1:33" x14ac:dyDescent="0.25">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c r="AG599" t="str">
        <f t="shared" si="9"/>
        <v>35-44</v>
      </c>
    </row>
    <row r="600" spans="1:33" x14ac:dyDescent="0.25">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c r="AG600" t="str">
        <f t="shared" si="9"/>
        <v>18-34</v>
      </c>
    </row>
    <row r="601" spans="1:33" x14ac:dyDescent="0.25">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c r="AG601" t="str">
        <f t="shared" si="9"/>
        <v>35-44</v>
      </c>
    </row>
    <row r="602" spans="1:33" x14ac:dyDescent="0.25">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c r="AG602" t="str">
        <f t="shared" si="9"/>
        <v>18-34</v>
      </c>
    </row>
    <row r="603" spans="1:33" x14ac:dyDescent="0.25">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c r="AG603" t="str">
        <f t="shared" si="9"/>
        <v>35-44</v>
      </c>
    </row>
    <row r="604" spans="1:33" x14ac:dyDescent="0.25">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c r="AG604" t="str">
        <f t="shared" si="9"/>
        <v>18-34</v>
      </c>
    </row>
    <row r="605" spans="1:33" x14ac:dyDescent="0.25">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c r="AG605" t="str">
        <f t="shared" si="9"/>
        <v>45-54</v>
      </c>
    </row>
    <row r="606" spans="1:33" x14ac:dyDescent="0.25">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c r="AG606" t="str">
        <f t="shared" si="9"/>
        <v>35-44</v>
      </c>
    </row>
    <row r="607" spans="1:33" x14ac:dyDescent="0.25">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c r="AG607" t="str">
        <f t="shared" si="9"/>
        <v>35-44</v>
      </c>
    </row>
    <row r="608" spans="1:33" x14ac:dyDescent="0.25">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c r="AG608" t="str">
        <f t="shared" si="9"/>
        <v>18-34</v>
      </c>
    </row>
    <row r="609" spans="1:33" x14ac:dyDescent="0.25">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c r="AG609" t="str">
        <f t="shared" si="9"/>
        <v>45-54</v>
      </c>
    </row>
    <row r="610" spans="1:33" x14ac:dyDescent="0.25">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c r="AG610" t="str">
        <f t="shared" si="9"/>
        <v>55+</v>
      </c>
    </row>
    <row r="611" spans="1:33" x14ac:dyDescent="0.25">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c r="AG611" t="str">
        <f t="shared" si="9"/>
        <v>35-44</v>
      </c>
    </row>
    <row r="612" spans="1:33" x14ac:dyDescent="0.25">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c r="AG612" t="str">
        <f t="shared" si="9"/>
        <v>18-34</v>
      </c>
    </row>
    <row r="613" spans="1:33" x14ac:dyDescent="0.25">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c r="AG613" t="str">
        <f t="shared" si="9"/>
        <v>35-44</v>
      </c>
    </row>
    <row r="614" spans="1:33" x14ac:dyDescent="0.25">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c r="AG614" t="str">
        <f t="shared" si="9"/>
        <v>18-34</v>
      </c>
    </row>
    <row r="615" spans="1:33" x14ac:dyDescent="0.25">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c r="AG615" t="str">
        <f t="shared" si="9"/>
        <v>18-34</v>
      </c>
    </row>
    <row r="616" spans="1:33" x14ac:dyDescent="0.25">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c r="AG616" t="str">
        <f t="shared" si="9"/>
        <v>18-34</v>
      </c>
    </row>
    <row r="617" spans="1:33" x14ac:dyDescent="0.25">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c r="AG617" t="str">
        <f t="shared" si="9"/>
        <v>18-34</v>
      </c>
    </row>
    <row r="618" spans="1:33" x14ac:dyDescent="0.25">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c r="AG618" t="str">
        <f t="shared" si="9"/>
        <v>45-54</v>
      </c>
    </row>
    <row r="619" spans="1:33" x14ac:dyDescent="0.25">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c r="AG619" t="str">
        <f t="shared" si="9"/>
        <v>35-44</v>
      </c>
    </row>
    <row r="620" spans="1:33" x14ac:dyDescent="0.25">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c r="AG620" t="str">
        <f t="shared" si="9"/>
        <v>18-34</v>
      </c>
    </row>
    <row r="621" spans="1:33" x14ac:dyDescent="0.25">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c r="AG621" t="str">
        <f t="shared" si="9"/>
        <v>18-34</v>
      </c>
    </row>
    <row r="622" spans="1:33" x14ac:dyDescent="0.25">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c r="AG622" t="str">
        <f t="shared" si="9"/>
        <v>35-44</v>
      </c>
    </row>
    <row r="623" spans="1:33" x14ac:dyDescent="0.25">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c r="AG623" t="str">
        <f t="shared" si="9"/>
        <v>35-44</v>
      </c>
    </row>
    <row r="624" spans="1:33" x14ac:dyDescent="0.25">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c r="AG624" t="str">
        <f t="shared" si="9"/>
        <v>18-34</v>
      </c>
    </row>
    <row r="625" spans="1:33" x14ac:dyDescent="0.25">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c r="AG625" t="str">
        <f t="shared" si="9"/>
        <v>18-34</v>
      </c>
    </row>
    <row r="626" spans="1:33" x14ac:dyDescent="0.25">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c r="AG626" t="str">
        <f t="shared" si="9"/>
        <v>45-54</v>
      </c>
    </row>
    <row r="627" spans="1:33" x14ac:dyDescent="0.25">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c r="AG627" t="str">
        <f t="shared" si="9"/>
        <v>45-54</v>
      </c>
    </row>
    <row r="628" spans="1:33" x14ac:dyDescent="0.25">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c r="AG628" t="str">
        <f t="shared" si="9"/>
        <v>18-34</v>
      </c>
    </row>
    <row r="629" spans="1:33" x14ac:dyDescent="0.25">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c r="AG629" t="str">
        <f t="shared" si="9"/>
        <v>45-54</v>
      </c>
    </row>
    <row r="630" spans="1:33" x14ac:dyDescent="0.25">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c r="AG630" t="str">
        <f t="shared" si="9"/>
        <v>35-44</v>
      </c>
    </row>
    <row r="631" spans="1:33" x14ac:dyDescent="0.25">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c r="AG631" t="str">
        <f t="shared" si="9"/>
        <v>18-34</v>
      </c>
    </row>
    <row r="632" spans="1:33" x14ac:dyDescent="0.25">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c r="AG632" t="str">
        <f t="shared" si="9"/>
        <v>18-34</v>
      </c>
    </row>
    <row r="633" spans="1:33" x14ac:dyDescent="0.25">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c r="AG633" t="str">
        <f t="shared" si="9"/>
        <v>35-44</v>
      </c>
    </row>
    <row r="634" spans="1:33" x14ac:dyDescent="0.25">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c r="AG634" t="str">
        <f t="shared" si="9"/>
        <v>35-44</v>
      </c>
    </row>
    <row r="635" spans="1:33" x14ac:dyDescent="0.25">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c r="AG635" t="str">
        <f t="shared" si="9"/>
        <v>35-44</v>
      </c>
    </row>
    <row r="636" spans="1:33" x14ac:dyDescent="0.25">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c r="AG636" t="str">
        <f t="shared" si="9"/>
        <v>18-34</v>
      </c>
    </row>
    <row r="637" spans="1:33" x14ac:dyDescent="0.25">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c r="AG637" t="str">
        <f t="shared" si="9"/>
        <v>35-44</v>
      </c>
    </row>
    <row r="638" spans="1:33" x14ac:dyDescent="0.25">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c r="AG638" t="str">
        <f t="shared" si="9"/>
        <v>35-44</v>
      </c>
    </row>
    <row r="639" spans="1:33" x14ac:dyDescent="0.25">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c r="AG639" t="str">
        <f t="shared" si="9"/>
        <v>18-34</v>
      </c>
    </row>
    <row r="640" spans="1:33" x14ac:dyDescent="0.25">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c r="AG640" t="str">
        <f t="shared" si="9"/>
        <v>18-34</v>
      </c>
    </row>
    <row r="641" spans="1:33" x14ac:dyDescent="0.25">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c r="AG641" t="str">
        <f t="shared" si="9"/>
        <v>45-54</v>
      </c>
    </row>
    <row r="642" spans="1:33" x14ac:dyDescent="0.25">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c r="AG642" t="str">
        <f t="shared" ref="AG642:AG705" si="10">IF(A642&lt;18, "under 18", IF(A642&lt;35, "18-34", IF(A642&lt;45, "35-44", IF(A642&lt;55, "45-54", "55+"))))</f>
        <v>18-34</v>
      </c>
    </row>
    <row r="643" spans="1:33" x14ac:dyDescent="0.25">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c r="AG643" t="str">
        <f t="shared" si="10"/>
        <v>18-34</v>
      </c>
    </row>
    <row r="644" spans="1:33" x14ac:dyDescent="0.25">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c r="AG644" t="str">
        <f t="shared" si="10"/>
        <v>35-44</v>
      </c>
    </row>
    <row r="645" spans="1:33" x14ac:dyDescent="0.25">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c r="AG645" t="str">
        <f t="shared" si="10"/>
        <v>35-44</v>
      </c>
    </row>
    <row r="646" spans="1:33" x14ac:dyDescent="0.25">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c r="AG646" t="str">
        <f t="shared" si="10"/>
        <v>18-34</v>
      </c>
    </row>
    <row r="647" spans="1:33" x14ac:dyDescent="0.25">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c r="AG647" t="str">
        <f t="shared" si="10"/>
        <v>18-34</v>
      </c>
    </row>
    <row r="648" spans="1:33" x14ac:dyDescent="0.25">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c r="AG648" t="str">
        <f t="shared" si="10"/>
        <v>45-54</v>
      </c>
    </row>
    <row r="649" spans="1:33" x14ac:dyDescent="0.25">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c r="AG649" t="str">
        <f t="shared" si="10"/>
        <v>35-44</v>
      </c>
    </row>
    <row r="650" spans="1:33" x14ac:dyDescent="0.25">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c r="AG650" t="str">
        <f t="shared" si="10"/>
        <v>35-44</v>
      </c>
    </row>
    <row r="651" spans="1:33" x14ac:dyDescent="0.25">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c r="AG651" t="str">
        <f t="shared" si="10"/>
        <v>45-54</v>
      </c>
    </row>
    <row r="652" spans="1:33" x14ac:dyDescent="0.25">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c r="AG652" t="str">
        <f t="shared" si="10"/>
        <v>35-44</v>
      </c>
    </row>
    <row r="653" spans="1:33" x14ac:dyDescent="0.25">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c r="AG653" t="str">
        <f t="shared" si="10"/>
        <v>45-54</v>
      </c>
    </row>
    <row r="654" spans="1:33" x14ac:dyDescent="0.25">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c r="AG654" t="str">
        <f t="shared" si="10"/>
        <v>35-44</v>
      </c>
    </row>
    <row r="655" spans="1:33" x14ac:dyDescent="0.25">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c r="AG655" t="str">
        <f t="shared" si="10"/>
        <v>45-54</v>
      </c>
    </row>
    <row r="656" spans="1:33" x14ac:dyDescent="0.25">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c r="AG656" t="str">
        <f t="shared" si="10"/>
        <v>35-44</v>
      </c>
    </row>
    <row r="657" spans="1:33" x14ac:dyDescent="0.25">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c r="AG657" t="str">
        <f t="shared" si="10"/>
        <v>18-34</v>
      </c>
    </row>
    <row r="658" spans="1:33" x14ac:dyDescent="0.25">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c r="AG658" t="str">
        <f t="shared" si="10"/>
        <v>18-34</v>
      </c>
    </row>
    <row r="659" spans="1:33" x14ac:dyDescent="0.25">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c r="AG659" t="str">
        <f t="shared" si="10"/>
        <v>18-34</v>
      </c>
    </row>
    <row r="660" spans="1:33" x14ac:dyDescent="0.25">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c r="AG660" t="str">
        <f t="shared" si="10"/>
        <v>35-44</v>
      </c>
    </row>
    <row r="661" spans="1:33" x14ac:dyDescent="0.25">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c r="AG661" t="str">
        <f t="shared" si="10"/>
        <v>18-34</v>
      </c>
    </row>
    <row r="662" spans="1:33" x14ac:dyDescent="0.25">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c r="AG662" t="str">
        <f t="shared" si="10"/>
        <v>55+</v>
      </c>
    </row>
    <row r="663" spans="1:33" x14ac:dyDescent="0.25">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c r="AG663" t="str">
        <f t="shared" si="10"/>
        <v>35-44</v>
      </c>
    </row>
    <row r="664" spans="1:33" x14ac:dyDescent="0.25">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c r="AG664" t="str">
        <f t="shared" si="10"/>
        <v>18-34</v>
      </c>
    </row>
    <row r="665" spans="1:33" x14ac:dyDescent="0.25">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c r="AG665" t="str">
        <f t="shared" si="10"/>
        <v>18-34</v>
      </c>
    </row>
    <row r="666" spans="1:33" x14ac:dyDescent="0.25">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c r="AG666" t="str">
        <f t="shared" si="10"/>
        <v>35-44</v>
      </c>
    </row>
    <row r="667" spans="1:33" x14ac:dyDescent="0.25">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c r="AG667" t="str">
        <f t="shared" si="10"/>
        <v>45-54</v>
      </c>
    </row>
    <row r="668" spans="1:33" x14ac:dyDescent="0.25">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c r="AG668" t="str">
        <f t="shared" si="10"/>
        <v>18-34</v>
      </c>
    </row>
    <row r="669" spans="1:33" x14ac:dyDescent="0.25">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c r="AG669" t="str">
        <f t="shared" si="10"/>
        <v>35-44</v>
      </c>
    </row>
    <row r="670" spans="1:33" x14ac:dyDescent="0.25">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c r="AG670" t="str">
        <f t="shared" si="10"/>
        <v>18-34</v>
      </c>
    </row>
    <row r="671" spans="1:33" x14ac:dyDescent="0.25">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c r="AG671" t="str">
        <f t="shared" si="10"/>
        <v>35-44</v>
      </c>
    </row>
    <row r="672" spans="1:33" x14ac:dyDescent="0.25">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c r="AG672" t="str">
        <f t="shared" si="10"/>
        <v>18-34</v>
      </c>
    </row>
    <row r="673" spans="1:33" x14ac:dyDescent="0.25">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c r="AG673" t="str">
        <f t="shared" si="10"/>
        <v>18-34</v>
      </c>
    </row>
    <row r="674" spans="1:33" x14ac:dyDescent="0.25">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c r="AG674" t="str">
        <f t="shared" si="10"/>
        <v>35-44</v>
      </c>
    </row>
    <row r="675" spans="1:33" x14ac:dyDescent="0.25">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c r="AG675" t="str">
        <f t="shared" si="10"/>
        <v>18-34</v>
      </c>
    </row>
    <row r="676" spans="1:33" x14ac:dyDescent="0.25">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c r="AG676" t="str">
        <f t="shared" si="10"/>
        <v>55+</v>
      </c>
    </row>
    <row r="677" spans="1:33" x14ac:dyDescent="0.25">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c r="AG677" t="str">
        <f t="shared" si="10"/>
        <v>18-34</v>
      </c>
    </row>
    <row r="678" spans="1:33" x14ac:dyDescent="0.25">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c r="AG678" t="str">
        <f t="shared" si="10"/>
        <v>35-44</v>
      </c>
    </row>
    <row r="679" spans="1:33" x14ac:dyDescent="0.25">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c r="AG679" t="str">
        <f t="shared" si="10"/>
        <v>45-54</v>
      </c>
    </row>
    <row r="680" spans="1:33" x14ac:dyDescent="0.25">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c r="AG680" t="str">
        <f t="shared" si="10"/>
        <v>45-54</v>
      </c>
    </row>
    <row r="681" spans="1:33" x14ac:dyDescent="0.25">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c r="AG681" t="str">
        <f t="shared" si="10"/>
        <v>18-34</v>
      </c>
    </row>
    <row r="682" spans="1:33" x14ac:dyDescent="0.25">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c r="AG682" t="str">
        <f t="shared" si="10"/>
        <v>35-44</v>
      </c>
    </row>
    <row r="683" spans="1:33" x14ac:dyDescent="0.25">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c r="AG683" t="str">
        <f t="shared" si="10"/>
        <v>35-44</v>
      </c>
    </row>
    <row r="684" spans="1:33" x14ac:dyDescent="0.25">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c r="AG684" t="str">
        <f t="shared" si="10"/>
        <v>18-34</v>
      </c>
    </row>
    <row r="685" spans="1:33" x14ac:dyDescent="0.25">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c r="AG685" t="str">
        <f t="shared" si="10"/>
        <v>18-34</v>
      </c>
    </row>
    <row r="686" spans="1:33" x14ac:dyDescent="0.25">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c r="AG686" t="str">
        <f t="shared" si="10"/>
        <v>35-44</v>
      </c>
    </row>
    <row r="687" spans="1:33" x14ac:dyDescent="0.25">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c r="AG687" t="str">
        <f t="shared" si="10"/>
        <v>18-34</v>
      </c>
    </row>
    <row r="688" spans="1:33" x14ac:dyDescent="0.25">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c r="AG688" t="str">
        <f t="shared" si="10"/>
        <v>35-44</v>
      </c>
    </row>
    <row r="689" spans="1:33" x14ac:dyDescent="0.25">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c r="AG689" t="str">
        <f t="shared" si="10"/>
        <v>35-44</v>
      </c>
    </row>
    <row r="690" spans="1:33" x14ac:dyDescent="0.25">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c r="AG690" t="str">
        <f t="shared" si="10"/>
        <v>18-34</v>
      </c>
    </row>
    <row r="691" spans="1:33" x14ac:dyDescent="0.25">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c r="AG691" t="str">
        <f t="shared" si="10"/>
        <v>18-34</v>
      </c>
    </row>
    <row r="692" spans="1:33" x14ac:dyDescent="0.25">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c r="AG692" t="str">
        <f t="shared" si="10"/>
        <v>18-34</v>
      </c>
    </row>
    <row r="693" spans="1:33" x14ac:dyDescent="0.25">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c r="AG693" t="str">
        <f t="shared" si="10"/>
        <v>35-44</v>
      </c>
    </row>
    <row r="694" spans="1:33" x14ac:dyDescent="0.25">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c r="AG694" t="str">
        <f t="shared" si="10"/>
        <v>18-34</v>
      </c>
    </row>
    <row r="695" spans="1:33" x14ac:dyDescent="0.25">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c r="AG695" t="str">
        <f t="shared" si="10"/>
        <v>35-44</v>
      </c>
    </row>
    <row r="696" spans="1:33" x14ac:dyDescent="0.25">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c r="AG696" t="str">
        <f t="shared" si="10"/>
        <v>18-34</v>
      </c>
    </row>
    <row r="697" spans="1:33" x14ac:dyDescent="0.25">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c r="AG697" t="str">
        <f t="shared" si="10"/>
        <v>35-44</v>
      </c>
    </row>
    <row r="698" spans="1:33" x14ac:dyDescent="0.25">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c r="AG698" t="str">
        <f t="shared" si="10"/>
        <v>45-54</v>
      </c>
    </row>
    <row r="699" spans="1:33" x14ac:dyDescent="0.25">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c r="AG699" t="str">
        <f t="shared" si="10"/>
        <v>18-34</v>
      </c>
    </row>
    <row r="700" spans="1:33" x14ac:dyDescent="0.25">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c r="AG700" t="str">
        <f t="shared" si="10"/>
        <v>35-44</v>
      </c>
    </row>
    <row r="701" spans="1:33" x14ac:dyDescent="0.25">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c r="AG701" t="str">
        <f t="shared" si="10"/>
        <v>45-54</v>
      </c>
    </row>
    <row r="702" spans="1:33" x14ac:dyDescent="0.25">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c r="AG702" t="str">
        <f t="shared" si="10"/>
        <v>55+</v>
      </c>
    </row>
    <row r="703" spans="1:33" x14ac:dyDescent="0.25">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c r="AG703" t="str">
        <f t="shared" si="10"/>
        <v>45-54</v>
      </c>
    </row>
    <row r="704" spans="1:33" x14ac:dyDescent="0.25">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c r="AG704" t="str">
        <f t="shared" si="10"/>
        <v>18-34</v>
      </c>
    </row>
    <row r="705" spans="1:33" x14ac:dyDescent="0.25">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c r="AG705" t="str">
        <f t="shared" si="10"/>
        <v>35-44</v>
      </c>
    </row>
    <row r="706" spans="1:33" x14ac:dyDescent="0.25">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c r="AG706" t="str">
        <f t="shared" ref="AG706:AG769" si="11">IF(A706&lt;18, "under 18", IF(A706&lt;35, "18-34", IF(A706&lt;45, "35-44", IF(A706&lt;55, "45-54", "55+"))))</f>
        <v>35-44</v>
      </c>
    </row>
    <row r="707" spans="1:33" x14ac:dyDescent="0.25">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c r="AG707" t="str">
        <f t="shared" si="11"/>
        <v>35-44</v>
      </c>
    </row>
    <row r="708" spans="1:33" x14ac:dyDescent="0.25">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c r="AG708" t="str">
        <f t="shared" si="11"/>
        <v>35-44</v>
      </c>
    </row>
    <row r="709" spans="1:33" x14ac:dyDescent="0.25">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c r="AG709" t="str">
        <f t="shared" si="11"/>
        <v>45-54</v>
      </c>
    </row>
    <row r="710" spans="1:33" x14ac:dyDescent="0.25">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c r="AG710" t="str">
        <f t="shared" si="11"/>
        <v>35-44</v>
      </c>
    </row>
    <row r="711" spans="1:33" x14ac:dyDescent="0.25">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c r="AG711" t="str">
        <f t="shared" si="11"/>
        <v>18-34</v>
      </c>
    </row>
    <row r="712" spans="1:33" x14ac:dyDescent="0.25">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c r="AG712" t="str">
        <f t="shared" si="11"/>
        <v>18-34</v>
      </c>
    </row>
    <row r="713" spans="1:33" x14ac:dyDescent="0.25">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c r="AG713" t="str">
        <f t="shared" si="11"/>
        <v>18-34</v>
      </c>
    </row>
    <row r="714" spans="1:33" x14ac:dyDescent="0.25">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c r="AG714" t="str">
        <f t="shared" si="11"/>
        <v>18-34</v>
      </c>
    </row>
    <row r="715" spans="1:33" x14ac:dyDescent="0.25">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c r="AG715" t="str">
        <f t="shared" si="11"/>
        <v>45-54</v>
      </c>
    </row>
    <row r="716" spans="1:33" x14ac:dyDescent="0.25">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c r="AG716" t="str">
        <f t="shared" si="11"/>
        <v>45-54</v>
      </c>
    </row>
    <row r="717" spans="1:33" x14ac:dyDescent="0.25">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c r="AG717" t="str">
        <f t="shared" si="11"/>
        <v>18-34</v>
      </c>
    </row>
    <row r="718" spans="1:33" x14ac:dyDescent="0.25">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c r="AG718" t="str">
        <f t="shared" si="11"/>
        <v>35-44</v>
      </c>
    </row>
    <row r="719" spans="1:33" x14ac:dyDescent="0.25">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c r="AG719" t="str">
        <f t="shared" si="11"/>
        <v>18-34</v>
      </c>
    </row>
    <row r="720" spans="1:33" x14ac:dyDescent="0.25">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c r="AG720" t="str">
        <f t="shared" si="11"/>
        <v>45-54</v>
      </c>
    </row>
    <row r="721" spans="1:33" x14ac:dyDescent="0.25">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c r="AG721" t="str">
        <f t="shared" si="11"/>
        <v>45-54</v>
      </c>
    </row>
    <row r="722" spans="1:33" x14ac:dyDescent="0.25">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c r="AG722" t="str">
        <f t="shared" si="11"/>
        <v>18-34</v>
      </c>
    </row>
    <row r="723" spans="1:33" x14ac:dyDescent="0.25">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c r="AG723" t="str">
        <f t="shared" si="11"/>
        <v>45-54</v>
      </c>
    </row>
    <row r="724" spans="1:33" x14ac:dyDescent="0.25">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c r="AG724" t="str">
        <f t="shared" si="11"/>
        <v>35-44</v>
      </c>
    </row>
    <row r="725" spans="1:33" x14ac:dyDescent="0.25">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c r="AG725" t="str">
        <f t="shared" si="11"/>
        <v>45-54</v>
      </c>
    </row>
    <row r="726" spans="1:33" x14ac:dyDescent="0.25">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c r="AG726" t="str">
        <f t="shared" si="11"/>
        <v>18-34</v>
      </c>
    </row>
    <row r="727" spans="1:33" x14ac:dyDescent="0.25">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c r="AG727" t="str">
        <f t="shared" si="11"/>
        <v>35-44</v>
      </c>
    </row>
    <row r="728" spans="1:33" x14ac:dyDescent="0.25">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c r="AG728" t="str">
        <f t="shared" si="11"/>
        <v>18-34</v>
      </c>
    </row>
    <row r="729" spans="1:33" x14ac:dyDescent="0.25">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c r="AG729" t="str">
        <f t="shared" si="11"/>
        <v>18-34</v>
      </c>
    </row>
    <row r="730" spans="1:33" x14ac:dyDescent="0.25">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c r="AG730" t="str">
        <f t="shared" si="11"/>
        <v>45-54</v>
      </c>
    </row>
    <row r="731" spans="1:33" x14ac:dyDescent="0.25">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c r="AG731" t="str">
        <f t="shared" si="11"/>
        <v>35-44</v>
      </c>
    </row>
    <row r="732" spans="1:33" x14ac:dyDescent="0.25">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c r="AG732" t="str">
        <f t="shared" si="11"/>
        <v>18-34</v>
      </c>
    </row>
    <row r="733" spans="1:33" x14ac:dyDescent="0.25">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c r="AG733" t="str">
        <f t="shared" si="11"/>
        <v>18-34</v>
      </c>
    </row>
    <row r="734" spans="1:33" x14ac:dyDescent="0.25">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c r="AG734" t="str">
        <f t="shared" si="11"/>
        <v>18-34</v>
      </c>
    </row>
    <row r="735" spans="1:33" x14ac:dyDescent="0.25">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c r="AG735" t="str">
        <f t="shared" si="11"/>
        <v>18-34</v>
      </c>
    </row>
    <row r="736" spans="1:33" x14ac:dyDescent="0.25">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c r="AG736" t="str">
        <f t="shared" si="11"/>
        <v>18-34</v>
      </c>
    </row>
    <row r="737" spans="1:33" x14ac:dyDescent="0.25">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c r="AG737" t="str">
        <f t="shared" si="11"/>
        <v>45-54</v>
      </c>
    </row>
    <row r="738" spans="1:33" x14ac:dyDescent="0.25">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c r="AG738" t="str">
        <f t="shared" si="11"/>
        <v>45-54</v>
      </c>
    </row>
    <row r="739" spans="1:33" x14ac:dyDescent="0.25">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c r="AG739" t="str">
        <f t="shared" si="11"/>
        <v>35-44</v>
      </c>
    </row>
    <row r="740" spans="1:33" x14ac:dyDescent="0.25">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c r="AG740" t="str">
        <f t="shared" si="11"/>
        <v>35-44</v>
      </c>
    </row>
    <row r="741" spans="1:33" x14ac:dyDescent="0.25">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c r="AG741" t="str">
        <f t="shared" si="11"/>
        <v>18-34</v>
      </c>
    </row>
    <row r="742" spans="1:33" x14ac:dyDescent="0.25">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c r="AG742" t="str">
        <f t="shared" si="11"/>
        <v>35-44</v>
      </c>
    </row>
    <row r="743" spans="1:33" x14ac:dyDescent="0.25">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c r="AG743" t="str">
        <f t="shared" si="11"/>
        <v>35-44</v>
      </c>
    </row>
    <row r="744" spans="1:33" x14ac:dyDescent="0.25">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c r="AG744" t="str">
        <f t="shared" si="11"/>
        <v>45-54</v>
      </c>
    </row>
    <row r="745" spans="1:33" x14ac:dyDescent="0.25">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c r="AG745" t="str">
        <f t="shared" si="11"/>
        <v>55+</v>
      </c>
    </row>
    <row r="746" spans="1:33" x14ac:dyDescent="0.25">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c r="AG746" t="str">
        <f t="shared" si="11"/>
        <v>35-44</v>
      </c>
    </row>
    <row r="747" spans="1:33" x14ac:dyDescent="0.25">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c r="AG747" t="str">
        <f t="shared" si="11"/>
        <v>55+</v>
      </c>
    </row>
    <row r="748" spans="1:33" x14ac:dyDescent="0.25">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c r="AG748" t="str">
        <f t="shared" si="11"/>
        <v>35-44</v>
      </c>
    </row>
    <row r="749" spans="1:33" x14ac:dyDescent="0.25">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c r="AG749" t="str">
        <f t="shared" si="11"/>
        <v>35-44</v>
      </c>
    </row>
    <row r="750" spans="1:33" x14ac:dyDescent="0.25">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c r="AG750" t="str">
        <f t="shared" si="11"/>
        <v>18-34</v>
      </c>
    </row>
    <row r="751" spans="1:33" x14ac:dyDescent="0.25">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c r="AG751" t="str">
        <f t="shared" si="11"/>
        <v>45-54</v>
      </c>
    </row>
    <row r="752" spans="1:33" x14ac:dyDescent="0.25">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c r="AG752" t="str">
        <f t="shared" si="11"/>
        <v>35-44</v>
      </c>
    </row>
    <row r="753" spans="1:33" x14ac:dyDescent="0.25">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c r="AG753" t="str">
        <f t="shared" si="11"/>
        <v>45-54</v>
      </c>
    </row>
    <row r="754" spans="1:33" x14ac:dyDescent="0.25">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c r="AG754" t="str">
        <f t="shared" si="11"/>
        <v>35-44</v>
      </c>
    </row>
    <row r="755" spans="1:33" x14ac:dyDescent="0.25">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c r="AG755" t="str">
        <f t="shared" si="11"/>
        <v>35-44</v>
      </c>
    </row>
    <row r="756" spans="1:33" x14ac:dyDescent="0.25">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c r="AG756" t="str">
        <f t="shared" si="11"/>
        <v>18-34</v>
      </c>
    </row>
    <row r="757" spans="1:33" x14ac:dyDescent="0.25">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c r="AG757" t="str">
        <f t="shared" si="11"/>
        <v>45-54</v>
      </c>
    </row>
    <row r="758" spans="1:33" x14ac:dyDescent="0.25">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c r="AG758" t="str">
        <f t="shared" si="11"/>
        <v>18-34</v>
      </c>
    </row>
    <row r="759" spans="1:33" x14ac:dyDescent="0.25">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c r="AG759" t="str">
        <f t="shared" si="11"/>
        <v>18-34</v>
      </c>
    </row>
    <row r="760" spans="1:33" x14ac:dyDescent="0.25">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c r="AG760" t="str">
        <f t="shared" si="11"/>
        <v>55+</v>
      </c>
    </row>
    <row r="761" spans="1:33" x14ac:dyDescent="0.25">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c r="AG761" t="str">
        <f t="shared" si="11"/>
        <v>45-54</v>
      </c>
    </row>
    <row r="762" spans="1:33" x14ac:dyDescent="0.25">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c r="AG762" t="str">
        <f t="shared" si="11"/>
        <v>45-54</v>
      </c>
    </row>
    <row r="763" spans="1:33" x14ac:dyDescent="0.25">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c r="AG763" t="str">
        <f t="shared" si="11"/>
        <v>35-44</v>
      </c>
    </row>
    <row r="764" spans="1:33" x14ac:dyDescent="0.25">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c r="AG764" t="str">
        <f t="shared" si="11"/>
        <v>18-34</v>
      </c>
    </row>
    <row r="765" spans="1:33" x14ac:dyDescent="0.25">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c r="AG765" t="str">
        <f t="shared" si="11"/>
        <v>18-34</v>
      </c>
    </row>
    <row r="766" spans="1:33" x14ac:dyDescent="0.25">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c r="AG766" t="str">
        <f t="shared" si="11"/>
        <v>18-34</v>
      </c>
    </row>
    <row r="767" spans="1:33" x14ac:dyDescent="0.25">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c r="AG767" t="str">
        <f t="shared" si="11"/>
        <v>35-44</v>
      </c>
    </row>
    <row r="768" spans="1:33" x14ac:dyDescent="0.25">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c r="AG768" t="str">
        <f t="shared" si="11"/>
        <v>45-54</v>
      </c>
    </row>
    <row r="769" spans="1:33" x14ac:dyDescent="0.25">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c r="AG769" t="str">
        <f t="shared" si="11"/>
        <v>35-44</v>
      </c>
    </row>
    <row r="770" spans="1:33" x14ac:dyDescent="0.25">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c r="AG770" t="str">
        <f t="shared" ref="AG770:AG833" si="12">IF(A770&lt;18, "under 18", IF(A770&lt;35, "18-34", IF(A770&lt;45, "35-44", IF(A770&lt;55, "45-54", "55+"))))</f>
        <v>35-44</v>
      </c>
    </row>
    <row r="771" spans="1:33" x14ac:dyDescent="0.25">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c r="AG771" t="str">
        <f t="shared" si="12"/>
        <v>18-34</v>
      </c>
    </row>
    <row r="772" spans="1:33" x14ac:dyDescent="0.25">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c r="AG772" t="str">
        <f t="shared" si="12"/>
        <v>45-54</v>
      </c>
    </row>
    <row r="773" spans="1:33" x14ac:dyDescent="0.25">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c r="AG773" t="str">
        <f t="shared" si="12"/>
        <v>45-54</v>
      </c>
    </row>
    <row r="774" spans="1:33" x14ac:dyDescent="0.25">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c r="AG774" t="str">
        <f t="shared" si="12"/>
        <v>55+</v>
      </c>
    </row>
    <row r="775" spans="1:33" x14ac:dyDescent="0.25">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c r="AG775" t="str">
        <f t="shared" si="12"/>
        <v>35-44</v>
      </c>
    </row>
    <row r="776" spans="1:33" x14ac:dyDescent="0.25">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c r="AG776" t="str">
        <f t="shared" si="12"/>
        <v>55+</v>
      </c>
    </row>
    <row r="777" spans="1:33" x14ac:dyDescent="0.25">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c r="AG777" t="str">
        <f t="shared" si="12"/>
        <v>35-44</v>
      </c>
    </row>
    <row r="778" spans="1:33" x14ac:dyDescent="0.25">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c r="AG778" t="str">
        <f t="shared" si="12"/>
        <v>18-34</v>
      </c>
    </row>
    <row r="779" spans="1:33" x14ac:dyDescent="0.25">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c r="AG779" t="str">
        <f t="shared" si="12"/>
        <v>18-34</v>
      </c>
    </row>
    <row r="780" spans="1:33" x14ac:dyDescent="0.25">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c r="AG780" t="str">
        <f t="shared" si="12"/>
        <v>45-54</v>
      </c>
    </row>
    <row r="781" spans="1:33" x14ac:dyDescent="0.25">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c r="AG781" t="str">
        <f t="shared" si="12"/>
        <v>45-54</v>
      </c>
    </row>
    <row r="782" spans="1:33" x14ac:dyDescent="0.25">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c r="AG782" t="str">
        <f t="shared" si="12"/>
        <v>18-34</v>
      </c>
    </row>
    <row r="783" spans="1:33" x14ac:dyDescent="0.25">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c r="AG783" t="str">
        <f t="shared" si="12"/>
        <v>18-34</v>
      </c>
    </row>
    <row r="784" spans="1:33" x14ac:dyDescent="0.25">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c r="AG784" t="str">
        <f t="shared" si="12"/>
        <v>18-34</v>
      </c>
    </row>
    <row r="785" spans="1:33" x14ac:dyDescent="0.25">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c r="AG785" t="str">
        <f t="shared" si="12"/>
        <v>35-44</v>
      </c>
    </row>
    <row r="786" spans="1:33" x14ac:dyDescent="0.25">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c r="AG786" t="str">
        <f t="shared" si="12"/>
        <v>35-44</v>
      </c>
    </row>
    <row r="787" spans="1:33" x14ac:dyDescent="0.25">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c r="AG787" t="str">
        <f t="shared" si="12"/>
        <v>35-44</v>
      </c>
    </row>
    <row r="788" spans="1:33" x14ac:dyDescent="0.25">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c r="AG788" t="str">
        <f t="shared" si="12"/>
        <v>18-34</v>
      </c>
    </row>
    <row r="789" spans="1:33" x14ac:dyDescent="0.25">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c r="AG789" t="str">
        <f t="shared" si="12"/>
        <v>55+</v>
      </c>
    </row>
    <row r="790" spans="1:33" x14ac:dyDescent="0.25">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c r="AG790" t="str">
        <f t="shared" si="12"/>
        <v>18-34</v>
      </c>
    </row>
    <row r="791" spans="1:33" x14ac:dyDescent="0.25">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c r="AG791" t="str">
        <f t="shared" si="12"/>
        <v>35-44</v>
      </c>
    </row>
    <row r="792" spans="1:33" x14ac:dyDescent="0.25">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c r="AG792" t="str">
        <f t="shared" si="12"/>
        <v>18-34</v>
      </c>
    </row>
    <row r="793" spans="1:33" x14ac:dyDescent="0.25">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c r="AG793" t="str">
        <f t="shared" si="12"/>
        <v>35-44</v>
      </c>
    </row>
    <row r="794" spans="1:33" x14ac:dyDescent="0.25">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c r="AG794" t="str">
        <f t="shared" si="12"/>
        <v>18-34</v>
      </c>
    </row>
    <row r="795" spans="1:33" x14ac:dyDescent="0.25">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c r="AG795" t="str">
        <f t="shared" si="12"/>
        <v>18-34</v>
      </c>
    </row>
    <row r="796" spans="1:33" x14ac:dyDescent="0.25">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c r="AG796" t="str">
        <f t="shared" si="12"/>
        <v>18-34</v>
      </c>
    </row>
    <row r="797" spans="1:33" x14ac:dyDescent="0.25">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c r="AG797" t="str">
        <f t="shared" si="12"/>
        <v>35-44</v>
      </c>
    </row>
    <row r="798" spans="1:33" x14ac:dyDescent="0.25">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c r="AG798" t="str">
        <f t="shared" si="12"/>
        <v>18-34</v>
      </c>
    </row>
    <row r="799" spans="1:33" x14ac:dyDescent="0.25">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c r="AG799" t="str">
        <f t="shared" si="12"/>
        <v>18-34</v>
      </c>
    </row>
    <row r="800" spans="1:33" x14ac:dyDescent="0.25">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c r="AG800" t="str">
        <f t="shared" si="12"/>
        <v>18-34</v>
      </c>
    </row>
    <row r="801" spans="1:33" x14ac:dyDescent="0.25">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c r="AG801" t="str">
        <f t="shared" si="12"/>
        <v>35-44</v>
      </c>
    </row>
    <row r="802" spans="1:33" x14ac:dyDescent="0.25">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c r="AG802" t="str">
        <f t="shared" si="12"/>
        <v>18-34</v>
      </c>
    </row>
    <row r="803" spans="1:33" x14ac:dyDescent="0.25">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c r="AG803" t="str">
        <f t="shared" si="12"/>
        <v>45-54</v>
      </c>
    </row>
    <row r="804" spans="1:33" x14ac:dyDescent="0.25">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c r="AG804" t="str">
        <f t="shared" si="12"/>
        <v>18-34</v>
      </c>
    </row>
    <row r="805" spans="1:33" x14ac:dyDescent="0.25">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c r="AG805" t="str">
        <f t="shared" si="12"/>
        <v>18-34</v>
      </c>
    </row>
    <row r="806" spans="1:33" x14ac:dyDescent="0.25">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c r="AG806" t="str">
        <f t="shared" si="12"/>
        <v>45-54</v>
      </c>
    </row>
    <row r="807" spans="1:33" x14ac:dyDescent="0.25">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c r="AG807" t="str">
        <f t="shared" si="12"/>
        <v>45-54</v>
      </c>
    </row>
    <row r="808" spans="1:33" x14ac:dyDescent="0.25">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c r="AG808" t="str">
        <f t="shared" si="12"/>
        <v>45-54</v>
      </c>
    </row>
    <row r="809" spans="1:33" x14ac:dyDescent="0.25">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c r="AG809" t="str">
        <f t="shared" si="12"/>
        <v>35-44</v>
      </c>
    </row>
    <row r="810" spans="1:33" x14ac:dyDescent="0.25">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c r="AG810" t="str">
        <f t="shared" si="12"/>
        <v>18-34</v>
      </c>
    </row>
    <row r="811" spans="1:33" x14ac:dyDescent="0.25">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c r="AG811" t="str">
        <f t="shared" si="12"/>
        <v>18-34</v>
      </c>
    </row>
    <row r="812" spans="1:33" x14ac:dyDescent="0.25">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c r="AG812" t="str">
        <f t="shared" si="12"/>
        <v>45-54</v>
      </c>
    </row>
    <row r="813" spans="1:33" x14ac:dyDescent="0.25">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c r="AG813" t="str">
        <f t="shared" si="12"/>
        <v>35-44</v>
      </c>
    </row>
    <row r="814" spans="1:33" x14ac:dyDescent="0.25">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c r="AG814" t="str">
        <f t="shared" si="12"/>
        <v>35-44</v>
      </c>
    </row>
    <row r="815" spans="1:33" x14ac:dyDescent="0.25">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c r="AG815" t="str">
        <f t="shared" si="12"/>
        <v>35-44</v>
      </c>
    </row>
    <row r="816" spans="1:33" x14ac:dyDescent="0.25">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c r="AG816" t="str">
        <f t="shared" si="12"/>
        <v>35-44</v>
      </c>
    </row>
    <row r="817" spans="1:33" x14ac:dyDescent="0.25">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c r="AG817" t="str">
        <f t="shared" si="12"/>
        <v>18-34</v>
      </c>
    </row>
    <row r="818" spans="1:33" x14ac:dyDescent="0.25">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c r="AG818" t="str">
        <f t="shared" si="12"/>
        <v>35-44</v>
      </c>
    </row>
    <row r="819" spans="1:33" x14ac:dyDescent="0.25">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c r="AG819" t="str">
        <f t="shared" si="12"/>
        <v>35-44</v>
      </c>
    </row>
    <row r="820" spans="1:33" x14ac:dyDescent="0.25">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c r="AG820" t="str">
        <f t="shared" si="12"/>
        <v>18-34</v>
      </c>
    </row>
    <row r="821" spans="1:33" x14ac:dyDescent="0.25">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c r="AG821" t="str">
        <f t="shared" si="12"/>
        <v>18-34</v>
      </c>
    </row>
    <row r="822" spans="1:33" x14ac:dyDescent="0.25">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c r="AG822" t="str">
        <f t="shared" si="12"/>
        <v>35-44</v>
      </c>
    </row>
    <row r="823" spans="1:33" x14ac:dyDescent="0.25">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c r="AG823" t="str">
        <f t="shared" si="12"/>
        <v>45-54</v>
      </c>
    </row>
    <row r="824" spans="1:33" x14ac:dyDescent="0.25">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c r="AG824" t="str">
        <f t="shared" si="12"/>
        <v>18-34</v>
      </c>
    </row>
    <row r="825" spans="1:33" x14ac:dyDescent="0.25">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c r="AG825" t="str">
        <f t="shared" si="12"/>
        <v>18-34</v>
      </c>
    </row>
    <row r="826" spans="1:33" x14ac:dyDescent="0.25">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c r="AG826" t="str">
        <f t="shared" si="12"/>
        <v>35-44</v>
      </c>
    </row>
    <row r="827" spans="1:33" x14ac:dyDescent="0.25">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c r="AG827" t="str">
        <f t="shared" si="12"/>
        <v>18-34</v>
      </c>
    </row>
    <row r="828" spans="1:33" x14ac:dyDescent="0.25">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c r="AG828" t="str">
        <f t="shared" si="12"/>
        <v>35-44</v>
      </c>
    </row>
    <row r="829" spans="1:33" x14ac:dyDescent="0.25">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c r="AG829" t="str">
        <f t="shared" si="12"/>
        <v>18-34</v>
      </c>
    </row>
    <row r="830" spans="1:33" x14ac:dyDescent="0.25">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c r="AG830" t="str">
        <f t="shared" si="12"/>
        <v>18-34</v>
      </c>
    </row>
    <row r="831" spans="1:33" x14ac:dyDescent="0.25">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c r="AG831" t="str">
        <f t="shared" si="12"/>
        <v>18-34</v>
      </c>
    </row>
    <row r="832" spans="1:33" x14ac:dyDescent="0.25">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c r="AG832" t="str">
        <f t="shared" si="12"/>
        <v>35-44</v>
      </c>
    </row>
    <row r="833" spans="1:33" x14ac:dyDescent="0.25">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c r="AG833" t="str">
        <f t="shared" si="12"/>
        <v>18-34</v>
      </c>
    </row>
    <row r="834" spans="1:33" x14ac:dyDescent="0.25">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c r="AG834" t="str">
        <f t="shared" ref="AG834:AG897" si="13">IF(A834&lt;18, "under 18", IF(A834&lt;35, "18-34", IF(A834&lt;45, "35-44", IF(A834&lt;55, "45-54", "55+"))))</f>
        <v>35-44</v>
      </c>
    </row>
    <row r="835" spans="1:33" x14ac:dyDescent="0.25">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c r="AG835" t="str">
        <f t="shared" si="13"/>
        <v>18-34</v>
      </c>
    </row>
    <row r="836" spans="1:33" x14ac:dyDescent="0.25">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c r="AG836" t="str">
        <f t="shared" si="13"/>
        <v>18-34</v>
      </c>
    </row>
    <row r="837" spans="1:33" x14ac:dyDescent="0.25">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c r="AG837" t="str">
        <f t="shared" si="13"/>
        <v>35-44</v>
      </c>
    </row>
    <row r="838" spans="1:33" x14ac:dyDescent="0.25">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c r="AG838" t="str">
        <f t="shared" si="13"/>
        <v>18-34</v>
      </c>
    </row>
    <row r="839" spans="1:33" x14ac:dyDescent="0.25">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c r="AG839" t="str">
        <f t="shared" si="13"/>
        <v>35-44</v>
      </c>
    </row>
    <row r="840" spans="1:33" x14ac:dyDescent="0.25">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c r="AG840" t="str">
        <f t="shared" si="13"/>
        <v>35-44</v>
      </c>
    </row>
    <row r="841" spans="1:33" x14ac:dyDescent="0.25">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c r="AG841" t="str">
        <f t="shared" si="13"/>
        <v>35-44</v>
      </c>
    </row>
    <row r="842" spans="1:33" x14ac:dyDescent="0.25">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c r="AG842" t="str">
        <f t="shared" si="13"/>
        <v>35-44</v>
      </c>
    </row>
    <row r="843" spans="1:33" x14ac:dyDescent="0.25">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c r="AG843" t="str">
        <f t="shared" si="13"/>
        <v>18-34</v>
      </c>
    </row>
    <row r="844" spans="1:33" x14ac:dyDescent="0.25">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c r="AG844" t="str">
        <f t="shared" si="13"/>
        <v>18-34</v>
      </c>
    </row>
    <row r="845" spans="1:33" x14ac:dyDescent="0.25">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c r="AG845" t="str">
        <f t="shared" si="13"/>
        <v>18-34</v>
      </c>
    </row>
    <row r="846" spans="1:33" x14ac:dyDescent="0.25">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c r="AG846" t="str">
        <f t="shared" si="13"/>
        <v>18-34</v>
      </c>
    </row>
    <row r="847" spans="1:33" x14ac:dyDescent="0.25">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c r="AG847" t="str">
        <f t="shared" si="13"/>
        <v>35-44</v>
      </c>
    </row>
    <row r="848" spans="1:33" x14ac:dyDescent="0.25">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c r="AG848" t="str">
        <f t="shared" si="13"/>
        <v>35-44</v>
      </c>
    </row>
    <row r="849" spans="1:33" x14ac:dyDescent="0.25">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c r="AG849" t="str">
        <f t="shared" si="13"/>
        <v>18-34</v>
      </c>
    </row>
    <row r="850" spans="1:33" x14ac:dyDescent="0.25">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c r="AG850" t="str">
        <f t="shared" si="13"/>
        <v>35-44</v>
      </c>
    </row>
    <row r="851" spans="1:33" x14ac:dyDescent="0.25">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c r="AG851" t="str">
        <f t="shared" si="13"/>
        <v>35-44</v>
      </c>
    </row>
    <row r="852" spans="1:33" x14ac:dyDescent="0.25">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c r="AG852" t="str">
        <f t="shared" si="13"/>
        <v>18-34</v>
      </c>
    </row>
    <row r="853" spans="1:33" x14ac:dyDescent="0.25">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c r="AG853" t="str">
        <f t="shared" si="13"/>
        <v>55+</v>
      </c>
    </row>
    <row r="854" spans="1:33" x14ac:dyDescent="0.25">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c r="AG854" t="str">
        <f t="shared" si="13"/>
        <v>18-34</v>
      </c>
    </row>
    <row r="855" spans="1:33" x14ac:dyDescent="0.25">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c r="AG855" t="str">
        <f t="shared" si="13"/>
        <v>18-34</v>
      </c>
    </row>
    <row r="856" spans="1:33" x14ac:dyDescent="0.25">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c r="AG856" t="str">
        <f t="shared" si="13"/>
        <v>45-54</v>
      </c>
    </row>
    <row r="857" spans="1:33" x14ac:dyDescent="0.25">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c r="AG857" t="str">
        <f t="shared" si="13"/>
        <v>35-44</v>
      </c>
    </row>
    <row r="858" spans="1:33" x14ac:dyDescent="0.25">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c r="AG858" t="str">
        <f t="shared" si="13"/>
        <v>18-34</v>
      </c>
    </row>
    <row r="859" spans="1:33" x14ac:dyDescent="0.25">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c r="AG859" t="str">
        <f t="shared" si="13"/>
        <v>35-44</v>
      </c>
    </row>
    <row r="860" spans="1:33" x14ac:dyDescent="0.25">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c r="AG860" t="str">
        <f t="shared" si="13"/>
        <v>45-54</v>
      </c>
    </row>
    <row r="861" spans="1:33" x14ac:dyDescent="0.25">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c r="AG861" t="str">
        <f t="shared" si="13"/>
        <v>18-34</v>
      </c>
    </row>
    <row r="862" spans="1:33" x14ac:dyDescent="0.25">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c r="AG862" t="str">
        <f t="shared" si="13"/>
        <v>18-34</v>
      </c>
    </row>
    <row r="863" spans="1:33" x14ac:dyDescent="0.25">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c r="AG863" t="str">
        <f t="shared" si="13"/>
        <v>45-54</v>
      </c>
    </row>
    <row r="864" spans="1:33" x14ac:dyDescent="0.25">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c r="AG864" t="str">
        <f t="shared" si="13"/>
        <v>35-44</v>
      </c>
    </row>
    <row r="865" spans="1:33" x14ac:dyDescent="0.25">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c r="AG865" t="str">
        <f t="shared" si="13"/>
        <v>18-34</v>
      </c>
    </row>
    <row r="866" spans="1:33" x14ac:dyDescent="0.25">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c r="AG866" t="str">
        <f t="shared" si="13"/>
        <v>35-44</v>
      </c>
    </row>
    <row r="867" spans="1:33" x14ac:dyDescent="0.25">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c r="AG867" t="str">
        <f t="shared" si="13"/>
        <v>18-34</v>
      </c>
    </row>
    <row r="868" spans="1:33" x14ac:dyDescent="0.25">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c r="AG868" t="str">
        <f t="shared" si="13"/>
        <v>35-44</v>
      </c>
    </row>
    <row r="869" spans="1:33" x14ac:dyDescent="0.25">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c r="AG869" t="str">
        <f t="shared" si="13"/>
        <v>45-54</v>
      </c>
    </row>
    <row r="870" spans="1:33" x14ac:dyDescent="0.25">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c r="AG870" t="str">
        <f t="shared" si="13"/>
        <v>18-34</v>
      </c>
    </row>
    <row r="871" spans="1:33" x14ac:dyDescent="0.25">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c r="AG871" t="str">
        <f t="shared" si="13"/>
        <v>45-54</v>
      </c>
    </row>
    <row r="872" spans="1:33" x14ac:dyDescent="0.25">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c r="AG872" t="str">
        <f t="shared" si="13"/>
        <v>35-44</v>
      </c>
    </row>
    <row r="873" spans="1:33" x14ac:dyDescent="0.25">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c r="AG873" t="str">
        <f t="shared" si="13"/>
        <v>18-34</v>
      </c>
    </row>
    <row r="874" spans="1:33" x14ac:dyDescent="0.25">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c r="AG874" t="str">
        <f t="shared" si="13"/>
        <v>18-34</v>
      </c>
    </row>
    <row r="875" spans="1:33" x14ac:dyDescent="0.25">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c r="AG875" t="str">
        <f t="shared" si="13"/>
        <v>35-44</v>
      </c>
    </row>
    <row r="876" spans="1:33" x14ac:dyDescent="0.25">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c r="AG876" t="str">
        <f t="shared" si="13"/>
        <v>18-34</v>
      </c>
    </row>
    <row r="877" spans="1:33" x14ac:dyDescent="0.25">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c r="AG877" t="str">
        <f t="shared" si="13"/>
        <v>35-44</v>
      </c>
    </row>
    <row r="878" spans="1:33" x14ac:dyDescent="0.25">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c r="AG878" t="str">
        <f t="shared" si="13"/>
        <v>18-34</v>
      </c>
    </row>
    <row r="879" spans="1:33" x14ac:dyDescent="0.25">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c r="AG879" t="str">
        <f t="shared" si="13"/>
        <v>45-54</v>
      </c>
    </row>
    <row r="880" spans="1:33" x14ac:dyDescent="0.25">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c r="AG880" t="str">
        <f t="shared" si="13"/>
        <v>35-44</v>
      </c>
    </row>
    <row r="881" spans="1:33" x14ac:dyDescent="0.25">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c r="AG881" t="str">
        <f t="shared" si="13"/>
        <v>55+</v>
      </c>
    </row>
    <row r="882" spans="1:33" x14ac:dyDescent="0.25">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c r="AG882" t="str">
        <f t="shared" si="13"/>
        <v>18-34</v>
      </c>
    </row>
    <row r="883" spans="1:33" x14ac:dyDescent="0.25">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c r="AG883" t="str">
        <f t="shared" si="13"/>
        <v>18-34</v>
      </c>
    </row>
    <row r="884" spans="1:33" x14ac:dyDescent="0.25">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c r="AG884" t="str">
        <f t="shared" si="13"/>
        <v>35-44</v>
      </c>
    </row>
    <row r="885" spans="1:33" x14ac:dyDescent="0.25">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c r="AG885" t="str">
        <f t="shared" si="13"/>
        <v>18-34</v>
      </c>
    </row>
    <row r="886" spans="1:33" x14ac:dyDescent="0.25">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c r="AG886" t="str">
        <f t="shared" si="13"/>
        <v>35-44</v>
      </c>
    </row>
    <row r="887" spans="1:33" x14ac:dyDescent="0.25">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c r="AG887" t="str">
        <f t="shared" si="13"/>
        <v>18-34</v>
      </c>
    </row>
    <row r="888" spans="1:33" x14ac:dyDescent="0.25">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c r="AG888" t="str">
        <f t="shared" si="13"/>
        <v>18-34</v>
      </c>
    </row>
    <row r="889" spans="1:33" x14ac:dyDescent="0.25">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c r="AG889" t="str">
        <f t="shared" si="13"/>
        <v>35-44</v>
      </c>
    </row>
    <row r="890" spans="1:33" x14ac:dyDescent="0.25">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c r="AG890" t="str">
        <f t="shared" si="13"/>
        <v>35-44</v>
      </c>
    </row>
    <row r="891" spans="1:33" x14ac:dyDescent="0.25">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c r="AG891" t="str">
        <f t="shared" si="13"/>
        <v>18-34</v>
      </c>
    </row>
    <row r="892" spans="1:33" x14ac:dyDescent="0.25">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c r="AG892" t="str">
        <f t="shared" si="13"/>
        <v>45-54</v>
      </c>
    </row>
    <row r="893" spans="1:33" x14ac:dyDescent="0.25">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c r="AG893" t="str">
        <f t="shared" si="13"/>
        <v>35-44</v>
      </c>
    </row>
    <row r="894" spans="1:33" x14ac:dyDescent="0.25">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c r="AG894" t="str">
        <f t="shared" si="13"/>
        <v>18-34</v>
      </c>
    </row>
    <row r="895" spans="1:33" x14ac:dyDescent="0.25">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c r="AG895" t="str">
        <f t="shared" si="13"/>
        <v>18-34</v>
      </c>
    </row>
    <row r="896" spans="1:33" x14ac:dyDescent="0.25">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c r="AG896" t="str">
        <f t="shared" si="13"/>
        <v>45-54</v>
      </c>
    </row>
    <row r="897" spans="1:33" x14ac:dyDescent="0.25">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c r="AG897" t="str">
        <f t="shared" si="13"/>
        <v>18-34</v>
      </c>
    </row>
    <row r="898" spans="1:33" x14ac:dyDescent="0.25">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c r="AG898" t="str">
        <f t="shared" ref="AG898:AG961" si="14">IF(A898&lt;18, "under 18", IF(A898&lt;35, "18-34", IF(A898&lt;45, "35-44", IF(A898&lt;55, "45-54", "55+"))))</f>
        <v>18-34</v>
      </c>
    </row>
    <row r="899" spans="1:33" x14ac:dyDescent="0.25">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c r="AG899" t="str">
        <f t="shared" si="14"/>
        <v>55+</v>
      </c>
    </row>
    <row r="900" spans="1:33" x14ac:dyDescent="0.25">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c r="AG900" t="str">
        <f t="shared" si="14"/>
        <v>35-44</v>
      </c>
    </row>
    <row r="901" spans="1:33" x14ac:dyDescent="0.25">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c r="AG901" t="str">
        <f t="shared" si="14"/>
        <v>45-54</v>
      </c>
    </row>
    <row r="902" spans="1:33" x14ac:dyDescent="0.25">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c r="AG902" t="str">
        <f t="shared" si="14"/>
        <v>35-44</v>
      </c>
    </row>
    <row r="903" spans="1:33" x14ac:dyDescent="0.25">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c r="AG903" t="str">
        <f t="shared" si="14"/>
        <v>45-54</v>
      </c>
    </row>
    <row r="904" spans="1:33" x14ac:dyDescent="0.25">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c r="AG904" t="str">
        <f t="shared" si="14"/>
        <v>18-34</v>
      </c>
    </row>
    <row r="905" spans="1:33" x14ac:dyDescent="0.25">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c r="AG905" t="str">
        <f t="shared" si="14"/>
        <v>18-34</v>
      </c>
    </row>
    <row r="906" spans="1:33" x14ac:dyDescent="0.25">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c r="AG906" t="str">
        <f t="shared" si="14"/>
        <v>45-54</v>
      </c>
    </row>
    <row r="907" spans="1:33" x14ac:dyDescent="0.25">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c r="AG907" t="str">
        <f t="shared" si="14"/>
        <v>18-34</v>
      </c>
    </row>
    <row r="908" spans="1:33" x14ac:dyDescent="0.25">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c r="AG908" t="str">
        <f t="shared" si="14"/>
        <v>18-34</v>
      </c>
    </row>
    <row r="909" spans="1:33" x14ac:dyDescent="0.25">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c r="AG909" t="str">
        <f t="shared" si="14"/>
        <v>35-44</v>
      </c>
    </row>
    <row r="910" spans="1:33" x14ac:dyDescent="0.25">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c r="AG910" t="str">
        <f t="shared" si="14"/>
        <v>18-34</v>
      </c>
    </row>
    <row r="911" spans="1:33" x14ac:dyDescent="0.25">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c r="AG911" t="str">
        <f t="shared" si="14"/>
        <v>18-34</v>
      </c>
    </row>
    <row r="912" spans="1:33" x14ac:dyDescent="0.25">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c r="AG912" t="str">
        <f t="shared" si="14"/>
        <v>18-34</v>
      </c>
    </row>
    <row r="913" spans="1:33" x14ac:dyDescent="0.25">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c r="AG913" t="str">
        <f t="shared" si="14"/>
        <v>18-34</v>
      </c>
    </row>
    <row r="914" spans="1:33" x14ac:dyDescent="0.25">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c r="AG914" t="str">
        <f t="shared" si="14"/>
        <v>18-34</v>
      </c>
    </row>
    <row r="915" spans="1:33" x14ac:dyDescent="0.25">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c r="AG915" t="str">
        <f t="shared" si="14"/>
        <v>45-54</v>
      </c>
    </row>
    <row r="916" spans="1:33" x14ac:dyDescent="0.25">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c r="AG916" t="str">
        <f t="shared" si="14"/>
        <v>55+</v>
      </c>
    </row>
    <row r="917" spans="1:33" x14ac:dyDescent="0.25">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c r="AG917" t="str">
        <f t="shared" si="14"/>
        <v>18-34</v>
      </c>
    </row>
    <row r="918" spans="1:33" x14ac:dyDescent="0.25">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c r="AG918" t="str">
        <f t="shared" si="14"/>
        <v>45-54</v>
      </c>
    </row>
    <row r="919" spans="1:33" x14ac:dyDescent="0.25">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c r="AG919" t="str">
        <f t="shared" si="14"/>
        <v>18-34</v>
      </c>
    </row>
    <row r="920" spans="1:33" x14ac:dyDescent="0.25">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c r="AG920" t="str">
        <f t="shared" si="14"/>
        <v>45-54</v>
      </c>
    </row>
    <row r="921" spans="1:33" x14ac:dyDescent="0.25">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c r="AG921" t="str">
        <f t="shared" si="14"/>
        <v>55+</v>
      </c>
    </row>
    <row r="922" spans="1:33" x14ac:dyDescent="0.25">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c r="AG922" t="str">
        <f t="shared" si="14"/>
        <v>18-34</v>
      </c>
    </row>
    <row r="923" spans="1:33" x14ac:dyDescent="0.25">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c r="AG923" t="str">
        <f t="shared" si="14"/>
        <v>18-34</v>
      </c>
    </row>
    <row r="924" spans="1:33" x14ac:dyDescent="0.25">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c r="AG924" t="str">
        <f t="shared" si="14"/>
        <v>35-44</v>
      </c>
    </row>
    <row r="925" spans="1:33" x14ac:dyDescent="0.25">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c r="AG925" t="str">
        <f t="shared" si="14"/>
        <v>18-34</v>
      </c>
    </row>
    <row r="926" spans="1:33" x14ac:dyDescent="0.25">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c r="AG926" t="str">
        <f t="shared" si="14"/>
        <v>35-44</v>
      </c>
    </row>
    <row r="927" spans="1:33" x14ac:dyDescent="0.25">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c r="AG927" t="str">
        <f t="shared" si="14"/>
        <v>35-44</v>
      </c>
    </row>
    <row r="928" spans="1:33" x14ac:dyDescent="0.25">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c r="AG928" t="str">
        <f t="shared" si="14"/>
        <v>35-44</v>
      </c>
    </row>
    <row r="929" spans="1:33" x14ac:dyDescent="0.25">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c r="AG929" t="str">
        <f t="shared" si="14"/>
        <v>35-44</v>
      </c>
    </row>
    <row r="930" spans="1:33" x14ac:dyDescent="0.25">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c r="AG930" t="str">
        <f t="shared" si="14"/>
        <v>35-44</v>
      </c>
    </row>
    <row r="931" spans="1:33" x14ac:dyDescent="0.25">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c r="AG931" t="str">
        <f t="shared" si="14"/>
        <v>18-34</v>
      </c>
    </row>
    <row r="932" spans="1:33" x14ac:dyDescent="0.25">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c r="AG932" t="str">
        <f t="shared" si="14"/>
        <v>45-54</v>
      </c>
    </row>
    <row r="933" spans="1:33" x14ac:dyDescent="0.25">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c r="AG933" t="str">
        <f t="shared" si="14"/>
        <v>18-34</v>
      </c>
    </row>
    <row r="934" spans="1:33" x14ac:dyDescent="0.25">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c r="AG934" t="str">
        <f t="shared" si="14"/>
        <v>18-34</v>
      </c>
    </row>
    <row r="935" spans="1:33" x14ac:dyDescent="0.25">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c r="AG935" t="str">
        <f t="shared" si="14"/>
        <v>18-34</v>
      </c>
    </row>
    <row r="936" spans="1:33" x14ac:dyDescent="0.25">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c r="AG936" t="str">
        <f t="shared" si="14"/>
        <v>18-34</v>
      </c>
    </row>
    <row r="937" spans="1:33" x14ac:dyDescent="0.25">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c r="AG937" t="str">
        <f t="shared" si="14"/>
        <v>18-34</v>
      </c>
    </row>
    <row r="938" spans="1:33" x14ac:dyDescent="0.25">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c r="AG938" t="str">
        <f t="shared" si="14"/>
        <v>45-54</v>
      </c>
    </row>
    <row r="939" spans="1:33" x14ac:dyDescent="0.25">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c r="AG939" t="str">
        <f t="shared" si="14"/>
        <v>35-44</v>
      </c>
    </row>
    <row r="940" spans="1:33" x14ac:dyDescent="0.25">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c r="AG940" t="str">
        <f t="shared" si="14"/>
        <v>55+</v>
      </c>
    </row>
    <row r="941" spans="1:33" x14ac:dyDescent="0.25">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c r="AG941" t="str">
        <f t="shared" si="14"/>
        <v>18-34</v>
      </c>
    </row>
    <row r="942" spans="1:33" x14ac:dyDescent="0.25">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c r="AG942" t="str">
        <f t="shared" si="14"/>
        <v>35-44</v>
      </c>
    </row>
    <row r="943" spans="1:33" x14ac:dyDescent="0.25">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c r="AG943" t="str">
        <f t="shared" si="14"/>
        <v>18-34</v>
      </c>
    </row>
    <row r="944" spans="1:33" x14ac:dyDescent="0.25">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c r="AG944" t="str">
        <f t="shared" si="14"/>
        <v>35-44</v>
      </c>
    </row>
    <row r="945" spans="1:33" x14ac:dyDescent="0.25">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c r="AG945" t="str">
        <f t="shared" si="14"/>
        <v>45-54</v>
      </c>
    </row>
    <row r="946" spans="1:33" x14ac:dyDescent="0.25">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c r="AG946" t="str">
        <f t="shared" si="14"/>
        <v>18-34</v>
      </c>
    </row>
    <row r="947" spans="1:33" x14ac:dyDescent="0.25">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c r="AG947" t="str">
        <f t="shared" si="14"/>
        <v>45-54</v>
      </c>
    </row>
    <row r="948" spans="1:33" x14ac:dyDescent="0.25">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c r="AG948" t="str">
        <f t="shared" si="14"/>
        <v>35-44</v>
      </c>
    </row>
    <row r="949" spans="1:33" x14ac:dyDescent="0.25">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c r="AG949" t="str">
        <f t="shared" si="14"/>
        <v>45-54</v>
      </c>
    </row>
    <row r="950" spans="1:33" x14ac:dyDescent="0.25">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c r="AG950" t="str">
        <f t="shared" si="14"/>
        <v>18-34</v>
      </c>
    </row>
    <row r="951" spans="1:33" x14ac:dyDescent="0.25">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c r="AG951" t="str">
        <f t="shared" si="14"/>
        <v>35-44</v>
      </c>
    </row>
    <row r="952" spans="1:33" x14ac:dyDescent="0.25">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c r="AG952" t="str">
        <f t="shared" si="14"/>
        <v>18-34</v>
      </c>
    </row>
    <row r="953" spans="1:33" x14ac:dyDescent="0.25">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c r="AG953" t="str">
        <f t="shared" si="14"/>
        <v>35-44</v>
      </c>
    </row>
    <row r="954" spans="1:33" x14ac:dyDescent="0.25">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c r="AG954" t="str">
        <f t="shared" si="14"/>
        <v>18-34</v>
      </c>
    </row>
    <row r="955" spans="1:33" x14ac:dyDescent="0.25">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c r="AG955" t="str">
        <f t="shared" si="14"/>
        <v>35-44</v>
      </c>
    </row>
    <row r="956" spans="1:33" x14ac:dyDescent="0.25">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c r="AG956" t="str">
        <f t="shared" si="14"/>
        <v>35-44</v>
      </c>
    </row>
    <row r="957" spans="1:33" x14ac:dyDescent="0.25">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c r="AG957" t="str">
        <f t="shared" si="14"/>
        <v>55+</v>
      </c>
    </row>
    <row r="958" spans="1:33" x14ac:dyDescent="0.25">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c r="AG958" t="str">
        <f t="shared" si="14"/>
        <v>55+</v>
      </c>
    </row>
    <row r="959" spans="1:33" x14ac:dyDescent="0.25">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c r="AG959" t="str">
        <f t="shared" si="14"/>
        <v>35-44</v>
      </c>
    </row>
    <row r="960" spans="1:33" x14ac:dyDescent="0.25">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c r="AG960" t="str">
        <f t="shared" si="14"/>
        <v>18-34</v>
      </c>
    </row>
    <row r="961" spans="1:33" x14ac:dyDescent="0.25">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c r="AG961" t="str">
        <f t="shared" si="14"/>
        <v>35-44</v>
      </c>
    </row>
    <row r="962" spans="1:33" x14ac:dyDescent="0.25">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c r="AG962" t="str">
        <f t="shared" ref="AG962:AG1025" si="15">IF(A962&lt;18, "under 18", IF(A962&lt;35, "18-34", IF(A962&lt;45, "35-44", IF(A962&lt;55, "45-54", "55+"))))</f>
        <v>35-44</v>
      </c>
    </row>
    <row r="963" spans="1:33" x14ac:dyDescent="0.25">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c r="AG963" t="str">
        <f t="shared" si="15"/>
        <v>35-44</v>
      </c>
    </row>
    <row r="964" spans="1:33" x14ac:dyDescent="0.25">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c r="AG964" t="str">
        <f t="shared" si="15"/>
        <v>45-54</v>
      </c>
    </row>
    <row r="965" spans="1:33" x14ac:dyDescent="0.25">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c r="AG965" t="str">
        <f t="shared" si="15"/>
        <v>35-44</v>
      </c>
    </row>
    <row r="966" spans="1:33" x14ac:dyDescent="0.25">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c r="AG966" t="str">
        <f t="shared" si="15"/>
        <v>18-34</v>
      </c>
    </row>
    <row r="967" spans="1:33" x14ac:dyDescent="0.25">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c r="AG967" t="str">
        <f t="shared" si="15"/>
        <v>18-34</v>
      </c>
    </row>
    <row r="968" spans="1:33" x14ac:dyDescent="0.25">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c r="AG968" t="str">
        <f t="shared" si="15"/>
        <v>55+</v>
      </c>
    </row>
    <row r="969" spans="1:33" x14ac:dyDescent="0.25">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c r="AG969" t="str">
        <f t="shared" si="15"/>
        <v>35-44</v>
      </c>
    </row>
    <row r="970" spans="1:33" x14ac:dyDescent="0.25">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c r="AG970" t="str">
        <f t="shared" si="15"/>
        <v>35-44</v>
      </c>
    </row>
    <row r="971" spans="1:33" x14ac:dyDescent="0.25">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c r="AG971" t="str">
        <f t="shared" si="15"/>
        <v>45-54</v>
      </c>
    </row>
    <row r="972" spans="1:33" x14ac:dyDescent="0.25">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c r="AG972" t="str">
        <f t="shared" si="15"/>
        <v>18-34</v>
      </c>
    </row>
    <row r="973" spans="1:33" x14ac:dyDescent="0.25">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c r="AG973" t="str">
        <f t="shared" si="15"/>
        <v>45-54</v>
      </c>
    </row>
    <row r="974" spans="1:33" x14ac:dyDescent="0.25">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c r="AG974" t="str">
        <f t="shared" si="15"/>
        <v>18-34</v>
      </c>
    </row>
    <row r="975" spans="1:33" x14ac:dyDescent="0.25">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c r="AG975" t="str">
        <f t="shared" si="15"/>
        <v>35-44</v>
      </c>
    </row>
    <row r="976" spans="1:33" x14ac:dyDescent="0.25">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c r="AG976" t="str">
        <f t="shared" si="15"/>
        <v>18-34</v>
      </c>
    </row>
    <row r="977" spans="1:33" x14ac:dyDescent="0.25">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c r="AG977" t="str">
        <f t="shared" si="15"/>
        <v>55+</v>
      </c>
    </row>
    <row r="978" spans="1:33" x14ac:dyDescent="0.25">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c r="AG978" t="str">
        <f t="shared" si="15"/>
        <v>55+</v>
      </c>
    </row>
    <row r="979" spans="1:33" x14ac:dyDescent="0.25">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c r="AG979" t="str">
        <f t="shared" si="15"/>
        <v>18-34</v>
      </c>
    </row>
    <row r="980" spans="1:33" x14ac:dyDescent="0.25">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c r="AG980" t="str">
        <f t="shared" si="15"/>
        <v>35-44</v>
      </c>
    </row>
    <row r="981" spans="1:33" x14ac:dyDescent="0.25">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c r="AG981" t="str">
        <f t="shared" si="15"/>
        <v>18-34</v>
      </c>
    </row>
    <row r="982" spans="1:33" x14ac:dyDescent="0.25">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c r="AG982" t="str">
        <f t="shared" si="15"/>
        <v>18-34</v>
      </c>
    </row>
    <row r="983" spans="1:33" x14ac:dyDescent="0.25">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c r="AG983" t="str">
        <f t="shared" si="15"/>
        <v>35-44</v>
      </c>
    </row>
    <row r="984" spans="1:33" x14ac:dyDescent="0.25">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c r="AG984" t="str">
        <f t="shared" si="15"/>
        <v>35-44</v>
      </c>
    </row>
    <row r="985" spans="1:33" x14ac:dyDescent="0.25">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c r="AG985" t="str">
        <f t="shared" si="15"/>
        <v>18-34</v>
      </c>
    </row>
    <row r="986" spans="1:33" x14ac:dyDescent="0.25">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c r="AG986" t="str">
        <f t="shared" si="15"/>
        <v>18-34</v>
      </c>
    </row>
    <row r="987" spans="1:33" x14ac:dyDescent="0.25">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c r="AG987" t="str">
        <f t="shared" si="15"/>
        <v>18-34</v>
      </c>
    </row>
    <row r="988" spans="1:33" x14ac:dyDescent="0.25">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c r="AG988" t="str">
        <f t="shared" si="15"/>
        <v>35-44</v>
      </c>
    </row>
    <row r="989" spans="1:33" x14ac:dyDescent="0.25">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c r="AG989" t="str">
        <f t="shared" si="15"/>
        <v>45-54</v>
      </c>
    </row>
    <row r="990" spans="1:33" x14ac:dyDescent="0.25">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c r="AG990" t="str">
        <f t="shared" si="15"/>
        <v>35-44</v>
      </c>
    </row>
    <row r="991" spans="1:33" x14ac:dyDescent="0.25">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c r="AG991" t="str">
        <f t="shared" si="15"/>
        <v>35-44</v>
      </c>
    </row>
    <row r="992" spans="1:33" x14ac:dyDescent="0.25">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c r="AG992" t="str">
        <f t="shared" si="15"/>
        <v>18-34</v>
      </c>
    </row>
    <row r="993" spans="1:33" x14ac:dyDescent="0.25">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c r="AG993" t="str">
        <f t="shared" si="15"/>
        <v>18-34</v>
      </c>
    </row>
    <row r="994" spans="1:33" x14ac:dyDescent="0.25">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c r="AG994" t="str">
        <f t="shared" si="15"/>
        <v>35-44</v>
      </c>
    </row>
    <row r="995" spans="1:33" x14ac:dyDescent="0.25">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c r="AG995" t="str">
        <f t="shared" si="15"/>
        <v>18-34</v>
      </c>
    </row>
    <row r="996" spans="1:33" x14ac:dyDescent="0.25">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c r="AG996" t="str">
        <f t="shared" si="15"/>
        <v>45-54</v>
      </c>
    </row>
    <row r="997" spans="1:33" x14ac:dyDescent="0.25">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c r="AG997" t="str">
        <f t="shared" si="15"/>
        <v>35-44</v>
      </c>
    </row>
    <row r="998" spans="1:33" x14ac:dyDescent="0.25">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c r="AG998" t="str">
        <f t="shared" si="15"/>
        <v>18-34</v>
      </c>
    </row>
    <row r="999" spans="1:33" x14ac:dyDescent="0.25">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c r="AG999" t="str">
        <f t="shared" si="15"/>
        <v>18-34</v>
      </c>
    </row>
    <row r="1000" spans="1:33" x14ac:dyDescent="0.25">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c r="AG1000" t="str">
        <f t="shared" si="15"/>
        <v>18-34</v>
      </c>
    </row>
    <row r="1001" spans="1:33" x14ac:dyDescent="0.25">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c r="AG1001" t="str">
        <f t="shared" si="15"/>
        <v>35-44</v>
      </c>
    </row>
    <row r="1002" spans="1:33" x14ac:dyDescent="0.25">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c r="AG1002" t="str">
        <f t="shared" si="15"/>
        <v>45-54</v>
      </c>
    </row>
    <row r="1003" spans="1:33" x14ac:dyDescent="0.25">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c r="AG1003" t="str">
        <f t="shared" si="15"/>
        <v>35-44</v>
      </c>
    </row>
    <row r="1004" spans="1:33" x14ac:dyDescent="0.25">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c r="AG1004" t="str">
        <f t="shared" si="15"/>
        <v>35-44</v>
      </c>
    </row>
    <row r="1005" spans="1:33" x14ac:dyDescent="0.25">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c r="AG1005" t="str">
        <f t="shared" si="15"/>
        <v>18-34</v>
      </c>
    </row>
    <row r="1006" spans="1:33" x14ac:dyDescent="0.25">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c r="AG1006" t="str">
        <f t="shared" si="15"/>
        <v>18-34</v>
      </c>
    </row>
    <row r="1007" spans="1:33" x14ac:dyDescent="0.25">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c r="AG1007" t="str">
        <f t="shared" si="15"/>
        <v>18-34</v>
      </c>
    </row>
    <row r="1008" spans="1:33" x14ac:dyDescent="0.25">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c r="AG1008" t="str">
        <f t="shared" si="15"/>
        <v>45-54</v>
      </c>
    </row>
    <row r="1009" spans="1:33" x14ac:dyDescent="0.25">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c r="AG1009" t="str">
        <f t="shared" si="15"/>
        <v>18-34</v>
      </c>
    </row>
    <row r="1010" spans="1:33" x14ac:dyDescent="0.25">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c r="AG1010" t="str">
        <f t="shared" si="15"/>
        <v>45-54</v>
      </c>
    </row>
    <row r="1011" spans="1:33" x14ac:dyDescent="0.25">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c r="AG1011" t="str">
        <f t="shared" si="15"/>
        <v>55+</v>
      </c>
    </row>
    <row r="1012" spans="1:33" x14ac:dyDescent="0.25">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c r="AG1012" t="str">
        <f t="shared" si="15"/>
        <v>55+</v>
      </c>
    </row>
    <row r="1013" spans="1:33" x14ac:dyDescent="0.25">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c r="AG1013" t="str">
        <f t="shared" si="15"/>
        <v>35-44</v>
      </c>
    </row>
    <row r="1014" spans="1:33" x14ac:dyDescent="0.25">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c r="AG1014" t="str">
        <f t="shared" si="15"/>
        <v>18-34</v>
      </c>
    </row>
    <row r="1015" spans="1:33" x14ac:dyDescent="0.25">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c r="AG1015" t="str">
        <f t="shared" si="15"/>
        <v>18-34</v>
      </c>
    </row>
    <row r="1016" spans="1:33" x14ac:dyDescent="0.25">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c r="AG1016" t="str">
        <f t="shared" si="15"/>
        <v>18-34</v>
      </c>
    </row>
    <row r="1017" spans="1:33" x14ac:dyDescent="0.25">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c r="AG1017" t="str">
        <f t="shared" si="15"/>
        <v>18-34</v>
      </c>
    </row>
    <row r="1018" spans="1:33" x14ac:dyDescent="0.25">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c r="AG1018" t="str">
        <f t="shared" si="15"/>
        <v>18-34</v>
      </c>
    </row>
    <row r="1019" spans="1:33" x14ac:dyDescent="0.25">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c r="AG1019" t="str">
        <f t="shared" si="15"/>
        <v>18-34</v>
      </c>
    </row>
    <row r="1020" spans="1:33" x14ac:dyDescent="0.25">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c r="AG1020" t="str">
        <f t="shared" si="15"/>
        <v>35-44</v>
      </c>
    </row>
    <row r="1021" spans="1:33" x14ac:dyDescent="0.25">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c r="AG1021" t="str">
        <f t="shared" si="15"/>
        <v>35-44</v>
      </c>
    </row>
    <row r="1022" spans="1:33" x14ac:dyDescent="0.25">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c r="AG1022" t="str">
        <f t="shared" si="15"/>
        <v>45-54</v>
      </c>
    </row>
    <row r="1023" spans="1:33" x14ac:dyDescent="0.25">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c r="AG1023" t="str">
        <f t="shared" si="15"/>
        <v>18-34</v>
      </c>
    </row>
    <row r="1024" spans="1:33" x14ac:dyDescent="0.25">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c r="AG1024" t="str">
        <f t="shared" si="15"/>
        <v>35-44</v>
      </c>
    </row>
    <row r="1025" spans="1:33" x14ac:dyDescent="0.25">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c r="AG1025" t="str">
        <f t="shared" si="15"/>
        <v>55+</v>
      </c>
    </row>
    <row r="1026" spans="1:33" x14ac:dyDescent="0.25">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c r="AG1026" t="str">
        <f t="shared" ref="AG1026:AG1089" si="16">IF(A1026&lt;18, "under 18", IF(A1026&lt;35, "18-34", IF(A1026&lt;45, "35-44", IF(A1026&lt;55, "45-54", "55+"))))</f>
        <v>45-54</v>
      </c>
    </row>
    <row r="1027" spans="1:33" x14ac:dyDescent="0.25">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c r="AG1027" t="str">
        <f t="shared" si="16"/>
        <v>18-34</v>
      </c>
    </row>
    <row r="1028" spans="1:33" x14ac:dyDescent="0.25">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c r="AG1028" t="str">
        <f t="shared" si="16"/>
        <v>18-34</v>
      </c>
    </row>
    <row r="1029" spans="1:33" x14ac:dyDescent="0.25">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c r="AG1029" t="str">
        <f t="shared" si="16"/>
        <v>18-34</v>
      </c>
    </row>
    <row r="1030" spans="1:33" x14ac:dyDescent="0.25">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c r="AG1030" t="str">
        <f t="shared" si="16"/>
        <v>35-44</v>
      </c>
    </row>
    <row r="1031" spans="1:33" x14ac:dyDescent="0.25">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c r="AG1031" t="str">
        <f t="shared" si="16"/>
        <v>35-44</v>
      </c>
    </row>
    <row r="1032" spans="1:33" x14ac:dyDescent="0.25">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c r="AG1032" t="str">
        <f t="shared" si="16"/>
        <v>18-34</v>
      </c>
    </row>
    <row r="1033" spans="1:33" x14ac:dyDescent="0.25">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c r="AG1033" t="str">
        <f t="shared" si="16"/>
        <v>45-54</v>
      </c>
    </row>
    <row r="1034" spans="1:33" x14ac:dyDescent="0.25">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c r="AG1034" t="str">
        <f t="shared" si="16"/>
        <v>35-44</v>
      </c>
    </row>
    <row r="1035" spans="1:33" x14ac:dyDescent="0.25">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c r="AG1035" t="str">
        <f t="shared" si="16"/>
        <v>18-34</v>
      </c>
    </row>
    <row r="1036" spans="1:33" x14ac:dyDescent="0.25">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c r="AG1036" t="str">
        <f t="shared" si="16"/>
        <v>45-54</v>
      </c>
    </row>
    <row r="1037" spans="1:33" x14ac:dyDescent="0.25">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c r="AG1037" t="str">
        <f t="shared" si="16"/>
        <v>18-34</v>
      </c>
    </row>
    <row r="1038" spans="1:33" x14ac:dyDescent="0.25">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c r="AG1038" t="str">
        <f t="shared" si="16"/>
        <v>18-34</v>
      </c>
    </row>
    <row r="1039" spans="1:33" x14ac:dyDescent="0.25">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c r="AG1039" t="str">
        <f t="shared" si="16"/>
        <v>45-54</v>
      </c>
    </row>
    <row r="1040" spans="1:33" x14ac:dyDescent="0.25">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c r="AG1040" t="str">
        <f t="shared" si="16"/>
        <v>45-54</v>
      </c>
    </row>
    <row r="1041" spans="1:33" x14ac:dyDescent="0.25">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c r="AG1041" t="str">
        <f t="shared" si="16"/>
        <v>18-34</v>
      </c>
    </row>
    <row r="1042" spans="1:33" x14ac:dyDescent="0.25">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c r="AG1042" t="str">
        <f t="shared" si="16"/>
        <v>35-44</v>
      </c>
    </row>
    <row r="1043" spans="1:33" x14ac:dyDescent="0.25">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c r="AG1043" t="str">
        <f t="shared" si="16"/>
        <v>18-34</v>
      </c>
    </row>
    <row r="1044" spans="1:33" x14ac:dyDescent="0.25">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c r="AG1044" t="str">
        <f t="shared" si="16"/>
        <v>35-44</v>
      </c>
    </row>
    <row r="1045" spans="1:33" x14ac:dyDescent="0.25">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c r="AG1045" t="str">
        <f t="shared" si="16"/>
        <v>45-54</v>
      </c>
    </row>
    <row r="1046" spans="1:33" x14ac:dyDescent="0.25">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c r="AG1046" t="str">
        <f t="shared" si="16"/>
        <v>45-54</v>
      </c>
    </row>
    <row r="1047" spans="1:33" x14ac:dyDescent="0.25">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c r="AG1047" t="str">
        <f t="shared" si="16"/>
        <v>35-44</v>
      </c>
    </row>
    <row r="1048" spans="1:33" x14ac:dyDescent="0.25">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c r="AG1048" t="str">
        <f t="shared" si="16"/>
        <v>35-44</v>
      </c>
    </row>
    <row r="1049" spans="1:33" x14ac:dyDescent="0.25">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c r="AG1049" t="str">
        <f t="shared" si="16"/>
        <v>18-34</v>
      </c>
    </row>
    <row r="1050" spans="1:33" x14ac:dyDescent="0.25">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c r="AG1050" t="str">
        <f t="shared" si="16"/>
        <v>18-34</v>
      </c>
    </row>
    <row r="1051" spans="1:33" x14ac:dyDescent="0.25">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c r="AG1051" t="str">
        <f t="shared" si="16"/>
        <v>18-34</v>
      </c>
    </row>
    <row r="1052" spans="1:33" x14ac:dyDescent="0.25">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c r="AG1052" t="str">
        <f t="shared" si="16"/>
        <v>35-44</v>
      </c>
    </row>
    <row r="1053" spans="1:33" x14ac:dyDescent="0.25">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c r="AG1053" t="str">
        <f t="shared" si="16"/>
        <v>35-44</v>
      </c>
    </row>
    <row r="1054" spans="1:33" x14ac:dyDescent="0.25">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c r="AG1054" t="str">
        <f t="shared" si="16"/>
        <v>18-34</v>
      </c>
    </row>
    <row r="1055" spans="1:33" x14ac:dyDescent="0.25">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c r="AG1055" t="str">
        <f t="shared" si="16"/>
        <v>55+</v>
      </c>
    </row>
    <row r="1056" spans="1:33" x14ac:dyDescent="0.25">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c r="AG1056" t="str">
        <f t="shared" si="16"/>
        <v>45-54</v>
      </c>
    </row>
    <row r="1057" spans="1:33" x14ac:dyDescent="0.25">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c r="AG1057" t="str">
        <f t="shared" si="16"/>
        <v>18-34</v>
      </c>
    </row>
    <row r="1058" spans="1:33" x14ac:dyDescent="0.25">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c r="AG1058" t="str">
        <f t="shared" si="16"/>
        <v>18-34</v>
      </c>
    </row>
    <row r="1059" spans="1:33" x14ac:dyDescent="0.25">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c r="AG1059" t="str">
        <f t="shared" si="16"/>
        <v>18-34</v>
      </c>
    </row>
    <row r="1060" spans="1:33" x14ac:dyDescent="0.25">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c r="AG1060" t="str">
        <f t="shared" si="16"/>
        <v>18-34</v>
      </c>
    </row>
    <row r="1061" spans="1:33" x14ac:dyDescent="0.25">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c r="AG1061" t="str">
        <f t="shared" si="16"/>
        <v>35-44</v>
      </c>
    </row>
    <row r="1062" spans="1:33" x14ac:dyDescent="0.25">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c r="AG1062" t="str">
        <f t="shared" si="16"/>
        <v>18-34</v>
      </c>
    </row>
    <row r="1063" spans="1:33" x14ac:dyDescent="0.25">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c r="AG1063" t="str">
        <f t="shared" si="16"/>
        <v>18-34</v>
      </c>
    </row>
    <row r="1064" spans="1:33" x14ac:dyDescent="0.25">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c r="AG1064" t="str">
        <f t="shared" si="16"/>
        <v>35-44</v>
      </c>
    </row>
    <row r="1065" spans="1:33" x14ac:dyDescent="0.25">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c r="AG1065" t="str">
        <f t="shared" si="16"/>
        <v>18-34</v>
      </c>
    </row>
    <row r="1066" spans="1:33" x14ac:dyDescent="0.25">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c r="AG1066" t="str">
        <f t="shared" si="16"/>
        <v>18-34</v>
      </c>
    </row>
    <row r="1067" spans="1:33" x14ac:dyDescent="0.25">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c r="AG1067" t="str">
        <f t="shared" si="16"/>
        <v>55+</v>
      </c>
    </row>
    <row r="1068" spans="1:33" x14ac:dyDescent="0.25">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c r="AG1068" t="str">
        <f t="shared" si="16"/>
        <v>18-34</v>
      </c>
    </row>
    <row r="1069" spans="1:33" x14ac:dyDescent="0.25">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c r="AG1069" t="str">
        <f t="shared" si="16"/>
        <v>45-54</v>
      </c>
    </row>
    <row r="1070" spans="1:33" x14ac:dyDescent="0.25">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c r="AG1070" t="str">
        <f t="shared" si="16"/>
        <v>18-34</v>
      </c>
    </row>
    <row r="1071" spans="1:33" x14ac:dyDescent="0.25">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c r="AG1071" t="str">
        <f t="shared" si="16"/>
        <v>18-34</v>
      </c>
    </row>
    <row r="1072" spans="1:33" x14ac:dyDescent="0.25">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c r="AG1072" t="str">
        <f t="shared" si="16"/>
        <v>18-34</v>
      </c>
    </row>
    <row r="1073" spans="1:33" x14ac:dyDescent="0.25">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c r="AG1073" t="str">
        <f t="shared" si="16"/>
        <v>45-54</v>
      </c>
    </row>
    <row r="1074" spans="1:33" x14ac:dyDescent="0.25">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c r="AG1074" t="str">
        <f t="shared" si="16"/>
        <v>18-34</v>
      </c>
    </row>
    <row r="1075" spans="1:33" x14ac:dyDescent="0.25">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c r="AG1075" t="str">
        <f t="shared" si="16"/>
        <v>18-34</v>
      </c>
    </row>
    <row r="1076" spans="1:33" x14ac:dyDescent="0.25">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c r="AG1076" t="str">
        <f t="shared" si="16"/>
        <v>18-34</v>
      </c>
    </row>
    <row r="1077" spans="1:33" x14ac:dyDescent="0.25">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c r="AG1077" t="str">
        <f t="shared" si="16"/>
        <v>18-34</v>
      </c>
    </row>
    <row r="1078" spans="1:33" x14ac:dyDescent="0.25">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c r="AG1078" t="str">
        <f t="shared" si="16"/>
        <v>45-54</v>
      </c>
    </row>
    <row r="1079" spans="1:33" x14ac:dyDescent="0.25">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c r="AG1079" t="str">
        <f t="shared" si="16"/>
        <v>18-34</v>
      </c>
    </row>
    <row r="1080" spans="1:33" x14ac:dyDescent="0.25">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c r="AG1080" t="str">
        <f t="shared" si="16"/>
        <v>35-44</v>
      </c>
    </row>
    <row r="1081" spans="1:33" x14ac:dyDescent="0.25">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c r="AG1081" t="str">
        <f t="shared" si="16"/>
        <v>35-44</v>
      </c>
    </row>
    <row r="1082" spans="1:33" x14ac:dyDescent="0.25">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c r="AG1082" t="str">
        <f t="shared" si="16"/>
        <v>45-54</v>
      </c>
    </row>
    <row r="1083" spans="1:33" x14ac:dyDescent="0.25">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c r="AG1083" t="str">
        <f t="shared" si="16"/>
        <v>35-44</v>
      </c>
    </row>
    <row r="1084" spans="1:33" x14ac:dyDescent="0.25">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c r="AG1084" t="str">
        <f t="shared" si="16"/>
        <v>18-34</v>
      </c>
    </row>
    <row r="1085" spans="1:33" x14ac:dyDescent="0.25">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c r="AG1085" t="str">
        <f t="shared" si="16"/>
        <v>35-44</v>
      </c>
    </row>
    <row r="1086" spans="1:33" x14ac:dyDescent="0.25">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c r="AG1086" t="str">
        <f t="shared" si="16"/>
        <v>18-34</v>
      </c>
    </row>
    <row r="1087" spans="1:33" x14ac:dyDescent="0.25">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c r="AG1087" t="str">
        <f t="shared" si="16"/>
        <v>18-34</v>
      </c>
    </row>
    <row r="1088" spans="1:33" x14ac:dyDescent="0.25">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c r="AG1088" t="str">
        <f t="shared" si="16"/>
        <v>45-54</v>
      </c>
    </row>
    <row r="1089" spans="1:33" x14ac:dyDescent="0.25">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c r="AG1089" t="str">
        <f t="shared" si="16"/>
        <v>18-34</v>
      </c>
    </row>
    <row r="1090" spans="1:33" x14ac:dyDescent="0.25">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c r="AG1090" t="str">
        <f t="shared" ref="AG1090:AG1153" si="17">IF(A1090&lt;18, "under 18", IF(A1090&lt;35, "18-34", IF(A1090&lt;45, "35-44", IF(A1090&lt;55, "45-54", "55+"))))</f>
        <v>35-44</v>
      </c>
    </row>
    <row r="1091" spans="1:33" x14ac:dyDescent="0.25">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c r="AG1091" t="str">
        <f t="shared" si="17"/>
        <v>35-44</v>
      </c>
    </row>
    <row r="1092" spans="1:33" x14ac:dyDescent="0.25">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c r="AG1092" t="str">
        <f t="shared" si="17"/>
        <v>18-34</v>
      </c>
    </row>
    <row r="1093" spans="1:33" x14ac:dyDescent="0.25">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c r="AG1093" t="str">
        <f t="shared" si="17"/>
        <v>18-34</v>
      </c>
    </row>
    <row r="1094" spans="1:33" x14ac:dyDescent="0.25">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c r="AG1094" t="str">
        <f t="shared" si="17"/>
        <v>45-54</v>
      </c>
    </row>
    <row r="1095" spans="1:33" x14ac:dyDescent="0.25">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c r="AG1095" t="str">
        <f t="shared" si="17"/>
        <v>35-44</v>
      </c>
    </row>
    <row r="1096" spans="1:33" x14ac:dyDescent="0.25">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c r="AG1096" t="str">
        <f t="shared" si="17"/>
        <v>35-44</v>
      </c>
    </row>
    <row r="1097" spans="1:33" x14ac:dyDescent="0.25">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c r="AG1097" t="str">
        <f t="shared" si="17"/>
        <v>18-34</v>
      </c>
    </row>
    <row r="1098" spans="1:33" x14ac:dyDescent="0.25">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c r="AG1098" t="str">
        <f t="shared" si="17"/>
        <v>35-44</v>
      </c>
    </row>
    <row r="1099" spans="1:33" x14ac:dyDescent="0.25">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c r="AG1099" t="str">
        <f t="shared" si="17"/>
        <v>18-34</v>
      </c>
    </row>
    <row r="1100" spans="1:33" x14ac:dyDescent="0.25">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c r="AG1100" t="str">
        <f t="shared" si="17"/>
        <v>35-44</v>
      </c>
    </row>
    <row r="1101" spans="1:33" x14ac:dyDescent="0.25">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c r="AG1101" t="str">
        <f t="shared" si="17"/>
        <v>45-54</v>
      </c>
    </row>
    <row r="1102" spans="1:33" x14ac:dyDescent="0.25">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c r="AG1102" t="str">
        <f t="shared" si="17"/>
        <v>35-44</v>
      </c>
    </row>
    <row r="1103" spans="1:33" x14ac:dyDescent="0.25">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c r="AG1103" t="str">
        <f t="shared" si="17"/>
        <v>18-34</v>
      </c>
    </row>
    <row r="1104" spans="1:33" x14ac:dyDescent="0.25">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c r="AG1104" t="str">
        <f t="shared" si="17"/>
        <v>35-44</v>
      </c>
    </row>
    <row r="1105" spans="1:33" x14ac:dyDescent="0.25">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c r="AG1105" t="str">
        <f t="shared" si="17"/>
        <v>45-54</v>
      </c>
    </row>
    <row r="1106" spans="1:33" x14ac:dyDescent="0.25">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c r="AG1106" t="str">
        <f t="shared" si="17"/>
        <v>18-34</v>
      </c>
    </row>
    <row r="1107" spans="1:33" x14ac:dyDescent="0.25">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c r="AG1107" t="str">
        <f t="shared" si="17"/>
        <v>18-34</v>
      </c>
    </row>
    <row r="1108" spans="1:33" x14ac:dyDescent="0.25">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c r="AG1108" t="str">
        <f t="shared" si="17"/>
        <v>18-34</v>
      </c>
    </row>
    <row r="1109" spans="1:33" x14ac:dyDescent="0.25">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c r="AG1109" t="str">
        <f t="shared" si="17"/>
        <v>35-44</v>
      </c>
    </row>
    <row r="1110" spans="1:33" x14ac:dyDescent="0.25">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c r="AG1110" t="str">
        <f t="shared" si="17"/>
        <v>35-44</v>
      </c>
    </row>
    <row r="1111" spans="1:33" x14ac:dyDescent="0.25">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c r="AG1111" t="str">
        <f t="shared" si="17"/>
        <v>18-34</v>
      </c>
    </row>
    <row r="1112" spans="1:33" x14ac:dyDescent="0.25">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c r="AG1112" t="str">
        <f t="shared" si="17"/>
        <v>35-44</v>
      </c>
    </row>
    <row r="1113" spans="1:33" x14ac:dyDescent="0.25">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c r="AG1113" t="str">
        <f t="shared" si="17"/>
        <v>45-54</v>
      </c>
    </row>
    <row r="1114" spans="1:33" x14ac:dyDescent="0.25">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c r="AG1114" t="str">
        <f t="shared" si="17"/>
        <v>35-44</v>
      </c>
    </row>
    <row r="1115" spans="1:33" x14ac:dyDescent="0.25">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c r="AG1115" t="str">
        <f t="shared" si="17"/>
        <v>18-34</v>
      </c>
    </row>
    <row r="1116" spans="1:33" x14ac:dyDescent="0.25">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c r="AG1116" t="str">
        <f t="shared" si="17"/>
        <v>45-54</v>
      </c>
    </row>
    <row r="1117" spans="1:33" x14ac:dyDescent="0.25">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c r="AG1117" t="str">
        <f t="shared" si="17"/>
        <v>18-34</v>
      </c>
    </row>
    <row r="1118" spans="1:33" x14ac:dyDescent="0.25">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c r="AG1118" t="str">
        <f t="shared" si="17"/>
        <v>55+</v>
      </c>
    </row>
    <row r="1119" spans="1:33" x14ac:dyDescent="0.25">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c r="AG1119" t="str">
        <f t="shared" si="17"/>
        <v>18-34</v>
      </c>
    </row>
    <row r="1120" spans="1:33" x14ac:dyDescent="0.25">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c r="AG1120" t="str">
        <f t="shared" si="17"/>
        <v>18-34</v>
      </c>
    </row>
    <row r="1121" spans="1:33" x14ac:dyDescent="0.25">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c r="AG1121" t="str">
        <f t="shared" si="17"/>
        <v>35-44</v>
      </c>
    </row>
    <row r="1122" spans="1:33" x14ac:dyDescent="0.25">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c r="AG1122" t="str">
        <f t="shared" si="17"/>
        <v>35-44</v>
      </c>
    </row>
    <row r="1123" spans="1:33" x14ac:dyDescent="0.25">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c r="AG1123" t="str">
        <f t="shared" si="17"/>
        <v>35-44</v>
      </c>
    </row>
    <row r="1124" spans="1:33" x14ac:dyDescent="0.25">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c r="AG1124" t="str">
        <f t="shared" si="17"/>
        <v>18-34</v>
      </c>
    </row>
    <row r="1125" spans="1:33" x14ac:dyDescent="0.25">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c r="AG1125" t="str">
        <f t="shared" si="17"/>
        <v>35-44</v>
      </c>
    </row>
    <row r="1126" spans="1:33" x14ac:dyDescent="0.25">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c r="AG1126" t="str">
        <f t="shared" si="17"/>
        <v>35-44</v>
      </c>
    </row>
    <row r="1127" spans="1:33" x14ac:dyDescent="0.25">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c r="AG1127" t="str">
        <f t="shared" si="17"/>
        <v>18-34</v>
      </c>
    </row>
    <row r="1128" spans="1:33" x14ac:dyDescent="0.25">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c r="AG1128" t="str">
        <f t="shared" si="17"/>
        <v>45-54</v>
      </c>
    </row>
    <row r="1129" spans="1:33" x14ac:dyDescent="0.25">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c r="AG1129" t="str">
        <f t="shared" si="17"/>
        <v>18-34</v>
      </c>
    </row>
    <row r="1130" spans="1:33" x14ac:dyDescent="0.25">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c r="AG1130" t="str">
        <f t="shared" si="17"/>
        <v>35-44</v>
      </c>
    </row>
    <row r="1131" spans="1:33" x14ac:dyDescent="0.25">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c r="AG1131" t="str">
        <f t="shared" si="17"/>
        <v>35-44</v>
      </c>
    </row>
    <row r="1132" spans="1:33" x14ac:dyDescent="0.25">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c r="AG1132" t="str">
        <f t="shared" si="17"/>
        <v>35-44</v>
      </c>
    </row>
    <row r="1133" spans="1:33" x14ac:dyDescent="0.25">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c r="AG1133" t="str">
        <f t="shared" si="17"/>
        <v>18-34</v>
      </c>
    </row>
    <row r="1134" spans="1:33" x14ac:dyDescent="0.25">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c r="AG1134" t="str">
        <f t="shared" si="17"/>
        <v>35-44</v>
      </c>
    </row>
    <row r="1135" spans="1:33" x14ac:dyDescent="0.25">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c r="AG1135" t="str">
        <f t="shared" si="17"/>
        <v>35-44</v>
      </c>
    </row>
    <row r="1136" spans="1:33" x14ac:dyDescent="0.25">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c r="AG1136" t="str">
        <f t="shared" si="17"/>
        <v>35-44</v>
      </c>
    </row>
    <row r="1137" spans="1:33" x14ac:dyDescent="0.25">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c r="AG1137" t="str">
        <f t="shared" si="17"/>
        <v>45-54</v>
      </c>
    </row>
    <row r="1138" spans="1:33" x14ac:dyDescent="0.25">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c r="AG1138" t="str">
        <f t="shared" si="17"/>
        <v>18-34</v>
      </c>
    </row>
    <row r="1139" spans="1:33" x14ac:dyDescent="0.25">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c r="AG1139" t="str">
        <f t="shared" si="17"/>
        <v>18-34</v>
      </c>
    </row>
    <row r="1140" spans="1:33" x14ac:dyDescent="0.25">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c r="AG1140" t="str">
        <f t="shared" si="17"/>
        <v>45-54</v>
      </c>
    </row>
    <row r="1141" spans="1:33" x14ac:dyDescent="0.25">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c r="AG1141" t="str">
        <f t="shared" si="17"/>
        <v>18-34</v>
      </c>
    </row>
    <row r="1142" spans="1:33" x14ac:dyDescent="0.25">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c r="AG1142" t="str">
        <f t="shared" si="17"/>
        <v>35-44</v>
      </c>
    </row>
    <row r="1143" spans="1:33" x14ac:dyDescent="0.25">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c r="AG1143" t="str">
        <f t="shared" si="17"/>
        <v>18-34</v>
      </c>
    </row>
    <row r="1144" spans="1:33" x14ac:dyDescent="0.25">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c r="AG1144" t="str">
        <f t="shared" si="17"/>
        <v>45-54</v>
      </c>
    </row>
    <row r="1145" spans="1:33" x14ac:dyDescent="0.25">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c r="AG1145" t="str">
        <f t="shared" si="17"/>
        <v>45-54</v>
      </c>
    </row>
    <row r="1146" spans="1:33" x14ac:dyDescent="0.25">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c r="AG1146" t="str">
        <f t="shared" si="17"/>
        <v>18-34</v>
      </c>
    </row>
    <row r="1147" spans="1:33" x14ac:dyDescent="0.25">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c r="AG1147" t="str">
        <f t="shared" si="17"/>
        <v>35-44</v>
      </c>
    </row>
    <row r="1148" spans="1:33" x14ac:dyDescent="0.25">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c r="AG1148" t="str">
        <f t="shared" si="17"/>
        <v>18-34</v>
      </c>
    </row>
    <row r="1149" spans="1:33" x14ac:dyDescent="0.25">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c r="AG1149" t="str">
        <f t="shared" si="17"/>
        <v>45-54</v>
      </c>
    </row>
    <row r="1150" spans="1:33" x14ac:dyDescent="0.25">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c r="AG1150" t="str">
        <f t="shared" si="17"/>
        <v>35-44</v>
      </c>
    </row>
    <row r="1151" spans="1:33" x14ac:dyDescent="0.25">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c r="AG1151" t="str">
        <f t="shared" si="17"/>
        <v>18-34</v>
      </c>
    </row>
    <row r="1152" spans="1:33" x14ac:dyDescent="0.25">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c r="AG1152" t="str">
        <f t="shared" si="17"/>
        <v>35-44</v>
      </c>
    </row>
    <row r="1153" spans="1:33" x14ac:dyDescent="0.25">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c r="AG1153" t="str">
        <f t="shared" si="17"/>
        <v>18-34</v>
      </c>
    </row>
    <row r="1154" spans="1:33" x14ac:dyDescent="0.25">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c r="AG1154" t="str">
        <f t="shared" ref="AG1154:AG1217" si="18">IF(A1154&lt;18, "under 18", IF(A1154&lt;35, "18-34", IF(A1154&lt;45, "35-44", IF(A1154&lt;55, "45-54", "55+"))))</f>
        <v>18-34</v>
      </c>
    </row>
    <row r="1155" spans="1:33" x14ac:dyDescent="0.25">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c r="AG1155" t="str">
        <f t="shared" si="18"/>
        <v>18-34</v>
      </c>
    </row>
    <row r="1156" spans="1:33" x14ac:dyDescent="0.25">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c r="AG1156" t="str">
        <f t="shared" si="18"/>
        <v>45-54</v>
      </c>
    </row>
    <row r="1157" spans="1:33" x14ac:dyDescent="0.25">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c r="AG1157" t="str">
        <f t="shared" si="18"/>
        <v>35-44</v>
      </c>
    </row>
    <row r="1158" spans="1:33" x14ac:dyDescent="0.25">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c r="AG1158" t="str">
        <f t="shared" si="18"/>
        <v>35-44</v>
      </c>
    </row>
    <row r="1159" spans="1:33" x14ac:dyDescent="0.25">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c r="AG1159" t="str">
        <f t="shared" si="18"/>
        <v>35-44</v>
      </c>
    </row>
    <row r="1160" spans="1:33" x14ac:dyDescent="0.25">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c r="AG1160" t="str">
        <f t="shared" si="18"/>
        <v>35-44</v>
      </c>
    </row>
    <row r="1161" spans="1:33" x14ac:dyDescent="0.25">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c r="AG1161" t="str">
        <f t="shared" si="18"/>
        <v>35-44</v>
      </c>
    </row>
    <row r="1162" spans="1:33" x14ac:dyDescent="0.25">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c r="AG1162" t="str">
        <f t="shared" si="18"/>
        <v>45-54</v>
      </c>
    </row>
    <row r="1163" spans="1:33" x14ac:dyDescent="0.25">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c r="AG1163" t="str">
        <f t="shared" si="18"/>
        <v>35-44</v>
      </c>
    </row>
    <row r="1164" spans="1:33" x14ac:dyDescent="0.25">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c r="AG1164" t="str">
        <f t="shared" si="18"/>
        <v>35-44</v>
      </c>
    </row>
    <row r="1165" spans="1:33" x14ac:dyDescent="0.25">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c r="AG1165" t="str">
        <f t="shared" si="18"/>
        <v>35-44</v>
      </c>
    </row>
    <row r="1166" spans="1:33" x14ac:dyDescent="0.25">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c r="AG1166" t="str">
        <f t="shared" si="18"/>
        <v>35-44</v>
      </c>
    </row>
    <row r="1167" spans="1:33" x14ac:dyDescent="0.25">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c r="AG1167" t="str">
        <f t="shared" si="18"/>
        <v>35-44</v>
      </c>
    </row>
    <row r="1168" spans="1:33" x14ac:dyDescent="0.25">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c r="AG1168" t="str">
        <f t="shared" si="18"/>
        <v>45-54</v>
      </c>
    </row>
    <row r="1169" spans="1:33" x14ac:dyDescent="0.25">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c r="AG1169" t="str">
        <f t="shared" si="18"/>
        <v>35-44</v>
      </c>
    </row>
    <row r="1170" spans="1:33" x14ac:dyDescent="0.25">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c r="AG1170" t="str">
        <f t="shared" si="18"/>
        <v>18-34</v>
      </c>
    </row>
    <row r="1171" spans="1:33" x14ac:dyDescent="0.25">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c r="AG1171" t="str">
        <f t="shared" si="18"/>
        <v>18-34</v>
      </c>
    </row>
    <row r="1172" spans="1:33" x14ac:dyDescent="0.25">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c r="AG1172" t="str">
        <f t="shared" si="18"/>
        <v>18-34</v>
      </c>
    </row>
    <row r="1173" spans="1:33" x14ac:dyDescent="0.25">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c r="AG1173" t="str">
        <f t="shared" si="18"/>
        <v>35-44</v>
      </c>
    </row>
    <row r="1174" spans="1:33" x14ac:dyDescent="0.25">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c r="AG1174" t="str">
        <f t="shared" si="18"/>
        <v>18-34</v>
      </c>
    </row>
    <row r="1175" spans="1:33" x14ac:dyDescent="0.25">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c r="AG1175" t="str">
        <f t="shared" si="18"/>
        <v>35-44</v>
      </c>
    </row>
    <row r="1176" spans="1:33" x14ac:dyDescent="0.25">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c r="AG1176" t="str">
        <f t="shared" si="18"/>
        <v>18-34</v>
      </c>
    </row>
    <row r="1177" spans="1:33" x14ac:dyDescent="0.25">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c r="AG1177" t="str">
        <f t="shared" si="18"/>
        <v>35-44</v>
      </c>
    </row>
    <row r="1178" spans="1:33" x14ac:dyDescent="0.25">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c r="AG1178" t="str">
        <f t="shared" si="18"/>
        <v>45-54</v>
      </c>
    </row>
    <row r="1179" spans="1:33" x14ac:dyDescent="0.25">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c r="AG1179" t="str">
        <f t="shared" si="18"/>
        <v>45-54</v>
      </c>
    </row>
    <row r="1180" spans="1:33" x14ac:dyDescent="0.25">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c r="AG1180" t="str">
        <f t="shared" si="18"/>
        <v>18-34</v>
      </c>
    </row>
    <row r="1181" spans="1:33" x14ac:dyDescent="0.25">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c r="AG1181" t="str">
        <f t="shared" si="18"/>
        <v>18-34</v>
      </c>
    </row>
    <row r="1182" spans="1:33" x14ac:dyDescent="0.25">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c r="AG1182" t="str">
        <f t="shared" si="18"/>
        <v>35-44</v>
      </c>
    </row>
    <row r="1183" spans="1:33" x14ac:dyDescent="0.25">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c r="AG1183" t="str">
        <f t="shared" si="18"/>
        <v>45-54</v>
      </c>
    </row>
    <row r="1184" spans="1:33" x14ac:dyDescent="0.25">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c r="AG1184" t="str">
        <f t="shared" si="18"/>
        <v>35-44</v>
      </c>
    </row>
    <row r="1185" spans="1:33" x14ac:dyDescent="0.25">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c r="AG1185" t="str">
        <f t="shared" si="18"/>
        <v>35-44</v>
      </c>
    </row>
    <row r="1186" spans="1:33" x14ac:dyDescent="0.25">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c r="AG1186" t="str">
        <f t="shared" si="18"/>
        <v>45-54</v>
      </c>
    </row>
    <row r="1187" spans="1:33" x14ac:dyDescent="0.25">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c r="AG1187" t="str">
        <f t="shared" si="18"/>
        <v>35-44</v>
      </c>
    </row>
    <row r="1188" spans="1:33" x14ac:dyDescent="0.25">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c r="AG1188" t="str">
        <f t="shared" si="18"/>
        <v>35-44</v>
      </c>
    </row>
    <row r="1189" spans="1:33" x14ac:dyDescent="0.25">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c r="AG1189" t="str">
        <f t="shared" si="18"/>
        <v>35-44</v>
      </c>
    </row>
    <row r="1190" spans="1:33" x14ac:dyDescent="0.25">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c r="AG1190" t="str">
        <f t="shared" si="18"/>
        <v>18-34</v>
      </c>
    </row>
    <row r="1191" spans="1:33" x14ac:dyDescent="0.25">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c r="AG1191" t="str">
        <f t="shared" si="18"/>
        <v>18-34</v>
      </c>
    </row>
    <row r="1192" spans="1:33" x14ac:dyDescent="0.25">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c r="AG1192" t="str">
        <f t="shared" si="18"/>
        <v>18-34</v>
      </c>
    </row>
    <row r="1193" spans="1:33" x14ac:dyDescent="0.25">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c r="AG1193" t="str">
        <f t="shared" si="18"/>
        <v>18-34</v>
      </c>
    </row>
    <row r="1194" spans="1:33" x14ac:dyDescent="0.25">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c r="AG1194" t="str">
        <f t="shared" si="18"/>
        <v>45-54</v>
      </c>
    </row>
    <row r="1195" spans="1:33" x14ac:dyDescent="0.25">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c r="AG1195" t="str">
        <f t="shared" si="18"/>
        <v>35-44</v>
      </c>
    </row>
    <row r="1196" spans="1:33" x14ac:dyDescent="0.25">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c r="AG1196" t="str">
        <f t="shared" si="18"/>
        <v>45-54</v>
      </c>
    </row>
    <row r="1197" spans="1:33" x14ac:dyDescent="0.25">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c r="AG1197" t="str">
        <f t="shared" si="18"/>
        <v>45-54</v>
      </c>
    </row>
    <row r="1198" spans="1:33" x14ac:dyDescent="0.25">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c r="AG1198" t="str">
        <f t="shared" si="18"/>
        <v>35-44</v>
      </c>
    </row>
    <row r="1199" spans="1:33" x14ac:dyDescent="0.25">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c r="AG1199" t="str">
        <f t="shared" si="18"/>
        <v>18-34</v>
      </c>
    </row>
    <row r="1200" spans="1:33" x14ac:dyDescent="0.25">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c r="AG1200" t="str">
        <f t="shared" si="18"/>
        <v>18-34</v>
      </c>
    </row>
    <row r="1201" spans="1:33" x14ac:dyDescent="0.25">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c r="AG1201" t="str">
        <f t="shared" si="18"/>
        <v>35-44</v>
      </c>
    </row>
    <row r="1202" spans="1:33" x14ac:dyDescent="0.25">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c r="AG1202" t="str">
        <f t="shared" si="18"/>
        <v>35-44</v>
      </c>
    </row>
    <row r="1203" spans="1:33" x14ac:dyDescent="0.25">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c r="AG1203" t="str">
        <f t="shared" si="18"/>
        <v>18-34</v>
      </c>
    </row>
    <row r="1204" spans="1:33" x14ac:dyDescent="0.25">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c r="AG1204" t="str">
        <f t="shared" si="18"/>
        <v>35-44</v>
      </c>
    </row>
    <row r="1205" spans="1:33" x14ac:dyDescent="0.25">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c r="AG1205" t="str">
        <f t="shared" si="18"/>
        <v>45-54</v>
      </c>
    </row>
    <row r="1206" spans="1:33" x14ac:dyDescent="0.25">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c r="AG1206" t="str">
        <f t="shared" si="18"/>
        <v>45-54</v>
      </c>
    </row>
    <row r="1207" spans="1:33" x14ac:dyDescent="0.25">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c r="AG1207" t="str">
        <f t="shared" si="18"/>
        <v>18-34</v>
      </c>
    </row>
    <row r="1208" spans="1:33" x14ac:dyDescent="0.25">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c r="AG1208" t="str">
        <f t="shared" si="18"/>
        <v>18-34</v>
      </c>
    </row>
    <row r="1209" spans="1:33" x14ac:dyDescent="0.25">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c r="AG1209" t="str">
        <f t="shared" si="18"/>
        <v>55+</v>
      </c>
    </row>
    <row r="1210" spans="1:33" x14ac:dyDescent="0.25">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c r="AG1210" t="str">
        <f t="shared" si="18"/>
        <v>18-34</v>
      </c>
    </row>
    <row r="1211" spans="1:33" x14ac:dyDescent="0.25">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c r="AG1211" t="str">
        <f t="shared" si="18"/>
        <v>55+</v>
      </c>
    </row>
    <row r="1212" spans="1:33" x14ac:dyDescent="0.25">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c r="AG1212" t="str">
        <f t="shared" si="18"/>
        <v>18-34</v>
      </c>
    </row>
    <row r="1213" spans="1:33" x14ac:dyDescent="0.25">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c r="AG1213" t="str">
        <f t="shared" si="18"/>
        <v>35-44</v>
      </c>
    </row>
    <row r="1214" spans="1:33" x14ac:dyDescent="0.25">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c r="AG1214" t="str">
        <f t="shared" si="18"/>
        <v>18-34</v>
      </c>
    </row>
    <row r="1215" spans="1:33" x14ac:dyDescent="0.25">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c r="AG1215" t="str">
        <f t="shared" si="18"/>
        <v>18-34</v>
      </c>
    </row>
    <row r="1216" spans="1:33" x14ac:dyDescent="0.25">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c r="AG1216" t="str">
        <f t="shared" si="18"/>
        <v>35-44</v>
      </c>
    </row>
    <row r="1217" spans="1:33" x14ac:dyDescent="0.25">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c r="AG1217" t="str">
        <f t="shared" si="18"/>
        <v>35-44</v>
      </c>
    </row>
    <row r="1218" spans="1:33" x14ac:dyDescent="0.25">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c r="AG1218" t="str">
        <f t="shared" ref="AG1218:AG1281" si="19">IF(A1218&lt;18, "under 18", IF(A1218&lt;35, "18-34", IF(A1218&lt;45, "35-44", IF(A1218&lt;55, "45-54", "55+"))))</f>
        <v>35-44</v>
      </c>
    </row>
    <row r="1219" spans="1:33" x14ac:dyDescent="0.25">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c r="AG1219" t="str">
        <f t="shared" si="19"/>
        <v>18-34</v>
      </c>
    </row>
    <row r="1220" spans="1:33" x14ac:dyDescent="0.25">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c r="AG1220" t="str">
        <f t="shared" si="19"/>
        <v>35-44</v>
      </c>
    </row>
    <row r="1221" spans="1:33" x14ac:dyDescent="0.25">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c r="AG1221" t="str">
        <f t="shared" si="19"/>
        <v>18-34</v>
      </c>
    </row>
    <row r="1222" spans="1:33" x14ac:dyDescent="0.25">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c r="AG1222" t="str">
        <f t="shared" si="19"/>
        <v>35-44</v>
      </c>
    </row>
    <row r="1223" spans="1:33" x14ac:dyDescent="0.25">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c r="AG1223" t="str">
        <f t="shared" si="19"/>
        <v>45-54</v>
      </c>
    </row>
    <row r="1224" spans="1:33" x14ac:dyDescent="0.25">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c r="AG1224" t="str">
        <f t="shared" si="19"/>
        <v>18-34</v>
      </c>
    </row>
    <row r="1225" spans="1:33" x14ac:dyDescent="0.25">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c r="AG1225" t="str">
        <f t="shared" si="19"/>
        <v>45-54</v>
      </c>
    </row>
    <row r="1226" spans="1:33" x14ac:dyDescent="0.25">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c r="AG1226" t="str">
        <f t="shared" si="19"/>
        <v>18-34</v>
      </c>
    </row>
    <row r="1227" spans="1:33" x14ac:dyDescent="0.25">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c r="AG1227" t="str">
        <f t="shared" si="19"/>
        <v>45-54</v>
      </c>
    </row>
    <row r="1228" spans="1:33" x14ac:dyDescent="0.25">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c r="AG1228" t="str">
        <f t="shared" si="19"/>
        <v>18-34</v>
      </c>
    </row>
    <row r="1229" spans="1:33" x14ac:dyDescent="0.25">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c r="AG1229" t="str">
        <f t="shared" si="19"/>
        <v>18-34</v>
      </c>
    </row>
    <row r="1230" spans="1:33" x14ac:dyDescent="0.25">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c r="AG1230" t="str">
        <f t="shared" si="19"/>
        <v>35-44</v>
      </c>
    </row>
    <row r="1231" spans="1:33" x14ac:dyDescent="0.25">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c r="AG1231" t="str">
        <f t="shared" si="19"/>
        <v>35-44</v>
      </c>
    </row>
    <row r="1232" spans="1:33" x14ac:dyDescent="0.25">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c r="AG1232" t="str">
        <f t="shared" si="19"/>
        <v>18-34</v>
      </c>
    </row>
    <row r="1233" spans="1:33" x14ac:dyDescent="0.25">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c r="AG1233" t="str">
        <f t="shared" si="19"/>
        <v>45-54</v>
      </c>
    </row>
    <row r="1234" spans="1:33" x14ac:dyDescent="0.25">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c r="AG1234" t="str">
        <f t="shared" si="19"/>
        <v>35-44</v>
      </c>
    </row>
    <row r="1235" spans="1:33" x14ac:dyDescent="0.25">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c r="AG1235" t="str">
        <f t="shared" si="19"/>
        <v>18-34</v>
      </c>
    </row>
    <row r="1236" spans="1:33" x14ac:dyDescent="0.25">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c r="AG1236" t="str">
        <f t="shared" si="19"/>
        <v>45-54</v>
      </c>
    </row>
    <row r="1237" spans="1:33" x14ac:dyDescent="0.25">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c r="AG1237" t="str">
        <f t="shared" si="19"/>
        <v>45-54</v>
      </c>
    </row>
    <row r="1238" spans="1:33" x14ac:dyDescent="0.25">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c r="AG1238" t="str">
        <f t="shared" si="19"/>
        <v>35-44</v>
      </c>
    </row>
    <row r="1239" spans="1:33" x14ac:dyDescent="0.25">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c r="AG1239" t="str">
        <f t="shared" si="19"/>
        <v>18-34</v>
      </c>
    </row>
    <row r="1240" spans="1:33" x14ac:dyDescent="0.25">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c r="AG1240" t="str">
        <f t="shared" si="19"/>
        <v>18-34</v>
      </c>
    </row>
    <row r="1241" spans="1:33" x14ac:dyDescent="0.25">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c r="AG1241" t="str">
        <f t="shared" si="19"/>
        <v>18-34</v>
      </c>
    </row>
    <row r="1242" spans="1:33" x14ac:dyDescent="0.25">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c r="AG1242" t="str">
        <f t="shared" si="19"/>
        <v>35-44</v>
      </c>
    </row>
    <row r="1243" spans="1:33" x14ac:dyDescent="0.25">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c r="AG1243" t="str">
        <f t="shared" si="19"/>
        <v>18-34</v>
      </c>
    </row>
    <row r="1244" spans="1:33" x14ac:dyDescent="0.25">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c r="AG1244" t="str">
        <f t="shared" si="19"/>
        <v>35-44</v>
      </c>
    </row>
    <row r="1245" spans="1:33" x14ac:dyDescent="0.25">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c r="AG1245" t="str">
        <f t="shared" si="19"/>
        <v>45-54</v>
      </c>
    </row>
    <row r="1246" spans="1:33" x14ac:dyDescent="0.25">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c r="AG1246" t="str">
        <f t="shared" si="19"/>
        <v>18-34</v>
      </c>
    </row>
    <row r="1247" spans="1:33" x14ac:dyDescent="0.25">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c r="AG1247" t="str">
        <f t="shared" si="19"/>
        <v>18-34</v>
      </c>
    </row>
    <row r="1248" spans="1:33" x14ac:dyDescent="0.25">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c r="AG1248" t="str">
        <f t="shared" si="19"/>
        <v>18-34</v>
      </c>
    </row>
    <row r="1249" spans="1:33" x14ac:dyDescent="0.25">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c r="AG1249" t="str">
        <f t="shared" si="19"/>
        <v>18-34</v>
      </c>
    </row>
    <row r="1250" spans="1:33" x14ac:dyDescent="0.25">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c r="AG1250" t="str">
        <f t="shared" si="19"/>
        <v>18-34</v>
      </c>
    </row>
    <row r="1251" spans="1:33" x14ac:dyDescent="0.25">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c r="AG1251" t="str">
        <f t="shared" si="19"/>
        <v>18-34</v>
      </c>
    </row>
    <row r="1252" spans="1:33" x14ac:dyDescent="0.25">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c r="AG1252" t="str">
        <f t="shared" si="19"/>
        <v>18-34</v>
      </c>
    </row>
    <row r="1253" spans="1:33" x14ac:dyDescent="0.25">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c r="AG1253" t="str">
        <f t="shared" si="19"/>
        <v>18-34</v>
      </c>
    </row>
    <row r="1254" spans="1:33" x14ac:dyDescent="0.25">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c r="AG1254" t="str">
        <f t="shared" si="19"/>
        <v>18-34</v>
      </c>
    </row>
    <row r="1255" spans="1:33" x14ac:dyDescent="0.25">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c r="AG1255" t="str">
        <f t="shared" si="19"/>
        <v>18-34</v>
      </c>
    </row>
    <row r="1256" spans="1:33" x14ac:dyDescent="0.25">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c r="AG1256" t="str">
        <f t="shared" si="19"/>
        <v>45-54</v>
      </c>
    </row>
    <row r="1257" spans="1:33" x14ac:dyDescent="0.25">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c r="AG1257" t="str">
        <f t="shared" si="19"/>
        <v>18-34</v>
      </c>
    </row>
    <row r="1258" spans="1:33" x14ac:dyDescent="0.25">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c r="AG1258" t="str">
        <f t="shared" si="19"/>
        <v>35-44</v>
      </c>
    </row>
    <row r="1259" spans="1:33" x14ac:dyDescent="0.25">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c r="AG1259" t="str">
        <f t="shared" si="19"/>
        <v>18-34</v>
      </c>
    </row>
    <row r="1260" spans="1:33" x14ac:dyDescent="0.25">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c r="AG1260" t="str">
        <f t="shared" si="19"/>
        <v>18-34</v>
      </c>
    </row>
    <row r="1261" spans="1:33" x14ac:dyDescent="0.25">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c r="AG1261" t="str">
        <f t="shared" si="19"/>
        <v>18-34</v>
      </c>
    </row>
    <row r="1262" spans="1:33" x14ac:dyDescent="0.25">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c r="AG1262" t="str">
        <f t="shared" si="19"/>
        <v>18-34</v>
      </c>
    </row>
    <row r="1263" spans="1:33" x14ac:dyDescent="0.25">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c r="AG1263" t="str">
        <f t="shared" si="19"/>
        <v>35-44</v>
      </c>
    </row>
    <row r="1264" spans="1:33" x14ac:dyDescent="0.25">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c r="AG1264" t="str">
        <f t="shared" si="19"/>
        <v>35-44</v>
      </c>
    </row>
    <row r="1265" spans="1:33" x14ac:dyDescent="0.25">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c r="AG1265" t="str">
        <f t="shared" si="19"/>
        <v>35-44</v>
      </c>
    </row>
    <row r="1266" spans="1:33" x14ac:dyDescent="0.25">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c r="AG1266" t="str">
        <f t="shared" si="19"/>
        <v>55+</v>
      </c>
    </row>
    <row r="1267" spans="1:33" x14ac:dyDescent="0.25">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c r="AG1267" t="str">
        <f t="shared" si="19"/>
        <v>18-34</v>
      </c>
    </row>
    <row r="1268" spans="1:33" x14ac:dyDescent="0.25">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c r="AG1268" t="str">
        <f t="shared" si="19"/>
        <v>35-44</v>
      </c>
    </row>
    <row r="1269" spans="1:33" x14ac:dyDescent="0.25">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c r="AG1269" t="str">
        <f t="shared" si="19"/>
        <v>18-34</v>
      </c>
    </row>
    <row r="1270" spans="1:33" x14ac:dyDescent="0.25">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c r="AG1270" t="str">
        <f t="shared" si="19"/>
        <v>45-54</v>
      </c>
    </row>
    <row r="1271" spans="1:33" x14ac:dyDescent="0.25">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c r="AG1271" t="str">
        <f t="shared" si="19"/>
        <v>35-44</v>
      </c>
    </row>
    <row r="1272" spans="1:33" x14ac:dyDescent="0.25">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c r="AG1272" t="str">
        <f t="shared" si="19"/>
        <v>18-34</v>
      </c>
    </row>
    <row r="1273" spans="1:33" x14ac:dyDescent="0.25">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c r="AG1273" t="str">
        <f t="shared" si="19"/>
        <v>18-34</v>
      </c>
    </row>
    <row r="1274" spans="1:33" x14ac:dyDescent="0.25">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c r="AG1274" t="str">
        <f t="shared" si="19"/>
        <v>35-44</v>
      </c>
    </row>
    <row r="1275" spans="1:33" x14ac:dyDescent="0.25">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c r="AG1275" t="str">
        <f t="shared" si="19"/>
        <v>18-34</v>
      </c>
    </row>
    <row r="1276" spans="1:33" x14ac:dyDescent="0.25">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c r="AG1276" t="str">
        <f t="shared" si="19"/>
        <v>18-34</v>
      </c>
    </row>
    <row r="1277" spans="1:33" x14ac:dyDescent="0.25">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c r="AG1277" t="str">
        <f t="shared" si="19"/>
        <v>45-54</v>
      </c>
    </row>
    <row r="1278" spans="1:33" x14ac:dyDescent="0.25">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c r="AG1278" t="str">
        <f t="shared" si="19"/>
        <v>35-44</v>
      </c>
    </row>
    <row r="1279" spans="1:33" x14ac:dyDescent="0.25">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c r="AG1279" t="str">
        <f t="shared" si="19"/>
        <v>45-54</v>
      </c>
    </row>
    <row r="1280" spans="1:33" x14ac:dyDescent="0.25">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c r="AG1280" t="str">
        <f t="shared" si="19"/>
        <v>35-44</v>
      </c>
    </row>
    <row r="1281" spans="1:33" x14ac:dyDescent="0.25">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c r="AG1281" t="str">
        <f t="shared" si="19"/>
        <v>35-44</v>
      </c>
    </row>
    <row r="1282" spans="1:33" x14ac:dyDescent="0.25">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c r="AG1282" t="str">
        <f t="shared" ref="AG1282:AG1345" si="20">IF(A1282&lt;18, "under 18", IF(A1282&lt;35, "18-34", IF(A1282&lt;45, "35-44", IF(A1282&lt;55, "45-54", "55+"))))</f>
        <v>35-44</v>
      </c>
    </row>
    <row r="1283" spans="1:33" x14ac:dyDescent="0.25">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c r="AG1283" t="str">
        <f t="shared" si="20"/>
        <v>35-44</v>
      </c>
    </row>
    <row r="1284" spans="1:33" x14ac:dyDescent="0.25">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c r="AG1284" t="str">
        <f t="shared" si="20"/>
        <v>18-34</v>
      </c>
    </row>
    <row r="1285" spans="1:33" x14ac:dyDescent="0.25">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c r="AG1285" t="str">
        <f t="shared" si="20"/>
        <v>18-34</v>
      </c>
    </row>
    <row r="1286" spans="1:33" x14ac:dyDescent="0.25">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c r="AG1286" t="str">
        <f t="shared" si="20"/>
        <v>35-44</v>
      </c>
    </row>
    <row r="1287" spans="1:33" x14ac:dyDescent="0.25">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c r="AG1287" t="str">
        <f t="shared" si="20"/>
        <v>45-54</v>
      </c>
    </row>
    <row r="1288" spans="1:33" x14ac:dyDescent="0.25">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c r="AG1288" t="str">
        <f t="shared" si="20"/>
        <v>35-44</v>
      </c>
    </row>
    <row r="1289" spans="1:33" x14ac:dyDescent="0.25">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c r="AG1289" t="str">
        <f t="shared" si="20"/>
        <v>35-44</v>
      </c>
    </row>
    <row r="1290" spans="1:33" x14ac:dyDescent="0.25">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c r="AG1290" t="str">
        <f t="shared" si="20"/>
        <v>35-44</v>
      </c>
    </row>
    <row r="1291" spans="1:33" x14ac:dyDescent="0.25">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c r="AG1291" t="str">
        <f t="shared" si="20"/>
        <v>35-44</v>
      </c>
    </row>
    <row r="1292" spans="1:33" x14ac:dyDescent="0.25">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c r="AG1292" t="str">
        <f t="shared" si="20"/>
        <v>18-34</v>
      </c>
    </row>
    <row r="1293" spans="1:33" x14ac:dyDescent="0.25">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c r="AG1293" t="str">
        <f t="shared" si="20"/>
        <v>35-44</v>
      </c>
    </row>
    <row r="1294" spans="1:33" x14ac:dyDescent="0.25">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c r="AG1294" t="str">
        <f t="shared" si="20"/>
        <v>35-44</v>
      </c>
    </row>
    <row r="1295" spans="1:33" x14ac:dyDescent="0.25">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c r="AG1295" t="str">
        <f t="shared" si="20"/>
        <v>35-44</v>
      </c>
    </row>
    <row r="1296" spans="1:33" x14ac:dyDescent="0.25">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c r="AG1296" t="str">
        <f t="shared" si="20"/>
        <v>35-44</v>
      </c>
    </row>
    <row r="1297" spans="1:33" x14ac:dyDescent="0.25">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c r="AG1297" t="str">
        <f t="shared" si="20"/>
        <v>35-44</v>
      </c>
    </row>
    <row r="1298" spans="1:33" x14ac:dyDescent="0.25">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c r="AG1298" t="str">
        <f t="shared" si="20"/>
        <v>18-34</v>
      </c>
    </row>
    <row r="1299" spans="1:33" x14ac:dyDescent="0.25">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c r="AG1299" t="str">
        <f t="shared" si="20"/>
        <v>18-34</v>
      </c>
    </row>
    <row r="1300" spans="1:33" x14ac:dyDescent="0.25">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c r="AG1300" t="str">
        <f t="shared" si="20"/>
        <v>45-54</v>
      </c>
    </row>
    <row r="1301" spans="1:33" x14ac:dyDescent="0.25">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c r="AG1301" t="str">
        <f t="shared" si="20"/>
        <v>35-44</v>
      </c>
    </row>
    <row r="1302" spans="1:33" x14ac:dyDescent="0.25">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c r="AG1302" t="str">
        <f t="shared" si="20"/>
        <v>18-34</v>
      </c>
    </row>
    <row r="1303" spans="1:33" x14ac:dyDescent="0.25">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c r="AG1303" t="str">
        <f t="shared" si="20"/>
        <v>55+</v>
      </c>
    </row>
    <row r="1304" spans="1:33" x14ac:dyDescent="0.25">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c r="AG1304" t="str">
        <f t="shared" si="20"/>
        <v>35-44</v>
      </c>
    </row>
    <row r="1305" spans="1:33" x14ac:dyDescent="0.25">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c r="AG1305" t="str">
        <f t="shared" si="20"/>
        <v>45-54</v>
      </c>
    </row>
    <row r="1306" spans="1:33" x14ac:dyDescent="0.25">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c r="AG1306" t="str">
        <f t="shared" si="20"/>
        <v>35-44</v>
      </c>
    </row>
    <row r="1307" spans="1:33" x14ac:dyDescent="0.25">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c r="AG1307" t="str">
        <f t="shared" si="20"/>
        <v>45-54</v>
      </c>
    </row>
    <row r="1308" spans="1:33" x14ac:dyDescent="0.25">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c r="AG1308" t="str">
        <f t="shared" si="20"/>
        <v>18-34</v>
      </c>
    </row>
    <row r="1309" spans="1:33" x14ac:dyDescent="0.25">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c r="AG1309" t="str">
        <f t="shared" si="20"/>
        <v>18-34</v>
      </c>
    </row>
    <row r="1310" spans="1:33" x14ac:dyDescent="0.25">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c r="AG1310" t="str">
        <f t="shared" si="20"/>
        <v>35-44</v>
      </c>
    </row>
    <row r="1311" spans="1:33" x14ac:dyDescent="0.25">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c r="AG1311" t="str">
        <f t="shared" si="20"/>
        <v>18-34</v>
      </c>
    </row>
    <row r="1312" spans="1:33" x14ac:dyDescent="0.25">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c r="AG1312" t="str">
        <f t="shared" si="20"/>
        <v>55+</v>
      </c>
    </row>
    <row r="1313" spans="1:33" x14ac:dyDescent="0.25">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c r="AG1313" t="str">
        <f t="shared" si="20"/>
        <v>18-34</v>
      </c>
    </row>
    <row r="1314" spans="1:33" x14ac:dyDescent="0.25">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c r="AG1314" t="str">
        <f t="shared" si="20"/>
        <v>18-34</v>
      </c>
    </row>
    <row r="1315" spans="1:33" x14ac:dyDescent="0.25">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c r="AG1315" t="str">
        <f t="shared" si="20"/>
        <v>18-34</v>
      </c>
    </row>
    <row r="1316" spans="1:33" x14ac:dyDescent="0.25">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c r="AG1316" t="str">
        <f t="shared" si="20"/>
        <v>45-54</v>
      </c>
    </row>
    <row r="1317" spans="1:33" x14ac:dyDescent="0.25">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c r="AG1317" t="str">
        <f t="shared" si="20"/>
        <v>35-44</v>
      </c>
    </row>
    <row r="1318" spans="1:33" x14ac:dyDescent="0.25">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c r="AG1318" t="str">
        <f t="shared" si="20"/>
        <v>35-44</v>
      </c>
    </row>
    <row r="1319" spans="1:33" x14ac:dyDescent="0.25">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c r="AG1319" t="str">
        <f t="shared" si="20"/>
        <v>18-34</v>
      </c>
    </row>
    <row r="1320" spans="1:33" x14ac:dyDescent="0.25">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c r="AG1320" t="str">
        <f t="shared" si="20"/>
        <v>18-34</v>
      </c>
    </row>
    <row r="1321" spans="1:33" x14ac:dyDescent="0.25">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c r="AG1321" t="str">
        <f t="shared" si="20"/>
        <v>18-34</v>
      </c>
    </row>
    <row r="1322" spans="1:33" x14ac:dyDescent="0.25">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c r="AG1322" t="str">
        <f t="shared" si="20"/>
        <v>35-44</v>
      </c>
    </row>
    <row r="1323" spans="1:33" x14ac:dyDescent="0.25">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c r="AG1323" t="str">
        <f t="shared" si="20"/>
        <v>45-54</v>
      </c>
    </row>
    <row r="1324" spans="1:33" x14ac:dyDescent="0.25">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c r="AG1324" t="str">
        <f t="shared" si="20"/>
        <v>45-54</v>
      </c>
    </row>
    <row r="1325" spans="1:33" x14ac:dyDescent="0.25">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c r="AG1325" t="str">
        <f t="shared" si="20"/>
        <v>18-34</v>
      </c>
    </row>
    <row r="1326" spans="1:33" x14ac:dyDescent="0.25">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c r="AG1326" t="str">
        <f t="shared" si="20"/>
        <v>18-34</v>
      </c>
    </row>
    <row r="1327" spans="1:33" x14ac:dyDescent="0.25">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c r="AG1327" t="str">
        <f t="shared" si="20"/>
        <v>35-44</v>
      </c>
    </row>
    <row r="1328" spans="1:33" x14ac:dyDescent="0.25">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c r="AG1328" t="str">
        <f t="shared" si="20"/>
        <v>18-34</v>
      </c>
    </row>
    <row r="1329" spans="1:33" x14ac:dyDescent="0.25">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c r="AG1329" t="str">
        <f t="shared" si="20"/>
        <v>45-54</v>
      </c>
    </row>
    <row r="1330" spans="1:33" x14ac:dyDescent="0.25">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c r="AG1330" t="str">
        <f t="shared" si="20"/>
        <v>18-34</v>
      </c>
    </row>
    <row r="1331" spans="1:33" x14ac:dyDescent="0.25">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c r="AG1331" t="str">
        <f t="shared" si="20"/>
        <v>18-34</v>
      </c>
    </row>
    <row r="1332" spans="1:33" x14ac:dyDescent="0.25">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c r="AG1332" t="str">
        <f t="shared" si="20"/>
        <v>35-44</v>
      </c>
    </row>
    <row r="1333" spans="1:33" x14ac:dyDescent="0.25">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c r="AG1333" t="str">
        <f t="shared" si="20"/>
        <v>45-54</v>
      </c>
    </row>
    <row r="1334" spans="1:33" x14ac:dyDescent="0.25">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c r="AG1334" t="str">
        <f t="shared" si="20"/>
        <v>18-34</v>
      </c>
    </row>
    <row r="1335" spans="1:33" x14ac:dyDescent="0.25">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c r="AG1335" t="str">
        <f t="shared" si="20"/>
        <v>45-54</v>
      </c>
    </row>
    <row r="1336" spans="1:33" x14ac:dyDescent="0.25">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c r="AG1336" t="str">
        <f t="shared" si="20"/>
        <v>18-34</v>
      </c>
    </row>
    <row r="1337" spans="1:33" x14ac:dyDescent="0.25">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c r="AG1337" t="str">
        <f t="shared" si="20"/>
        <v>35-44</v>
      </c>
    </row>
    <row r="1338" spans="1:33" x14ac:dyDescent="0.25">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c r="AG1338" t="str">
        <f t="shared" si="20"/>
        <v>55+</v>
      </c>
    </row>
    <row r="1339" spans="1:33" x14ac:dyDescent="0.25">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c r="AG1339" t="str">
        <f t="shared" si="20"/>
        <v>18-34</v>
      </c>
    </row>
    <row r="1340" spans="1:33" x14ac:dyDescent="0.25">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c r="AG1340" t="str">
        <f t="shared" si="20"/>
        <v>18-34</v>
      </c>
    </row>
    <row r="1341" spans="1:33" x14ac:dyDescent="0.25">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c r="AG1341" t="str">
        <f t="shared" si="20"/>
        <v>18-34</v>
      </c>
    </row>
    <row r="1342" spans="1:33" x14ac:dyDescent="0.25">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c r="AG1342" t="str">
        <f t="shared" si="20"/>
        <v>35-44</v>
      </c>
    </row>
    <row r="1343" spans="1:33" x14ac:dyDescent="0.25">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c r="AG1343" t="str">
        <f t="shared" si="20"/>
        <v>18-34</v>
      </c>
    </row>
    <row r="1344" spans="1:33" x14ac:dyDescent="0.25">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c r="AG1344" t="str">
        <f t="shared" si="20"/>
        <v>18-34</v>
      </c>
    </row>
    <row r="1345" spans="1:33" x14ac:dyDescent="0.25">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c r="AG1345" t="str">
        <f t="shared" si="20"/>
        <v>18-34</v>
      </c>
    </row>
    <row r="1346" spans="1:33" x14ac:dyDescent="0.25">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c r="AG1346" t="str">
        <f t="shared" ref="AG1346:AG1409" si="21">IF(A1346&lt;18, "under 18", IF(A1346&lt;35, "18-34", IF(A1346&lt;45, "35-44", IF(A1346&lt;55, "45-54", "55+"))))</f>
        <v>35-44</v>
      </c>
    </row>
    <row r="1347" spans="1:33" x14ac:dyDescent="0.25">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c r="AG1347" t="str">
        <f t="shared" si="21"/>
        <v>35-44</v>
      </c>
    </row>
    <row r="1348" spans="1:33" x14ac:dyDescent="0.25">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c r="AG1348" t="str">
        <f t="shared" si="21"/>
        <v>45-54</v>
      </c>
    </row>
    <row r="1349" spans="1:33" x14ac:dyDescent="0.25">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c r="AG1349" t="str">
        <f t="shared" si="21"/>
        <v>35-44</v>
      </c>
    </row>
    <row r="1350" spans="1:33" x14ac:dyDescent="0.25">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c r="AG1350" t="str">
        <f t="shared" si="21"/>
        <v>35-44</v>
      </c>
    </row>
    <row r="1351" spans="1:33" x14ac:dyDescent="0.25">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c r="AG1351" t="str">
        <f t="shared" si="21"/>
        <v>18-34</v>
      </c>
    </row>
    <row r="1352" spans="1:33" x14ac:dyDescent="0.25">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c r="AG1352" t="str">
        <f t="shared" si="21"/>
        <v>18-34</v>
      </c>
    </row>
    <row r="1353" spans="1:33" x14ac:dyDescent="0.25">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c r="AG1353" t="str">
        <f t="shared" si="21"/>
        <v>45-54</v>
      </c>
    </row>
    <row r="1354" spans="1:33" x14ac:dyDescent="0.25">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c r="AG1354" t="str">
        <f t="shared" si="21"/>
        <v>35-44</v>
      </c>
    </row>
    <row r="1355" spans="1:33" x14ac:dyDescent="0.25">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c r="AG1355" t="str">
        <f t="shared" si="21"/>
        <v>18-34</v>
      </c>
    </row>
    <row r="1356" spans="1:33" x14ac:dyDescent="0.25">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c r="AG1356" t="str">
        <f t="shared" si="21"/>
        <v>55+</v>
      </c>
    </row>
    <row r="1357" spans="1:33" x14ac:dyDescent="0.25">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c r="AG1357" t="str">
        <f t="shared" si="21"/>
        <v>35-44</v>
      </c>
    </row>
    <row r="1358" spans="1:33" x14ac:dyDescent="0.25">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c r="AG1358" t="str">
        <f t="shared" si="21"/>
        <v>35-44</v>
      </c>
    </row>
    <row r="1359" spans="1:33" x14ac:dyDescent="0.25">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c r="AG1359" t="str">
        <f t="shared" si="21"/>
        <v>35-44</v>
      </c>
    </row>
    <row r="1360" spans="1:33" x14ac:dyDescent="0.25">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c r="AG1360" t="str">
        <f t="shared" si="21"/>
        <v>18-34</v>
      </c>
    </row>
    <row r="1361" spans="1:33" x14ac:dyDescent="0.25">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c r="AG1361" t="str">
        <f t="shared" si="21"/>
        <v>18-34</v>
      </c>
    </row>
    <row r="1362" spans="1:33" x14ac:dyDescent="0.25">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c r="AG1362" t="str">
        <f t="shared" si="21"/>
        <v>18-34</v>
      </c>
    </row>
    <row r="1363" spans="1:33" x14ac:dyDescent="0.25">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c r="AG1363" t="str">
        <f t="shared" si="21"/>
        <v>18-34</v>
      </c>
    </row>
    <row r="1364" spans="1:33" x14ac:dyDescent="0.25">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c r="AG1364" t="str">
        <f t="shared" si="21"/>
        <v>45-54</v>
      </c>
    </row>
    <row r="1365" spans="1:33" x14ac:dyDescent="0.25">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c r="AG1365" t="str">
        <f t="shared" si="21"/>
        <v>18-34</v>
      </c>
    </row>
    <row r="1366" spans="1:33" x14ac:dyDescent="0.25">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c r="AG1366" t="str">
        <f t="shared" si="21"/>
        <v>18-34</v>
      </c>
    </row>
    <row r="1367" spans="1:33" x14ac:dyDescent="0.25">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c r="AG1367" t="str">
        <f t="shared" si="21"/>
        <v>18-34</v>
      </c>
    </row>
    <row r="1368" spans="1:33" x14ac:dyDescent="0.25">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c r="AG1368" t="str">
        <f t="shared" si="21"/>
        <v>35-44</v>
      </c>
    </row>
    <row r="1369" spans="1:33" x14ac:dyDescent="0.25">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c r="AG1369" t="str">
        <f t="shared" si="21"/>
        <v>18-34</v>
      </c>
    </row>
    <row r="1370" spans="1:33" x14ac:dyDescent="0.25">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c r="AG1370" t="str">
        <f t="shared" si="21"/>
        <v>18-34</v>
      </c>
    </row>
    <row r="1371" spans="1:33" x14ac:dyDescent="0.25">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c r="AG1371" t="str">
        <f t="shared" si="21"/>
        <v>18-34</v>
      </c>
    </row>
    <row r="1372" spans="1:33" x14ac:dyDescent="0.25">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c r="AG1372" t="str">
        <f t="shared" si="21"/>
        <v>45-54</v>
      </c>
    </row>
    <row r="1373" spans="1:33" x14ac:dyDescent="0.25">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c r="AG1373" t="str">
        <f t="shared" si="21"/>
        <v>55+</v>
      </c>
    </row>
    <row r="1374" spans="1:33" x14ac:dyDescent="0.25">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c r="AG1374" t="str">
        <f t="shared" si="21"/>
        <v>35-44</v>
      </c>
    </row>
    <row r="1375" spans="1:33" x14ac:dyDescent="0.25">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c r="AG1375" t="str">
        <f t="shared" si="21"/>
        <v>35-44</v>
      </c>
    </row>
    <row r="1376" spans="1:33" x14ac:dyDescent="0.25">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c r="AG1376" t="str">
        <f t="shared" si="21"/>
        <v>55+</v>
      </c>
    </row>
    <row r="1377" spans="1:33" x14ac:dyDescent="0.25">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c r="AG1377" t="str">
        <f t="shared" si="21"/>
        <v>18-34</v>
      </c>
    </row>
    <row r="1378" spans="1:33" x14ac:dyDescent="0.25">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c r="AG1378" t="str">
        <f t="shared" si="21"/>
        <v>35-44</v>
      </c>
    </row>
    <row r="1379" spans="1:33" x14ac:dyDescent="0.25">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c r="AG1379" t="str">
        <f t="shared" si="21"/>
        <v>45-54</v>
      </c>
    </row>
    <row r="1380" spans="1:33" x14ac:dyDescent="0.25">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c r="AG1380" t="str">
        <f t="shared" si="21"/>
        <v>35-44</v>
      </c>
    </row>
    <row r="1381" spans="1:33" x14ac:dyDescent="0.25">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c r="AG1381" t="str">
        <f t="shared" si="21"/>
        <v>18-34</v>
      </c>
    </row>
    <row r="1382" spans="1:33" x14ac:dyDescent="0.25">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c r="AG1382" t="str">
        <f t="shared" si="21"/>
        <v>35-44</v>
      </c>
    </row>
    <row r="1383" spans="1:33" x14ac:dyDescent="0.25">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c r="AG1383" t="str">
        <f t="shared" si="21"/>
        <v>18-34</v>
      </c>
    </row>
    <row r="1384" spans="1:33" x14ac:dyDescent="0.25">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c r="AG1384" t="str">
        <f t="shared" si="21"/>
        <v>18-34</v>
      </c>
    </row>
    <row r="1385" spans="1:33" x14ac:dyDescent="0.25">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c r="AG1385" t="str">
        <f t="shared" si="21"/>
        <v>35-44</v>
      </c>
    </row>
    <row r="1386" spans="1:33" x14ac:dyDescent="0.25">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c r="AG1386" t="str">
        <f t="shared" si="21"/>
        <v>18-34</v>
      </c>
    </row>
    <row r="1387" spans="1:33" x14ac:dyDescent="0.25">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c r="AG1387" t="str">
        <f t="shared" si="21"/>
        <v>18-34</v>
      </c>
    </row>
    <row r="1388" spans="1:33" x14ac:dyDescent="0.25">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c r="AG1388" t="str">
        <f t="shared" si="21"/>
        <v>18-34</v>
      </c>
    </row>
    <row r="1389" spans="1:33" x14ac:dyDescent="0.25">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c r="AG1389" t="str">
        <f t="shared" si="21"/>
        <v>18-34</v>
      </c>
    </row>
    <row r="1390" spans="1:33" x14ac:dyDescent="0.25">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c r="AG1390" t="str">
        <f t="shared" si="21"/>
        <v>18-34</v>
      </c>
    </row>
    <row r="1391" spans="1:33" x14ac:dyDescent="0.25">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c r="AG1391" t="str">
        <f t="shared" si="21"/>
        <v>18-34</v>
      </c>
    </row>
    <row r="1392" spans="1:33" x14ac:dyDescent="0.25">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c r="AG1392" t="str">
        <f t="shared" si="21"/>
        <v>18-34</v>
      </c>
    </row>
    <row r="1393" spans="1:33" x14ac:dyDescent="0.25">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c r="AG1393" t="str">
        <f t="shared" si="21"/>
        <v>35-44</v>
      </c>
    </row>
    <row r="1394" spans="1:33" x14ac:dyDescent="0.25">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c r="AG1394" t="str">
        <f t="shared" si="21"/>
        <v>35-44</v>
      </c>
    </row>
    <row r="1395" spans="1:33" x14ac:dyDescent="0.25">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c r="AG1395" t="str">
        <f t="shared" si="21"/>
        <v>18-34</v>
      </c>
    </row>
    <row r="1396" spans="1:33" x14ac:dyDescent="0.25">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c r="AG1396" t="str">
        <f t="shared" si="21"/>
        <v>18-34</v>
      </c>
    </row>
    <row r="1397" spans="1:33" x14ac:dyDescent="0.25">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c r="AG1397" t="str">
        <f t="shared" si="21"/>
        <v>18-34</v>
      </c>
    </row>
    <row r="1398" spans="1:33" x14ac:dyDescent="0.25">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c r="AG1398" t="str">
        <f t="shared" si="21"/>
        <v>45-54</v>
      </c>
    </row>
    <row r="1399" spans="1:33" x14ac:dyDescent="0.25">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c r="AG1399" t="str">
        <f t="shared" si="21"/>
        <v>45-54</v>
      </c>
    </row>
    <row r="1400" spans="1:33" x14ac:dyDescent="0.25">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c r="AG1400" t="str">
        <f t="shared" si="21"/>
        <v>18-34</v>
      </c>
    </row>
    <row r="1401" spans="1:33" x14ac:dyDescent="0.25">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c r="AG1401" t="str">
        <f t="shared" si="21"/>
        <v>35-44</v>
      </c>
    </row>
    <row r="1402" spans="1:33" x14ac:dyDescent="0.25">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c r="AG1402" t="str">
        <f t="shared" si="21"/>
        <v>35-44</v>
      </c>
    </row>
    <row r="1403" spans="1:33" x14ac:dyDescent="0.25">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c r="AG1403" t="str">
        <f t="shared" si="21"/>
        <v>55+</v>
      </c>
    </row>
    <row r="1404" spans="1:33" x14ac:dyDescent="0.25">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c r="AG1404" t="str">
        <f t="shared" si="21"/>
        <v>18-34</v>
      </c>
    </row>
    <row r="1405" spans="1:33" x14ac:dyDescent="0.25">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c r="AG1405" t="str">
        <f t="shared" si="21"/>
        <v>35-44</v>
      </c>
    </row>
    <row r="1406" spans="1:33" x14ac:dyDescent="0.25">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c r="AG1406" t="str">
        <f t="shared" si="21"/>
        <v>35-44</v>
      </c>
    </row>
    <row r="1407" spans="1:33" x14ac:dyDescent="0.25">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c r="AG1407" t="str">
        <f t="shared" si="21"/>
        <v>18-34</v>
      </c>
    </row>
    <row r="1408" spans="1:33" x14ac:dyDescent="0.25">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c r="AG1408" t="str">
        <f t="shared" si="21"/>
        <v>45-54</v>
      </c>
    </row>
    <row r="1409" spans="1:33" x14ac:dyDescent="0.25">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c r="AG1409" t="str">
        <f t="shared" si="21"/>
        <v>18-34</v>
      </c>
    </row>
    <row r="1410" spans="1:33" x14ac:dyDescent="0.25">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c r="AG1410" t="str">
        <f t="shared" ref="AG1410:AG1471" si="22">IF(A1410&lt;18, "under 18", IF(A1410&lt;35, "18-34", IF(A1410&lt;45, "35-44", IF(A1410&lt;55, "45-54", "55+"))))</f>
        <v>18-34</v>
      </c>
    </row>
    <row r="1411" spans="1:33" x14ac:dyDescent="0.25">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c r="AG1411" t="str">
        <f t="shared" si="22"/>
        <v>35-44</v>
      </c>
    </row>
    <row r="1412" spans="1:33" x14ac:dyDescent="0.25">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c r="AG1412" t="str">
        <f t="shared" si="22"/>
        <v>35-44</v>
      </c>
    </row>
    <row r="1413" spans="1:33" x14ac:dyDescent="0.25">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c r="AG1413" t="str">
        <f t="shared" si="22"/>
        <v>18-34</v>
      </c>
    </row>
    <row r="1414" spans="1:33" x14ac:dyDescent="0.25">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c r="AG1414" t="str">
        <f t="shared" si="22"/>
        <v>18-34</v>
      </c>
    </row>
    <row r="1415" spans="1:33" x14ac:dyDescent="0.25">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c r="AG1415" t="str">
        <f t="shared" si="22"/>
        <v>18-34</v>
      </c>
    </row>
    <row r="1416" spans="1:33" x14ac:dyDescent="0.25">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c r="AG1416" t="str">
        <f t="shared" si="22"/>
        <v>45-54</v>
      </c>
    </row>
    <row r="1417" spans="1:33" x14ac:dyDescent="0.25">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c r="AG1417" t="str">
        <f t="shared" si="22"/>
        <v>18-34</v>
      </c>
    </row>
    <row r="1418" spans="1:33" x14ac:dyDescent="0.25">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c r="AG1418" t="str">
        <f t="shared" si="22"/>
        <v>35-44</v>
      </c>
    </row>
    <row r="1419" spans="1:33" x14ac:dyDescent="0.25">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c r="AG1419" t="str">
        <f t="shared" si="22"/>
        <v>18-34</v>
      </c>
    </row>
    <row r="1420" spans="1:33" x14ac:dyDescent="0.25">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c r="AG1420" t="str">
        <f t="shared" si="22"/>
        <v>35-44</v>
      </c>
    </row>
    <row r="1421" spans="1:33" x14ac:dyDescent="0.25">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c r="AG1421" t="str">
        <f t="shared" si="22"/>
        <v>35-44</v>
      </c>
    </row>
    <row r="1422" spans="1:33" x14ac:dyDescent="0.25">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c r="AG1422" t="str">
        <f t="shared" si="22"/>
        <v>35-44</v>
      </c>
    </row>
    <row r="1423" spans="1:33" x14ac:dyDescent="0.25">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c r="AG1423" t="str">
        <f t="shared" si="22"/>
        <v>45-54</v>
      </c>
    </row>
    <row r="1424" spans="1:33" x14ac:dyDescent="0.25">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c r="AG1424" t="str">
        <f t="shared" si="22"/>
        <v>35-44</v>
      </c>
    </row>
    <row r="1425" spans="1:33" x14ac:dyDescent="0.25">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c r="AG1425" t="str">
        <f t="shared" si="22"/>
        <v>18-34</v>
      </c>
    </row>
    <row r="1426" spans="1:33" x14ac:dyDescent="0.25">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c r="AG1426" t="str">
        <f t="shared" si="22"/>
        <v>35-44</v>
      </c>
    </row>
    <row r="1427" spans="1:33" x14ac:dyDescent="0.25">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c r="AG1427" t="str">
        <f t="shared" si="22"/>
        <v>18-34</v>
      </c>
    </row>
    <row r="1428" spans="1:33" x14ac:dyDescent="0.25">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c r="AG1428" t="str">
        <f t="shared" si="22"/>
        <v>18-34</v>
      </c>
    </row>
    <row r="1429" spans="1:33" x14ac:dyDescent="0.25">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c r="AG1429" t="str">
        <f t="shared" si="22"/>
        <v>35-44</v>
      </c>
    </row>
    <row r="1430" spans="1:33" x14ac:dyDescent="0.25">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c r="AG1430" t="str">
        <f t="shared" si="22"/>
        <v>18-34</v>
      </c>
    </row>
    <row r="1431" spans="1:33" x14ac:dyDescent="0.25">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c r="AG1431" t="str">
        <f t="shared" si="22"/>
        <v>35-44</v>
      </c>
    </row>
    <row r="1432" spans="1:33" x14ac:dyDescent="0.25">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c r="AG1432" t="str">
        <f t="shared" si="22"/>
        <v>35-44</v>
      </c>
    </row>
    <row r="1433" spans="1:33" x14ac:dyDescent="0.25">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c r="AG1433" t="str">
        <f t="shared" si="22"/>
        <v>18-34</v>
      </c>
    </row>
    <row r="1434" spans="1:33" x14ac:dyDescent="0.25">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c r="AG1434" t="str">
        <f t="shared" si="22"/>
        <v>35-44</v>
      </c>
    </row>
    <row r="1435" spans="1:33" x14ac:dyDescent="0.25">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c r="AG1435" t="str">
        <f t="shared" si="22"/>
        <v>18-34</v>
      </c>
    </row>
    <row r="1436" spans="1:33" x14ac:dyDescent="0.25">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c r="AG1436" t="str">
        <f t="shared" si="22"/>
        <v>45-54</v>
      </c>
    </row>
    <row r="1437" spans="1:33" x14ac:dyDescent="0.25">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c r="AG1437" t="str">
        <f t="shared" si="22"/>
        <v>35-44</v>
      </c>
    </row>
    <row r="1438" spans="1:33" x14ac:dyDescent="0.25">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c r="AG1438" t="str">
        <f t="shared" si="22"/>
        <v>18-34</v>
      </c>
    </row>
    <row r="1439" spans="1:33" x14ac:dyDescent="0.25">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c r="AG1439" t="str">
        <f t="shared" si="22"/>
        <v>35-44</v>
      </c>
    </row>
    <row r="1440" spans="1:33" x14ac:dyDescent="0.25">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c r="AG1440" t="str">
        <f t="shared" si="22"/>
        <v>18-34</v>
      </c>
    </row>
    <row r="1441" spans="1:33" x14ac:dyDescent="0.25">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c r="AG1441" t="str">
        <f t="shared" si="22"/>
        <v>35-44</v>
      </c>
    </row>
    <row r="1442" spans="1:33" x14ac:dyDescent="0.25">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c r="AG1442" t="str">
        <f t="shared" si="22"/>
        <v>35-44</v>
      </c>
    </row>
    <row r="1443" spans="1:33" x14ac:dyDescent="0.25">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c r="AG1443" t="str">
        <f t="shared" si="22"/>
        <v>55+</v>
      </c>
    </row>
    <row r="1444" spans="1:33" x14ac:dyDescent="0.25">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c r="AG1444" t="str">
        <f t="shared" si="22"/>
        <v>18-34</v>
      </c>
    </row>
    <row r="1445" spans="1:33" x14ac:dyDescent="0.25">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c r="AG1445" t="str">
        <f t="shared" si="22"/>
        <v>35-44</v>
      </c>
    </row>
    <row r="1446" spans="1:33" x14ac:dyDescent="0.25">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c r="AG1446" t="str">
        <f t="shared" si="22"/>
        <v>55+</v>
      </c>
    </row>
    <row r="1447" spans="1:33" x14ac:dyDescent="0.25">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c r="AG1447" t="str">
        <f t="shared" si="22"/>
        <v>35-44</v>
      </c>
    </row>
    <row r="1448" spans="1:33" x14ac:dyDescent="0.25">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c r="AG1448" t="str">
        <f t="shared" si="22"/>
        <v>18-34</v>
      </c>
    </row>
    <row r="1449" spans="1:33" x14ac:dyDescent="0.25">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c r="AG1449" t="str">
        <f t="shared" si="22"/>
        <v>35-44</v>
      </c>
    </row>
    <row r="1450" spans="1:33" x14ac:dyDescent="0.25">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c r="AG1450" t="str">
        <f t="shared" si="22"/>
        <v>35-44</v>
      </c>
    </row>
    <row r="1451" spans="1:33" x14ac:dyDescent="0.25">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c r="AG1451" t="str">
        <f t="shared" si="22"/>
        <v>18-34</v>
      </c>
    </row>
    <row r="1452" spans="1:33" x14ac:dyDescent="0.25">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c r="AG1452" t="str">
        <f t="shared" si="22"/>
        <v>35-44</v>
      </c>
    </row>
    <row r="1453" spans="1:33" x14ac:dyDescent="0.25">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c r="AG1453" t="str">
        <f t="shared" si="22"/>
        <v>35-44</v>
      </c>
    </row>
    <row r="1454" spans="1:33" x14ac:dyDescent="0.25">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c r="AG1454" t="str">
        <f t="shared" si="22"/>
        <v>45-54</v>
      </c>
    </row>
    <row r="1455" spans="1:33" x14ac:dyDescent="0.25">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c r="AG1455" t="str">
        <f t="shared" si="22"/>
        <v>35-44</v>
      </c>
    </row>
    <row r="1456" spans="1:33" x14ac:dyDescent="0.25">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c r="AG1456" t="str">
        <f t="shared" si="22"/>
        <v>45-54</v>
      </c>
    </row>
    <row r="1457" spans="1:33" x14ac:dyDescent="0.25">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c r="AG1457" t="str">
        <f t="shared" si="22"/>
        <v>35-44</v>
      </c>
    </row>
    <row r="1458" spans="1:33" x14ac:dyDescent="0.25">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c r="AG1458" t="str">
        <f t="shared" si="22"/>
        <v>35-44</v>
      </c>
    </row>
    <row r="1459" spans="1:33" x14ac:dyDescent="0.25">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c r="AG1459" t="str">
        <f t="shared" si="22"/>
        <v>35-44</v>
      </c>
    </row>
    <row r="1460" spans="1:33" x14ac:dyDescent="0.25">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c r="AG1460" t="str">
        <f t="shared" si="22"/>
        <v>35-44</v>
      </c>
    </row>
    <row r="1461" spans="1:33" x14ac:dyDescent="0.25">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c r="AG1461" t="str">
        <f t="shared" si="22"/>
        <v>18-34</v>
      </c>
    </row>
    <row r="1462" spans="1:33" x14ac:dyDescent="0.25">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c r="AG1462" t="str">
        <f t="shared" si="22"/>
        <v>18-34</v>
      </c>
    </row>
    <row r="1463" spans="1:33" x14ac:dyDescent="0.25">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c r="AG1463" t="str">
        <f t="shared" si="22"/>
        <v>45-54</v>
      </c>
    </row>
    <row r="1464" spans="1:33" x14ac:dyDescent="0.25">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c r="AG1464" t="str">
        <f t="shared" si="22"/>
        <v>35-44</v>
      </c>
    </row>
    <row r="1465" spans="1:33" x14ac:dyDescent="0.25">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c r="AG1465" t="str">
        <f t="shared" si="22"/>
        <v>18-34</v>
      </c>
    </row>
    <row r="1466" spans="1:33" x14ac:dyDescent="0.25">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c r="AG1466" t="str">
        <f t="shared" si="22"/>
        <v>18-34</v>
      </c>
    </row>
    <row r="1467" spans="1:33" x14ac:dyDescent="0.25">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c r="AG1467" t="str">
        <f t="shared" si="22"/>
        <v>35-44</v>
      </c>
    </row>
    <row r="1468" spans="1:33" x14ac:dyDescent="0.25">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c r="AG1468" t="str">
        <f t="shared" si="22"/>
        <v>35-44</v>
      </c>
    </row>
    <row r="1469" spans="1:33" x14ac:dyDescent="0.25">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c r="AG1469" t="str">
        <f t="shared" si="22"/>
        <v>18-34</v>
      </c>
    </row>
    <row r="1470" spans="1:33" x14ac:dyDescent="0.25">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c r="AG1470" t="str">
        <f t="shared" si="22"/>
        <v>45-54</v>
      </c>
    </row>
    <row r="1471" spans="1:33" x14ac:dyDescent="0.25">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c r="AG1471" t="str">
        <f t="shared" si="22"/>
        <v>18-34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showGridLines="0" tabSelected="1" workbookViewId="0">
      <selection activeCell="D7" sqref="D7"/>
    </sheetView>
  </sheetViews>
  <sheetFormatPr defaultRowHeight="15" x14ac:dyDescent="0.25"/>
  <cols>
    <col min="1" max="1" width="33" customWidth="1"/>
    <col min="2" max="2" width="28.7109375" customWidth="1"/>
    <col min="3" max="3" width="23.5703125" customWidth="1"/>
    <col min="4" max="4" width="24.7109375" customWidth="1"/>
    <col min="5" max="5" width="16.5703125" customWidth="1"/>
    <col min="6" max="6" width="14.28515625" customWidth="1"/>
    <col min="7" max="7" width="13" customWidth="1"/>
    <col min="8" max="8" width="25.28515625" customWidth="1"/>
    <col min="9" max="9" width="27.5703125" customWidth="1"/>
  </cols>
  <sheetData>
    <row r="1" spans="1:9" s="3" customFormat="1" x14ac:dyDescent="0.25"/>
    <row r="2" spans="1:9" ht="18.75" x14ac:dyDescent="0.3">
      <c r="C2" s="2" t="s">
        <v>58</v>
      </c>
    </row>
    <row r="4" spans="1:9" x14ac:dyDescent="0.25">
      <c r="A4" t="s">
        <v>59</v>
      </c>
      <c r="C4" t="s">
        <v>60</v>
      </c>
      <c r="D4" t="s">
        <v>61</v>
      </c>
      <c r="E4" t="s">
        <v>62</v>
      </c>
      <c r="F4" t="s">
        <v>78</v>
      </c>
      <c r="G4" t="s">
        <v>79</v>
      </c>
      <c r="H4" t="s">
        <v>80</v>
      </c>
      <c r="I4" t="s">
        <v>81</v>
      </c>
    </row>
    <row r="5" spans="1:9" x14ac:dyDescent="0.25">
      <c r="A5">
        <f>COUNTA(Table1[Attrition])</f>
        <v>1470</v>
      </c>
      <c r="C5">
        <f>COUNTIF(Table1[Attrition], "yes")</f>
        <v>237</v>
      </c>
      <c r="D5">
        <f>COUNTIF(Table1[Attrition], "No")</f>
        <v>1233</v>
      </c>
      <c r="E5" s="4">
        <f>C5/A5*100</f>
        <v>16.122448979591837</v>
      </c>
      <c r="F5">
        <f>COUNTIF(Table1[Gender], "Male")</f>
        <v>882</v>
      </c>
      <c r="G5">
        <f>COUNTIF(Table1[Gender], "Female")</f>
        <v>588</v>
      </c>
      <c r="H5" s="4">
        <f>150/F5*100</f>
        <v>17.006802721088434</v>
      </c>
      <c r="I5" s="13">
        <f>87/G5*100</f>
        <v>14.795918367346939</v>
      </c>
    </row>
    <row r="6" spans="1:9" x14ac:dyDescent="0.25">
      <c r="A6" t="s">
        <v>83</v>
      </c>
      <c r="B6" t="s">
        <v>84</v>
      </c>
      <c r="C6" t="s">
        <v>85</v>
      </c>
      <c r="D6" t="s">
        <v>86</v>
      </c>
    </row>
    <row r="7" spans="1:9" x14ac:dyDescent="0.25">
      <c r="A7">
        <f>COUNTIF(Table1[OverTime], "No")</f>
        <v>1054</v>
      </c>
      <c r="B7">
        <f>COUNTIF(Table1[OverTime], "Yes")</f>
        <v>416</v>
      </c>
      <c r="C7" s="13">
        <f>110/1056*100</f>
        <v>10.416666666666668</v>
      </c>
      <c r="D7" s="13">
        <f>127/416*100</f>
        <v>30.528846153846157</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C8" sqref="C8"/>
    </sheetView>
  </sheetViews>
  <sheetFormatPr defaultRowHeight="15" x14ac:dyDescent="0.25"/>
  <cols>
    <col min="1" max="1" width="31" customWidth="1"/>
    <col min="2" max="2" width="16.7109375" customWidth="1"/>
    <col min="3" max="3" width="24" bestFit="1" customWidth="1"/>
    <col min="4" max="4" width="5.5703125" customWidth="1"/>
    <col min="5" max="5" width="7.28515625" customWidth="1"/>
    <col min="6" max="6" width="11.28515625" bestFit="1" customWidth="1"/>
  </cols>
  <sheetData>
    <row r="1" spans="1:2" x14ac:dyDescent="0.25">
      <c r="A1" s="1" t="s">
        <v>65</v>
      </c>
    </row>
    <row r="2" spans="1:2" x14ac:dyDescent="0.25">
      <c r="A2" s="1" t="s">
        <v>70</v>
      </c>
    </row>
    <row r="3" spans="1:2" x14ac:dyDescent="0.25">
      <c r="A3" s="5" t="s">
        <v>64</v>
      </c>
      <c r="B3" t="s">
        <v>63</v>
      </c>
    </row>
    <row r="4" spans="1:2" x14ac:dyDescent="0.25">
      <c r="A4" s="7" t="s">
        <v>57</v>
      </c>
      <c r="B4" s="6">
        <v>12</v>
      </c>
    </row>
    <row r="5" spans="1:2" x14ac:dyDescent="0.25">
      <c r="A5" s="7" t="s">
        <v>41</v>
      </c>
      <c r="B5" s="6">
        <v>133</v>
      </c>
    </row>
    <row r="6" spans="1:2" x14ac:dyDescent="0.25">
      <c r="A6" s="7" t="s">
        <v>34</v>
      </c>
      <c r="B6" s="6">
        <v>92</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C4" sqref="C4"/>
    </sheetView>
  </sheetViews>
  <sheetFormatPr defaultRowHeight="15" x14ac:dyDescent="0.25"/>
  <cols>
    <col min="1" max="1" width="23.85546875" customWidth="1"/>
    <col min="2" max="2" width="34.28515625" bestFit="1" customWidth="1"/>
    <col min="3" max="3" width="20.85546875" customWidth="1"/>
    <col min="4" max="4" width="14.85546875" customWidth="1"/>
  </cols>
  <sheetData>
    <row r="1" spans="1:4" ht="15.75" x14ac:dyDescent="0.25">
      <c r="A1" s="12" t="s">
        <v>69</v>
      </c>
    </row>
    <row r="3" spans="1:4" x14ac:dyDescent="0.25">
      <c r="A3" s="8" t="s">
        <v>64</v>
      </c>
      <c r="B3" s="9" t="s">
        <v>66</v>
      </c>
      <c r="C3" s="10" t="s">
        <v>67</v>
      </c>
      <c r="D3" s="11" t="s">
        <v>68</v>
      </c>
    </row>
    <row r="4" spans="1:4" x14ac:dyDescent="0.25">
      <c r="A4" s="7" t="s">
        <v>57</v>
      </c>
      <c r="B4" s="6">
        <v>63</v>
      </c>
      <c r="C4">
        <f>COUNTIFS(Table1[Department], "Human Resources", Table1[Attrition], "Yes")</f>
        <v>12</v>
      </c>
      <c r="D4" s="4">
        <f t="shared" ref="D4:D6" si="0">C4/B4*100</f>
        <v>19.047619047619047</v>
      </c>
    </row>
    <row r="5" spans="1:4" x14ac:dyDescent="0.25">
      <c r="A5" s="7" t="s">
        <v>41</v>
      </c>
      <c r="B5" s="6">
        <v>961</v>
      </c>
      <c r="C5">
        <f>COUNTIFS(Table1[Department], "Research &amp; Development", Table1[Attrition], "Yes")</f>
        <v>133</v>
      </c>
      <c r="D5" s="4">
        <f t="shared" si="0"/>
        <v>13.839750260145681</v>
      </c>
    </row>
    <row r="6" spans="1:4" x14ac:dyDescent="0.25">
      <c r="A6" s="7" t="s">
        <v>34</v>
      </c>
      <c r="B6" s="6">
        <v>446</v>
      </c>
      <c r="C6">
        <f>COUNTIFS(Table1[Department], "Sales", Table1[Attrition], "Yes")</f>
        <v>92</v>
      </c>
      <c r="D6" s="4">
        <f t="shared" si="0"/>
        <v>20.627802690582961</v>
      </c>
    </row>
  </sheetData>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C4" sqref="C4"/>
    </sheetView>
  </sheetViews>
  <sheetFormatPr defaultRowHeight="15" x14ac:dyDescent="0.25"/>
  <cols>
    <col min="1" max="1" width="13.140625" bestFit="1" customWidth="1"/>
    <col min="2" max="2" width="16.7109375" bestFit="1" customWidth="1"/>
  </cols>
  <sheetData>
    <row r="1" spans="1:3" x14ac:dyDescent="0.25">
      <c r="A1" s="5" t="s">
        <v>1</v>
      </c>
      <c r="B1" t="s">
        <v>32</v>
      </c>
    </row>
    <row r="3" spans="1:3" x14ac:dyDescent="0.25">
      <c r="A3" s="5" t="s">
        <v>64</v>
      </c>
      <c r="B3" t="s">
        <v>63</v>
      </c>
    </row>
    <row r="4" spans="1:3" x14ac:dyDescent="0.25">
      <c r="A4" s="7" t="s">
        <v>72</v>
      </c>
      <c r="B4" s="6">
        <v>150</v>
      </c>
      <c r="C4">
        <f>COUNTIFS(Table1[Age Group], "18-34", Table1[Attrition], "Yes")</f>
        <v>150</v>
      </c>
    </row>
    <row r="5" spans="1:3" x14ac:dyDescent="0.25">
      <c r="A5" s="7" t="s">
        <v>73</v>
      </c>
      <c r="B5" s="6">
        <v>51</v>
      </c>
      <c r="C5">
        <f>COUNTIFS(Table1[Age Group], "35-44", Table1[Attrition], "Yes")</f>
        <v>51</v>
      </c>
    </row>
    <row r="6" spans="1:3" x14ac:dyDescent="0.25">
      <c r="A6" s="7" t="s">
        <v>74</v>
      </c>
      <c r="B6" s="6">
        <v>25</v>
      </c>
      <c r="C6">
        <f>COUNTIFS(Table1[Age Group], "45-54", Table1[Attrition], "Yes")</f>
        <v>25</v>
      </c>
    </row>
    <row r="7" spans="1:3" x14ac:dyDescent="0.25">
      <c r="A7" s="7" t="s">
        <v>75</v>
      </c>
      <c r="B7" s="6">
        <v>11</v>
      </c>
      <c r="C7">
        <f>COUNTIFS(Table1[Age Group], "55+", Table1[Attrition], "Yes")</f>
        <v>11</v>
      </c>
    </row>
    <row r="8" spans="1:3" x14ac:dyDescent="0.25">
      <c r="A8" s="7" t="s">
        <v>76</v>
      </c>
      <c r="B8" s="6">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Sheet4</vt:lpstr>
      <vt:lpstr>IBM HR Analytics</vt:lpstr>
      <vt:lpstr>Analysis Formulas</vt:lpstr>
      <vt:lpstr>Count of attrition(Department)</vt:lpstr>
      <vt:lpstr>Highest Attrition Percentage</vt:lpstr>
      <vt:lpstr>Sheet2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2026-05-04T12:20:35Z</dcterms:created>
  <dcterms:modified xsi:type="dcterms:W3CDTF">2026-05-07T17:48:12Z</dcterms:modified>
</cp:coreProperties>
</file>